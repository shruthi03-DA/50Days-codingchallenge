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unny Shruthi\OneDrive\Desktop\Entri assignments\50 days code challenge\"/>
    </mc:Choice>
  </mc:AlternateContent>
  <xr:revisionPtr revIDLastSave="0" documentId="13_ncr:1_{0BC60E2C-5E57-4CBC-8E69-DD5F22C34291}" xr6:coauthVersionLast="47" xr6:coauthVersionMax="47" xr10:uidLastSave="{00000000-0000-0000-0000-000000000000}"/>
  <bookViews>
    <workbookView xWindow="-108" yWindow="372" windowWidth="23256" windowHeight="12696" activeTab="1" xr2:uid="{5E4BB1AB-5C59-485E-98ED-CC1C67DEF25F}"/>
  </bookViews>
  <sheets>
    <sheet name="Credit Risk Analysis" sheetId="2" r:id="rId1"/>
    <sheet name="Pivot ANalysis" sheetId="4" r:id="rId2"/>
    <sheet name="Dashboard" sheetId="1" r:id="rId3"/>
  </sheets>
  <definedNames>
    <definedName name="ExternalData_1" localSheetId="0" hidden="1">'Credit Risk Analysis'!$A$1:$Q$1001</definedName>
    <definedName name="Slicer_Loan_Grade">#N/A</definedName>
    <definedName name="Slicer_Loan_Intent">#N/A</definedName>
    <definedName name="Slicer_Loan_Status">#N/A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7" i="2" l="1"/>
  <c r="V6" i="2"/>
  <c r="V5" i="2"/>
  <c r="V4" i="2"/>
  <c r="V3"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D14A72-56A0-4981-A889-2E322EE79722}" keepAlive="1" name="Query - Credit_Risk_Analysis" description="Connection to the 'Credit_Risk_Analysis' query in the workbook." type="5" refreshedVersion="0" background="1">
    <dbPr connection="Provider=Microsoft.Mashup.OleDb.1;Data Source=$Workbook$;Location=Credit_Risk_Analysis;Extended Properties=&quot;&quot;" command="SELECT * FROM [Credit_Risk_Analysis]"/>
  </connection>
</connections>
</file>

<file path=xl/sharedStrings.xml><?xml version="1.0" encoding="utf-8"?>
<sst xmlns="http://schemas.openxmlformats.org/spreadsheetml/2006/main" count="7085" uniqueCount="2075">
  <si>
    <t>Loan ID</t>
  </si>
  <si>
    <t>Issue Date</t>
  </si>
  <si>
    <t>Borrower ID</t>
  </si>
  <si>
    <t>State</t>
  </si>
  <si>
    <t>Loan Amount</t>
  </si>
  <si>
    <t>Interest Rate</t>
  </si>
  <si>
    <t>Term (Months)</t>
  </si>
  <si>
    <t>Loan Status</t>
  </si>
  <si>
    <t>Loan Grade</t>
  </si>
  <si>
    <t>Loan Intent</t>
  </si>
  <si>
    <t>Annual Income</t>
  </si>
  <si>
    <t>Home Ownership</t>
  </si>
  <si>
    <t>DTI</t>
  </si>
  <si>
    <t>LTV</t>
  </si>
  <si>
    <t>Total Payments Received</t>
  </si>
  <si>
    <t>Recovery Amount</t>
  </si>
  <si>
    <t>L0001</t>
  </si>
  <si>
    <t>B0001</t>
  </si>
  <si>
    <t>OH</t>
  </si>
  <si>
    <t>Fully Paid</t>
  </si>
  <si>
    <t>A</t>
  </si>
  <si>
    <t>small business</t>
  </si>
  <si>
    <t>OWN</t>
  </si>
  <si>
    <t>L0002</t>
  </si>
  <si>
    <t>B0002</t>
  </si>
  <si>
    <t>PA</t>
  </si>
  <si>
    <t>Current</t>
  </si>
  <si>
    <t>D</t>
  </si>
  <si>
    <t>credit card</t>
  </si>
  <si>
    <t>MORTGAGE</t>
  </si>
  <si>
    <t>L0003</t>
  </si>
  <si>
    <t>B0003</t>
  </si>
  <si>
    <t>home improvement</t>
  </si>
  <si>
    <t>RENT</t>
  </si>
  <si>
    <t>L0004</t>
  </si>
  <si>
    <t>B0004</t>
  </si>
  <si>
    <t>F</t>
  </si>
  <si>
    <t>other</t>
  </si>
  <si>
    <t>L0005</t>
  </si>
  <si>
    <t>B0005</t>
  </si>
  <si>
    <t>NY</t>
  </si>
  <si>
    <t>G</t>
  </si>
  <si>
    <t>L0006</t>
  </si>
  <si>
    <t>B0006</t>
  </si>
  <si>
    <t>L0007</t>
  </si>
  <si>
    <t>B0007</t>
  </si>
  <si>
    <t>MI</t>
  </si>
  <si>
    <t>debt consolidation</t>
  </si>
  <si>
    <t>L0008</t>
  </si>
  <si>
    <t>B0008</t>
  </si>
  <si>
    <t>NC</t>
  </si>
  <si>
    <t>L0009</t>
  </si>
  <si>
    <t>B0009</t>
  </si>
  <si>
    <t>GA</t>
  </si>
  <si>
    <t>L0010</t>
  </si>
  <si>
    <t>B0010</t>
  </si>
  <si>
    <t>IL</t>
  </si>
  <si>
    <t>B</t>
  </si>
  <si>
    <t>L0011</t>
  </si>
  <si>
    <t>B0011</t>
  </si>
  <si>
    <t>L0012</t>
  </si>
  <si>
    <t>B0012</t>
  </si>
  <si>
    <t>L0013</t>
  </si>
  <si>
    <t>B0013</t>
  </si>
  <si>
    <t>CA</t>
  </si>
  <si>
    <t>L0014</t>
  </si>
  <si>
    <t>B0014</t>
  </si>
  <si>
    <t>L0015</t>
  </si>
  <si>
    <t>B0015</t>
  </si>
  <si>
    <t>L0016</t>
  </si>
  <si>
    <t>B0016</t>
  </si>
  <si>
    <t>FL</t>
  </si>
  <si>
    <t>C</t>
  </si>
  <si>
    <t>L0017</t>
  </si>
  <si>
    <t>B0017</t>
  </si>
  <si>
    <t>TX</t>
  </si>
  <si>
    <t>L0018</t>
  </si>
  <si>
    <t>B0018</t>
  </si>
  <si>
    <t>L0019</t>
  </si>
  <si>
    <t>B0019</t>
  </si>
  <si>
    <t>Charged Off</t>
  </si>
  <si>
    <t>L0020</t>
  </si>
  <si>
    <t>B0020</t>
  </si>
  <si>
    <t>E</t>
  </si>
  <si>
    <t>L0021</t>
  </si>
  <si>
    <t>B0021</t>
  </si>
  <si>
    <t>L0022</t>
  </si>
  <si>
    <t>B0022</t>
  </si>
  <si>
    <t>L0023</t>
  </si>
  <si>
    <t>B0023</t>
  </si>
  <si>
    <t>L0024</t>
  </si>
  <si>
    <t>B0024</t>
  </si>
  <si>
    <t>L0025</t>
  </si>
  <si>
    <t>B0025</t>
  </si>
  <si>
    <t>L0026</t>
  </si>
  <si>
    <t>B0026</t>
  </si>
  <si>
    <t>L0027</t>
  </si>
  <si>
    <t>B0027</t>
  </si>
  <si>
    <t>L0028</t>
  </si>
  <si>
    <t>B0028</t>
  </si>
  <si>
    <t>L0029</t>
  </si>
  <si>
    <t>B0029</t>
  </si>
  <si>
    <t>L0030</t>
  </si>
  <si>
    <t>B0030</t>
  </si>
  <si>
    <t>L0031</t>
  </si>
  <si>
    <t>B0031</t>
  </si>
  <si>
    <t>L0032</t>
  </si>
  <si>
    <t>B0032</t>
  </si>
  <si>
    <t>L0033</t>
  </si>
  <si>
    <t>B0033</t>
  </si>
  <si>
    <t>L0034</t>
  </si>
  <si>
    <t>B0034</t>
  </si>
  <si>
    <t>L0035</t>
  </si>
  <si>
    <t>B0035</t>
  </si>
  <si>
    <t>L0036</t>
  </si>
  <si>
    <t>B0036</t>
  </si>
  <si>
    <t>L0037</t>
  </si>
  <si>
    <t>B0037</t>
  </si>
  <si>
    <t>L0038</t>
  </si>
  <si>
    <t>B0038</t>
  </si>
  <si>
    <t>L0039</t>
  </si>
  <si>
    <t>B0039</t>
  </si>
  <si>
    <t>L0040</t>
  </si>
  <si>
    <t>B0040</t>
  </si>
  <si>
    <t>L0041</t>
  </si>
  <si>
    <t>B0041</t>
  </si>
  <si>
    <t>L0042</t>
  </si>
  <si>
    <t>B0042</t>
  </si>
  <si>
    <t>L0043</t>
  </si>
  <si>
    <t>B0043</t>
  </si>
  <si>
    <t>L0044</t>
  </si>
  <si>
    <t>B0044</t>
  </si>
  <si>
    <t>L0045</t>
  </si>
  <si>
    <t>B0045</t>
  </si>
  <si>
    <t>L0046</t>
  </si>
  <si>
    <t>B0046</t>
  </si>
  <si>
    <t>L0047</t>
  </si>
  <si>
    <t>B0047</t>
  </si>
  <si>
    <t>L0048</t>
  </si>
  <si>
    <t>B0048</t>
  </si>
  <si>
    <t>L0049</t>
  </si>
  <si>
    <t>B0049</t>
  </si>
  <si>
    <t>L0050</t>
  </si>
  <si>
    <t>B0050</t>
  </si>
  <si>
    <t>L0051</t>
  </si>
  <si>
    <t>B0051</t>
  </si>
  <si>
    <t>L0052</t>
  </si>
  <si>
    <t>B0052</t>
  </si>
  <si>
    <t>L0053</t>
  </si>
  <si>
    <t>B0053</t>
  </si>
  <si>
    <t>L0054</t>
  </si>
  <si>
    <t>B0054</t>
  </si>
  <si>
    <t>L0055</t>
  </si>
  <si>
    <t>B0055</t>
  </si>
  <si>
    <t>L0056</t>
  </si>
  <si>
    <t>B0056</t>
  </si>
  <si>
    <t>L0057</t>
  </si>
  <si>
    <t>B0057</t>
  </si>
  <si>
    <t>L0058</t>
  </si>
  <si>
    <t>B0058</t>
  </si>
  <si>
    <t>L0059</t>
  </si>
  <si>
    <t>B0059</t>
  </si>
  <si>
    <t>L0060</t>
  </si>
  <si>
    <t>B0060</t>
  </si>
  <si>
    <t>L0061</t>
  </si>
  <si>
    <t>B0061</t>
  </si>
  <si>
    <t>L0062</t>
  </si>
  <si>
    <t>B0062</t>
  </si>
  <si>
    <t>L0063</t>
  </si>
  <si>
    <t>B0063</t>
  </si>
  <si>
    <t>L0064</t>
  </si>
  <si>
    <t>B0064</t>
  </si>
  <si>
    <t>L0065</t>
  </si>
  <si>
    <t>B0065</t>
  </si>
  <si>
    <t>L0066</t>
  </si>
  <si>
    <t>B0066</t>
  </si>
  <si>
    <t>L0067</t>
  </si>
  <si>
    <t>B0067</t>
  </si>
  <si>
    <t>L0068</t>
  </si>
  <si>
    <t>B0068</t>
  </si>
  <si>
    <t>L0069</t>
  </si>
  <si>
    <t>B0069</t>
  </si>
  <si>
    <t>L0070</t>
  </si>
  <si>
    <t>B0070</t>
  </si>
  <si>
    <t>L0071</t>
  </si>
  <si>
    <t>B0071</t>
  </si>
  <si>
    <t>L0072</t>
  </si>
  <si>
    <t>B0072</t>
  </si>
  <si>
    <t>L0073</t>
  </si>
  <si>
    <t>B0073</t>
  </si>
  <si>
    <t>L0074</t>
  </si>
  <si>
    <t>B0074</t>
  </si>
  <si>
    <t>L0075</t>
  </si>
  <si>
    <t>B0075</t>
  </si>
  <si>
    <t>L0076</t>
  </si>
  <si>
    <t>B0076</t>
  </si>
  <si>
    <t>L0077</t>
  </si>
  <si>
    <t>B0077</t>
  </si>
  <si>
    <t>L0078</t>
  </si>
  <si>
    <t>B0078</t>
  </si>
  <si>
    <t>L0079</t>
  </si>
  <si>
    <t>B0079</t>
  </si>
  <si>
    <t>L0080</t>
  </si>
  <si>
    <t>B0080</t>
  </si>
  <si>
    <t>L0081</t>
  </si>
  <si>
    <t>B0081</t>
  </si>
  <si>
    <t>L0082</t>
  </si>
  <si>
    <t>B0082</t>
  </si>
  <si>
    <t>L0083</t>
  </si>
  <si>
    <t>B0083</t>
  </si>
  <si>
    <t>L0084</t>
  </si>
  <si>
    <t>B0084</t>
  </si>
  <si>
    <t>L0085</t>
  </si>
  <si>
    <t>B0085</t>
  </si>
  <si>
    <t>L0086</t>
  </si>
  <si>
    <t>B0086</t>
  </si>
  <si>
    <t>L0087</t>
  </si>
  <si>
    <t>B0087</t>
  </si>
  <si>
    <t>L0088</t>
  </si>
  <si>
    <t>B0088</t>
  </si>
  <si>
    <t>L0089</t>
  </si>
  <si>
    <t>B0089</t>
  </si>
  <si>
    <t>L0090</t>
  </si>
  <si>
    <t>B0090</t>
  </si>
  <si>
    <t>L0091</t>
  </si>
  <si>
    <t>B0091</t>
  </si>
  <si>
    <t>L0092</t>
  </si>
  <si>
    <t>B0092</t>
  </si>
  <si>
    <t>L0093</t>
  </si>
  <si>
    <t>B0093</t>
  </si>
  <si>
    <t>L0094</t>
  </si>
  <si>
    <t>B0094</t>
  </si>
  <si>
    <t>L0095</t>
  </si>
  <si>
    <t>B0095</t>
  </si>
  <si>
    <t>L0096</t>
  </si>
  <si>
    <t>B0096</t>
  </si>
  <si>
    <t>L0097</t>
  </si>
  <si>
    <t>B0097</t>
  </si>
  <si>
    <t>L0098</t>
  </si>
  <si>
    <t>B0098</t>
  </si>
  <si>
    <t>L0099</t>
  </si>
  <si>
    <t>B0099</t>
  </si>
  <si>
    <t>L0100</t>
  </si>
  <si>
    <t>B0100</t>
  </si>
  <si>
    <t>L0101</t>
  </si>
  <si>
    <t>B0101</t>
  </si>
  <si>
    <t>L0102</t>
  </si>
  <si>
    <t>B0102</t>
  </si>
  <si>
    <t>L0103</t>
  </si>
  <si>
    <t>B0103</t>
  </si>
  <si>
    <t>L0104</t>
  </si>
  <si>
    <t>B0104</t>
  </si>
  <si>
    <t>L0105</t>
  </si>
  <si>
    <t>B0105</t>
  </si>
  <si>
    <t>L0106</t>
  </si>
  <si>
    <t>B0106</t>
  </si>
  <si>
    <t>L0107</t>
  </si>
  <si>
    <t>B0107</t>
  </si>
  <si>
    <t>L0108</t>
  </si>
  <si>
    <t>B0108</t>
  </si>
  <si>
    <t>L0109</t>
  </si>
  <si>
    <t>B0109</t>
  </si>
  <si>
    <t>L0110</t>
  </si>
  <si>
    <t>B0110</t>
  </si>
  <si>
    <t>L0111</t>
  </si>
  <si>
    <t>B0111</t>
  </si>
  <si>
    <t>L0112</t>
  </si>
  <si>
    <t>B0112</t>
  </si>
  <si>
    <t>L0113</t>
  </si>
  <si>
    <t>B0113</t>
  </si>
  <si>
    <t>L0114</t>
  </si>
  <si>
    <t>B0114</t>
  </si>
  <si>
    <t>L0115</t>
  </si>
  <si>
    <t>B0115</t>
  </si>
  <si>
    <t>L0116</t>
  </si>
  <si>
    <t>B0116</t>
  </si>
  <si>
    <t>L0117</t>
  </si>
  <si>
    <t>B0117</t>
  </si>
  <si>
    <t>L0118</t>
  </si>
  <si>
    <t>B0118</t>
  </si>
  <si>
    <t>L0119</t>
  </si>
  <si>
    <t>B0119</t>
  </si>
  <si>
    <t>L0120</t>
  </si>
  <si>
    <t>B0120</t>
  </si>
  <si>
    <t>L0121</t>
  </si>
  <si>
    <t>B0121</t>
  </si>
  <si>
    <t>L0122</t>
  </si>
  <si>
    <t>B0122</t>
  </si>
  <si>
    <t>L0123</t>
  </si>
  <si>
    <t>B0123</t>
  </si>
  <si>
    <t>L0124</t>
  </si>
  <si>
    <t>B0124</t>
  </si>
  <si>
    <t>L0125</t>
  </si>
  <si>
    <t>B0125</t>
  </si>
  <si>
    <t>L0126</t>
  </si>
  <si>
    <t>B0126</t>
  </si>
  <si>
    <t>L0127</t>
  </si>
  <si>
    <t>B0127</t>
  </si>
  <si>
    <t>L0128</t>
  </si>
  <si>
    <t>B0128</t>
  </si>
  <si>
    <t>L0129</t>
  </si>
  <si>
    <t>B0129</t>
  </si>
  <si>
    <t>L0130</t>
  </si>
  <si>
    <t>B0130</t>
  </si>
  <si>
    <t>L0131</t>
  </si>
  <si>
    <t>B0131</t>
  </si>
  <si>
    <t>L0132</t>
  </si>
  <si>
    <t>B0132</t>
  </si>
  <si>
    <t>L0133</t>
  </si>
  <si>
    <t>B0133</t>
  </si>
  <si>
    <t>L0134</t>
  </si>
  <si>
    <t>B0134</t>
  </si>
  <si>
    <t>L0135</t>
  </si>
  <si>
    <t>B0135</t>
  </si>
  <si>
    <t>In Grace Period</t>
  </si>
  <si>
    <t>L0136</t>
  </si>
  <si>
    <t>B0136</t>
  </si>
  <si>
    <t>L0137</t>
  </si>
  <si>
    <t>B0137</t>
  </si>
  <si>
    <t>L0138</t>
  </si>
  <si>
    <t>B0138</t>
  </si>
  <si>
    <t>L0139</t>
  </si>
  <si>
    <t>B0139</t>
  </si>
  <si>
    <t>L0140</t>
  </si>
  <si>
    <t>B0140</t>
  </si>
  <si>
    <t>L0141</t>
  </si>
  <si>
    <t>B0141</t>
  </si>
  <si>
    <t>L0142</t>
  </si>
  <si>
    <t>B0142</t>
  </si>
  <si>
    <t>L0143</t>
  </si>
  <si>
    <t>B0143</t>
  </si>
  <si>
    <t>L0144</t>
  </si>
  <si>
    <t>B0144</t>
  </si>
  <si>
    <t>L0145</t>
  </si>
  <si>
    <t>B0145</t>
  </si>
  <si>
    <t>L0146</t>
  </si>
  <si>
    <t>B0146</t>
  </si>
  <si>
    <t>L0147</t>
  </si>
  <si>
    <t>B0147</t>
  </si>
  <si>
    <t>L0148</t>
  </si>
  <si>
    <t>B0148</t>
  </si>
  <si>
    <t>L0149</t>
  </si>
  <si>
    <t>B0149</t>
  </si>
  <si>
    <t>L0150</t>
  </si>
  <si>
    <t>B0150</t>
  </si>
  <si>
    <t>L0151</t>
  </si>
  <si>
    <t>B0151</t>
  </si>
  <si>
    <t>L0152</t>
  </si>
  <si>
    <t>B0152</t>
  </si>
  <si>
    <t>L0153</t>
  </si>
  <si>
    <t>B0153</t>
  </si>
  <si>
    <t>L0154</t>
  </si>
  <si>
    <t>B0154</t>
  </si>
  <si>
    <t>L0155</t>
  </si>
  <si>
    <t>B0155</t>
  </si>
  <si>
    <t>L0156</t>
  </si>
  <si>
    <t>B0156</t>
  </si>
  <si>
    <t>L0157</t>
  </si>
  <si>
    <t>B0157</t>
  </si>
  <si>
    <t>L0158</t>
  </si>
  <si>
    <t>B0158</t>
  </si>
  <si>
    <t>L0159</t>
  </si>
  <si>
    <t>B0159</t>
  </si>
  <si>
    <t>L0160</t>
  </si>
  <si>
    <t>B0160</t>
  </si>
  <si>
    <t>L0161</t>
  </si>
  <si>
    <t>B0161</t>
  </si>
  <si>
    <t>L0162</t>
  </si>
  <si>
    <t>B0162</t>
  </si>
  <si>
    <t>L0163</t>
  </si>
  <si>
    <t>B0163</t>
  </si>
  <si>
    <t>L0164</t>
  </si>
  <si>
    <t>B0164</t>
  </si>
  <si>
    <t>L0165</t>
  </si>
  <si>
    <t>B0165</t>
  </si>
  <si>
    <t>L0166</t>
  </si>
  <si>
    <t>B0166</t>
  </si>
  <si>
    <t>L0167</t>
  </si>
  <si>
    <t>B0167</t>
  </si>
  <si>
    <t>L0168</t>
  </si>
  <si>
    <t>B0168</t>
  </si>
  <si>
    <t>L0169</t>
  </si>
  <si>
    <t>B0169</t>
  </si>
  <si>
    <t>L0170</t>
  </si>
  <si>
    <t>B0170</t>
  </si>
  <si>
    <t>L0171</t>
  </si>
  <si>
    <t>B0171</t>
  </si>
  <si>
    <t>L0172</t>
  </si>
  <si>
    <t>B0172</t>
  </si>
  <si>
    <t>L0173</t>
  </si>
  <si>
    <t>B0173</t>
  </si>
  <si>
    <t>L0174</t>
  </si>
  <si>
    <t>B0174</t>
  </si>
  <si>
    <t>L0175</t>
  </si>
  <si>
    <t>B0175</t>
  </si>
  <si>
    <t>L0176</t>
  </si>
  <si>
    <t>B0176</t>
  </si>
  <si>
    <t>L0177</t>
  </si>
  <si>
    <t>B0177</t>
  </si>
  <si>
    <t>L0178</t>
  </si>
  <si>
    <t>B0178</t>
  </si>
  <si>
    <t>L0179</t>
  </si>
  <si>
    <t>B0179</t>
  </si>
  <si>
    <t>L0180</t>
  </si>
  <si>
    <t>B0180</t>
  </si>
  <si>
    <t>L0181</t>
  </si>
  <si>
    <t>B0181</t>
  </si>
  <si>
    <t>L0182</t>
  </si>
  <si>
    <t>B0182</t>
  </si>
  <si>
    <t>L0183</t>
  </si>
  <si>
    <t>B0183</t>
  </si>
  <si>
    <t>L0184</t>
  </si>
  <si>
    <t>B0184</t>
  </si>
  <si>
    <t>L0185</t>
  </si>
  <si>
    <t>B0185</t>
  </si>
  <si>
    <t>L0186</t>
  </si>
  <si>
    <t>B0186</t>
  </si>
  <si>
    <t>L0187</t>
  </si>
  <si>
    <t>B0187</t>
  </si>
  <si>
    <t>L0188</t>
  </si>
  <si>
    <t>B0188</t>
  </si>
  <si>
    <t>L0189</t>
  </si>
  <si>
    <t>B0189</t>
  </si>
  <si>
    <t>L0190</t>
  </si>
  <si>
    <t>B0190</t>
  </si>
  <si>
    <t>L0191</t>
  </si>
  <si>
    <t>B0191</t>
  </si>
  <si>
    <t>L0192</t>
  </si>
  <si>
    <t>B0192</t>
  </si>
  <si>
    <t>L0193</t>
  </si>
  <si>
    <t>B0193</t>
  </si>
  <si>
    <t>L0194</t>
  </si>
  <si>
    <t>B0194</t>
  </si>
  <si>
    <t>L0195</t>
  </si>
  <si>
    <t>B0195</t>
  </si>
  <si>
    <t>L0196</t>
  </si>
  <si>
    <t>B0196</t>
  </si>
  <si>
    <t>L0197</t>
  </si>
  <si>
    <t>B0197</t>
  </si>
  <si>
    <t>L0198</t>
  </si>
  <si>
    <t>B0198</t>
  </si>
  <si>
    <t>L0199</t>
  </si>
  <si>
    <t>B0199</t>
  </si>
  <si>
    <t>L0200</t>
  </si>
  <si>
    <t>B0200</t>
  </si>
  <si>
    <t>L0201</t>
  </si>
  <si>
    <t>B0201</t>
  </si>
  <si>
    <t>L0202</t>
  </si>
  <si>
    <t>B0202</t>
  </si>
  <si>
    <t>L0203</t>
  </si>
  <si>
    <t>B0203</t>
  </si>
  <si>
    <t>L0204</t>
  </si>
  <si>
    <t>B0204</t>
  </si>
  <si>
    <t>L0205</t>
  </si>
  <si>
    <t>B0205</t>
  </si>
  <si>
    <t>L0206</t>
  </si>
  <si>
    <t>B0206</t>
  </si>
  <si>
    <t>L0207</t>
  </si>
  <si>
    <t>B0207</t>
  </si>
  <si>
    <t>L0208</t>
  </si>
  <si>
    <t>B0208</t>
  </si>
  <si>
    <t>L0209</t>
  </si>
  <si>
    <t>B0209</t>
  </si>
  <si>
    <t>L0210</t>
  </si>
  <si>
    <t>B0210</t>
  </si>
  <si>
    <t>L0211</t>
  </si>
  <si>
    <t>B0211</t>
  </si>
  <si>
    <t>L0212</t>
  </si>
  <si>
    <t>B0212</t>
  </si>
  <si>
    <t>L0213</t>
  </si>
  <si>
    <t>B0213</t>
  </si>
  <si>
    <t>L0214</t>
  </si>
  <si>
    <t>B0214</t>
  </si>
  <si>
    <t>L0215</t>
  </si>
  <si>
    <t>B0215</t>
  </si>
  <si>
    <t>L0216</t>
  </si>
  <si>
    <t>B0216</t>
  </si>
  <si>
    <t>L0217</t>
  </si>
  <si>
    <t>B0217</t>
  </si>
  <si>
    <t>L0218</t>
  </si>
  <si>
    <t>B0218</t>
  </si>
  <si>
    <t>L0219</t>
  </si>
  <si>
    <t>B0219</t>
  </si>
  <si>
    <t>L0220</t>
  </si>
  <si>
    <t>B0220</t>
  </si>
  <si>
    <t>L0221</t>
  </si>
  <si>
    <t>B0221</t>
  </si>
  <si>
    <t>L0222</t>
  </si>
  <si>
    <t>B0222</t>
  </si>
  <si>
    <t>L0223</t>
  </si>
  <si>
    <t>B0223</t>
  </si>
  <si>
    <t>L0224</t>
  </si>
  <si>
    <t>B0224</t>
  </si>
  <si>
    <t>L0225</t>
  </si>
  <si>
    <t>B0225</t>
  </si>
  <si>
    <t>L0226</t>
  </si>
  <si>
    <t>B0226</t>
  </si>
  <si>
    <t>L0227</t>
  </si>
  <si>
    <t>B0227</t>
  </si>
  <si>
    <t>L0228</t>
  </si>
  <si>
    <t>B0228</t>
  </si>
  <si>
    <t>L0229</t>
  </si>
  <si>
    <t>B0229</t>
  </si>
  <si>
    <t>L0230</t>
  </si>
  <si>
    <t>B0230</t>
  </si>
  <si>
    <t>L0231</t>
  </si>
  <si>
    <t>B0231</t>
  </si>
  <si>
    <t>L0232</t>
  </si>
  <si>
    <t>B0232</t>
  </si>
  <si>
    <t>L0233</t>
  </si>
  <si>
    <t>B0233</t>
  </si>
  <si>
    <t>L0234</t>
  </si>
  <si>
    <t>B0234</t>
  </si>
  <si>
    <t>L0235</t>
  </si>
  <si>
    <t>B0235</t>
  </si>
  <si>
    <t>L0236</t>
  </si>
  <si>
    <t>B0236</t>
  </si>
  <si>
    <t>L0237</t>
  </si>
  <si>
    <t>B0237</t>
  </si>
  <si>
    <t>L0238</t>
  </si>
  <si>
    <t>B0238</t>
  </si>
  <si>
    <t>L0239</t>
  </si>
  <si>
    <t>B0239</t>
  </si>
  <si>
    <t>L0240</t>
  </si>
  <si>
    <t>B0240</t>
  </si>
  <si>
    <t>L0241</t>
  </si>
  <si>
    <t>B0241</t>
  </si>
  <si>
    <t>L0242</t>
  </si>
  <si>
    <t>B0242</t>
  </si>
  <si>
    <t>L0243</t>
  </si>
  <si>
    <t>B0243</t>
  </si>
  <si>
    <t>L0244</t>
  </si>
  <si>
    <t>B0244</t>
  </si>
  <si>
    <t>L0245</t>
  </si>
  <si>
    <t>B0245</t>
  </si>
  <si>
    <t>L0246</t>
  </si>
  <si>
    <t>B0246</t>
  </si>
  <si>
    <t>L0247</t>
  </si>
  <si>
    <t>B0247</t>
  </si>
  <si>
    <t>L0248</t>
  </si>
  <si>
    <t>B0248</t>
  </si>
  <si>
    <t>L0249</t>
  </si>
  <si>
    <t>B0249</t>
  </si>
  <si>
    <t>L0250</t>
  </si>
  <si>
    <t>B0250</t>
  </si>
  <si>
    <t>L0251</t>
  </si>
  <si>
    <t>B0251</t>
  </si>
  <si>
    <t>L0252</t>
  </si>
  <si>
    <t>B0252</t>
  </si>
  <si>
    <t>L0253</t>
  </si>
  <si>
    <t>B0253</t>
  </si>
  <si>
    <t>L0254</t>
  </si>
  <si>
    <t>B0254</t>
  </si>
  <si>
    <t>L0255</t>
  </si>
  <si>
    <t>B0255</t>
  </si>
  <si>
    <t>L0256</t>
  </si>
  <si>
    <t>B0256</t>
  </si>
  <si>
    <t>L0257</t>
  </si>
  <si>
    <t>B0257</t>
  </si>
  <si>
    <t>L0258</t>
  </si>
  <si>
    <t>B0258</t>
  </si>
  <si>
    <t>L0259</t>
  </si>
  <si>
    <t>B0259</t>
  </si>
  <si>
    <t>L0260</t>
  </si>
  <si>
    <t>B0260</t>
  </si>
  <si>
    <t>L0261</t>
  </si>
  <si>
    <t>B0261</t>
  </si>
  <si>
    <t>L0262</t>
  </si>
  <si>
    <t>B0262</t>
  </si>
  <si>
    <t>L0263</t>
  </si>
  <si>
    <t>B0263</t>
  </si>
  <si>
    <t>L0264</t>
  </si>
  <si>
    <t>B0264</t>
  </si>
  <si>
    <t>L0265</t>
  </si>
  <si>
    <t>B0265</t>
  </si>
  <si>
    <t>L0266</t>
  </si>
  <si>
    <t>B0266</t>
  </si>
  <si>
    <t>L0267</t>
  </si>
  <si>
    <t>B0267</t>
  </si>
  <si>
    <t>L0268</t>
  </si>
  <si>
    <t>B0268</t>
  </si>
  <si>
    <t>L0269</t>
  </si>
  <si>
    <t>B0269</t>
  </si>
  <si>
    <t>L0270</t>
  </si>
  <si>
    <t>B0270</t>
  </si>
  <si>
    <t>L0271</t>
  </si>
  <si>
    <t>B0271</t>
  </si>
  <si>
    <t>L0272</t>
  </si>
  <si>
    <t>B0272</t>
  </si>
  <si>
    <t>L0273</t>
  </si>
  <si>
    <t>B0273</t>
  </si>
  <si>
    <t>L0274</t>
  </si>
  <si>
    <t>B0274</t>
  </si>
  <si>
    <t>L0275</t>
  </si>
  <si>
    <t>B0275</t>
  </si>
  <si>
    <t>L0276</t>
  </si>
  <si>
    <t>B0276</t>
  </si>
  <si>
    <t>L0277</t>
  </si>
  <si>
    <t>B0277</t>
  </si>
  <si>
    <t>L0278</t>
  </si>
  <si>
    <t>B0278</t>
  </si>
  <si>
    <t>L0279</t>
  </si>
  <si>
    <t>B0279</t>
  </si>
  <si>
    <t>L0280</t>
  </si>
  <si>
    <t>B0280</t>
  </si>
  <si>
    <t>L0281</t>
  </si>
  <si>
    <t>B0281</t>
  </si>
  <si>
    <t>L0282</t>
  </si>
  <si>
    <t>B0282</t>
  </si>
  <si>
    <t>L0283</t>
  </si>
  <si>
    <t>B0283</t>
  </si>
  <si>
    <t>L0284</t>
  </si>
  <si>
    <t>B0284</t>
  </si>
  <si>
    <t>L0285</t>
  </si>
  <si>
    <t>B0285</t>
  </si>
  <si>
    <t>L0286</t>
  </si>
  <si>
    <t>B0286</t>
  </si>
  <si>
    <t>L0287</t>
  </si>
  <si>
    <t>B0287</t>
  </si>
  <si>
    <t>L0288</t>
  </si>
  <si>
    <t>B0288</t>
  </si>
  <si>
    <t>L0289</t>
  </si>
  <si>
    <t>B0289</t>
  </si>
  <si>
    <t>L0290</t>
  </si>
  <si>
    <t>B0290</t>
  </si>
  <si>
    <t>L0291</t>
  </si>
  <si>
    <t>B0291</t>
  </si>
  <si>
    <t>L0292</t>
  </si>
  <si>
    <t>B0292</t>
  </si>
  <si>
    <t>L0293</t>
  </si>
  <si>
    <t>B0293</t>
  </si>
  <si>
    <t>L0294</t>
  </si>
  <si>
    <t>B0294</t>
  </si>
  <si>
    <t>L0295</t>
  </si>
  <si>
    <t>B0295</t>
  </si>
  <si>
    <t>L0296</t>
  </si>
  <si>
    <t>B0296</t>
  </si>
  <si>
    <t>L0297</t>
  </si>
  <si>
    <t>B0297</t>
  </si>
  <si>
    <t>L0298</t>
  </si>
  <si>
    <t>B0298</t>
  </si>
  <si>
    <t>L0299</t>
  </si>
  <si>
    <t>B0299</t>
  </si>
  <si>
    <t>L0300</t>
  </si>
  <si>
    <t>B0300</t>
  </si>
  <si>
    <t>L0301</t>
  </si>
  <si>
    <t>B0301</t>
  </si>
  <si>
    <t>L0302</t>
  </si>
  <si>
    <t>B0302</t>
  </si>
  <si>
    <t>L0303</t>
  </si>
  <si>
    <t>B0303</t>
  </si>
  <si>
    <t>L0304</t>
  </si>
  <si>
    <t>B0304</t>
  </si>
  <si>
    <t>L0305</t>
  </si>
  <si>
    <t>B0305</t>
  </si>
  <si>
    <t>L0306</t>
  </si>
  <si>
    <t>B0306</t>
  </si>
  <si>
    <t>L0307</t>
  </si>
  <si>
    <t>B0307</t>
  </si>
  <si>
    <t>L0308</t>
  </si>
  <si>
    <t>B0308</t>
  </si>
  <si>
    <t>L0309</t>
  </si>
  <si>
    <t>B0309</t>
  </si>
  <si>
    <t>L0310</t>
  </si>
  <si>
    <t>B0310</t>
  </si>
  <si>
    <t>L0311</t>
  </si>
  <si>
    <t>B0311</t>
  </si>
  <si>
    <t>L0312</t>
  </si>
  <si>
    <t>B0312</t>
  </si>
  <si>
    <t>L0313</t>
  </si>
  <si>
    <t>B0313</t>
  </si>
  <si>
    <t>L0314</t>
  </si>
  <si>
    <t>B0314</t>
  </si>
  <si>
    <t>L0315</t>
  </si>
  <si>
    <t>B0315</t>
  </si>
  <si>
    <t>L0316</t>
  </si>
  <si>
    <t>B0316</t>
  </si>
  <si>
    <t>L0317</t>
  </si>
  <si>
    <t>B0317</t>
  </si>
  <si>
    <t>L0318</t>
  </si>
  <si>
    <t>B0318</t>
  </si>
  <si>
    <t>L0319</t>
  </si>
  <si>
    <t>B0319</t>
  </si>
  <si>
    <t>L0320</t>
  </si>
  <si>
    <t>B0320</t>
  </si>
  <si>
    <t>L0321</t>
  </si>
  <si>
    <t>B0321</t>
  </si>
  <si>
    <t>L0322</t>
  </si>
  <si>
    <t>B0322</t>
  </si>
  <si>
    <t>L0323</t>
  </si>
  <si>
    <t>B0323</t>
  </si>
  <si>
    <t>L0324</t>
  </si>
  <si>
    <t>B0324</t>
  </si>
  <si>
    <t>L0325</t>
  </si>
  <si>
    <t>B0325</t>
  </si>
  <si>
    <t>L0326</t>
  </si>
  <si>
    <t>B0326</t>
  </si>
  <si>
    <t>L0327</t>
  </si>
  <si>
    <t>B0327</t>
  </si>
  <si>
    <t>L0328</t>
  </si>
  <si>
    <t>B0328</t>
  </si>
  <si>
    <t>L0329</t>
  </si>
  <si>
    <t>B0329</t>
  </si>
  <si>
    <t>L0330</t>
  </si>
  <si>
    <t>B0330</t>
  </si>
  <si>
    <t>L0331</t>
  </si>
  <si>
    <t>B0331</t>
  </si>
  <si>
    <t>L0332</t>
  </si>
  <si>
    <t>B0332</t>
  </si>
  <si>
    <t>L0333</t>
  </si>
  <si>
    <t>B0333</t>
  </si>
  <si>
    <t>L0334</t>
  </si>
  <si>
    <t>B0334</t>
  </si>
  <si>
    <t>L0335</t>
  </si>
  <si>
    <t>B0335</t>
  </si>
  <si>
    <t>L0336</t>
  </si>
  <si>
    <t>B0336</t>
  </si>
  <si>
    <t>L0337</t>
  </si>
  <si>
    <t>B0337</t>
  </si>
  <si>
    <t>L0338</t>
  </si>
  <si>
    <t>B0338</t>
  </si>
  <si>
    <t>L0339</t>
  </si>
  <si>
    <t>B0339</t>
  </si>
  <si>
    <t>L0340</t>
  </si>
  <si>
    <t>B0340</t>
  </si>
  <si>
    <t>L0341</t>
  </si>
  <si>
    <t>B0341</t>
  </si>
  <si>
    <t>L0342</t>
  </si>
  <si>
    <t>B0342</t>
  </si>
  <si>
    <t>L0343</t>
  </si>
  <si>
    <t>B0343</t>
  </si>
  <si>
    <t>L0344</t>
  </si>
  <si>
    <t>B0344</t>
  </si>
  <si>
    <t>L0345</t>
  </si>
  <si>
    <t>B0345</t>
  </si>
  <si>
    <t>L0346</t>
  </si>
  <si>
    <t>B0346</t>
  </si>
  <si>
    <t>L0347</t>
  </si>
  <si>
    <t>B0347</t>
  </si>
  <si>
    <t>L0348</t>
  </si>
  <si>
    <t>B0348</t>
  </si>
  <si>
    <t>L0349</t>
  </si>
  <si>
    <t>B0349</t>
  </si>
  <si>
    <t>L0350</t>
  </si>
  <si>
    <t>B0350</t>
  </si>
  <si>
    <t>L0351</t>
  </si>
  <si>
    <t>B0351</t>
  </si>
  <si>
    <t>L0352</t>
  </si>
  <si>
    <t>B0352</t>
  </si>
  <si>
    <t>L0353</t>
  </si>
  <si>
    <t>B0353</t>
  </si>
  <si>
    <t>L0354</t>
  </si>
  <si>
    <t>B0354</t>
  </si>
  <si>
    <t>L0355</t>
  </si>
  <si>
    <t>B0355</t>
  </si>
  <si>
    <t>L0356</t>
  </si>
  <si>
    <t>B0356</t>
  </si>
  <si>
    <t>L0357</t>
  </si>
  <si>
    <t>B0357</t>
  </si>
  <si>
    <t>L0358</t>
  </si>
  <si>
    <t>B0358</t>
  </si>
  <si>
    <t>L0359</t>
  </si>
  <si>
    <t>B0359</t>
  </si>
  <si>
    <t>L0360</t>
  </si>
  <si>
    <t>B0360</t>
  </si>
  <si>
    <t>L0361</t>
  </si>
  <si>
    <t>B0361</t>
  </si>
  <si>
    <t>L0362</t>
  </si>
  <si>
    <t>B0362</t>
  </si>
  <si>
    <t>L0363</t>
  </si>
  <si>
    <t>B0363</t>
  </si>
  <si>
    <t>L0364</t>
  </si>
  <si>
    <t>B0364</t>
  </si>
  <si>
    <t>L0365</t>
  </si>
  <si>
    <t>B0365</t>
  </si>
  <si>
    <t>L0366</t>
  </si>
  <si>
    <t>B0366</t>
  </si>
  <si>
    <t>L0367</t>
  </si>
  <si>
    <t>B0367</t>
  </si>
  <si>
    <t>L0368</t>
  </si>
  <si>
    <t>B0368</t>
  </si>
  <si>
    <t>L0369</t>
  </si>
  <si>
    <t>B0369</t>
  </si>
  <si>
    <t>L0370</t>
  </si>
  <si>
    <t>B0370</t>
  </si>
  <si>
    <t>L0371</t>
  </si>
  <si>
    <t>B0371</t>
  </si>
  <si>
    <t>L0372</t>
  </si>
  <si>
    <t>B0372</t>
  </si>
  <si>
    <t>L0373</t>
  </si>
  <si>
    <t>B0373</t>
  </si>
  <si>
    <t>L0374</t>
  </si>
  <si>
    <t>B0374</t>
  </si>
  <si>
    <t>L0375</t>
  </si>
  <si>
    <t>B0375</t>
  </si>
  <si>
    <t>L0376</t>
  </si>
  <si>
    <t>B0376</t>
  </si>
  <si>
    <t>L0377</t>
  </si>
  <si>
    <t>B0377</t>
  </si>
  <si>
    <t>L0378</t>
  </si>
  <si>
    <t>B0378</t>
  </si>
  <si>
    <t>L0379</t>
  </si>
  <si>
    <t>B0379</t>
  </si>
  <si>
    <t>L0380</t>
  </si>
  <si>
    <t>B0380</t>
  </si>
  <si>
    <t>L0381</t>
  </si>
  <si>
    <t>B0381</t>
  </si>
  <si>
    <t>L0382</t>
  </si>
  <si>
    <t>B0382</t>
  </si>
  <si>
    <t>L0383</t>
  </si>
  <si>
    <t>B0383</t>
  </si>
  <si>
    <t>L0384</t>
  </si>
  <si>
    <t>B0384</t>
  </si>
  <si>
    <t>L0385</t>
  </si>
  <si>
    <t>B0385</t>
  </si>
  <si>
    <t>L0386</t>
  </si>
  <si>
    <t>B0386</t>
  </si>
  <si>
    <t>L0387</t>
  </si>
  <si>
    <t>B0387</t>
  </si>
  <si>
    <t>L0388</t>
  </si>
  <si>
    <t>B0388</t>
  </si>
  <si>
    <t>L0389</t>
  </si>
  <si>
    <t>B0389</t>
  </si>
  <si>
    <t>L0390</t>
  </si>
  <si>
    <t>B0390</t>
  </si>
  <si>
    <t>L0391</t>
  </si>
  <si>
    <t>B0391</t>
  </si>
  <si>
    <t>L0392</t>
  </si>
  <si>
    <t>B0392</t>
  </si>
  <si>
    <t>L0393</t>
  </si>
  <si>
    <t>B0393</t>
  </si>
  <si>
    <t>L0394</t>
  </si>
  <si>
    <t>B0394</t>
  </si>
  <si>
    <t>L0395</t>
  </si>
  <si>
    <t>B0395</t>
  </si>
  <si>
    <t>L0396</t>
  </si>
  <si>
    <t>B0396</t>
  </si>
  <si>
    <t>L0397</t>
  </si>
  <si>
    <t>B0397</t>
  </si>
  <si>
    <t>L0398</t>
  </si>
  <si>
    <t>B0398</t>
  </si>
  <si>
    <t>L0399</t>
  </si>
  <si>
    <t>B0399</t>
  </si>
  <si>
    <t>L0400</t>
  </si>
  <si>
    <t>B0400</t>
  </si>
  <si>
    <t>L0401</t>
  </si>
  <si>
    <t>B0401</t>
  </si>
  <si>
    <t>L0402</t>
  </si>
  <si>
    <t>B0402</t>
  </si>
  <si>
    <t>L0403</t>
  </si>
  <si>
    <t>B0403</t>
  </si>
  <si>
    <t>L0404</t>
  </si>
  <si>
    <t>B0404</t>
  </si>
  <si>
    <t>L0405</t>
  </si>
  <si>
    <t>B0405</t>
  </si>
  <si>
    <t>L0406</t>
  </si>
  <si>
    <t>B0406</t>
  </si>
  <si>
    <t>L0407</t>
  </si>
  <si>
    <t>B0407</t>
  </si>
  <si>
    <t>L0408</t>
  </si>
  <si>
    <t>B0408</t>
  </si>
  <si>
    <t>L0409</t>
  </si>
  <si>
    <t>B0409</t>
  </si>
  <si>
    <t>L0410</t>
  </si>
  <si>
    <t>B0410</t>
  </si>
  <si>
    <t>L0411</t>
  </si>
  <si>
    <t>B0411</t>
  </si>
  <si>
    <t>L0412</t>
  </si>
  <si>
    <t>B0412</t>
  </si>
  <si>
    <t>L0413</t>
  </si>
  <si>
    <t>B0413</t>
  </si>
  <si>
    <t>L0414</t>
  </si>
  <si>
    <t>B0414</t>
  </si>
  <si>
    <t>L0415</t>
  </si>
  <si>
    <t>B0415</t>
  </si>
  <si>
    <t>L0416</t>
  </si>
  <si>
    <t>B0416</t>
  </si>
  <si>
    <t>L0417</t>
  </si>
  <si>
    <t>B0417</t>
  </si>
  <si>
    <t>L0418</t>
  </si>
  <si>
    <t>B0418</t>
  </si>
  <si>
    <t>L0419</t>
  </si>
  <si>
    <t>B0419</t>
  </si>
  <si>
    <t>L0420</t>
  </si>
  <si>
    <t>B0420</t>
  </si>
  <si>
    <t>L0421</t>
  </si>
  <si>
    <t>B0421</t>
  </si>
  <si>
    <t>L0422</t>
  </si>
  <si>
    <t>B0422</t>
  </si>
  <si>
    <t>L0423</t>
  </si>
  <si>
    <t>B0423</t>
  </si>
  <si>
    <t>L0424</t>
  </si>
  <si>
    <t>B0424</t>
  </si>
  <si>
    <t>L0425</t>
  </si>
  <si>
    <t>B0425</t>
  </si>
  <si>
    <t>L0426</t>
  </si>
  <si>
    <t>B0426</t>
  </si>
  <si>
    <t>L0427</t>
  </si>
  <si>
    <t>B0427</t>
  </si>
  <si>
    <t>L0428</t>
  </si>
  <si>
    <t>B0428</t>
  </si>
  <si>
    <t>L0429</t>
  </si>
  <si>
    <t>B0429</t>
  </si>
  <si>
    <t>L0430</t>
  </si>
  <si>
    <t>B0430</t>
  </si>
  <si>
    <t>L0431</t>
  </si>
  <si>
    <t>B0431</t>
  </si>
  <si>
    <t>L0432</t>
  </si>
  <si>
    <t>B0432</t>
  </si>
  <si>
    <t>L0433</t>
  </si>
  <si>
    <t>B0433</t>
  </si>
  <si>
    <t>L0434</t>
  </si>
  <si>
    <t>B0434</t>
  </si>
  <si>
    <t>L0435</t>
  </si>
  <si>
    <t>B0435</t>
  </si>
  <si>
    <t>L0436</t>
  </si>
  <si>
    <t>B0436</t>
  </si>
  <si>
    <t>L0437</t>
  </si>
  <si>
    <t>B0437</t>
  </si>
  <si>
    <t>L0438</t>
  </si>
  <si>
    <t>B0438</t>
  </si>
  <si>
    <t>L0439</t>
  </si>
  <si>
    <t>B0439</t>
  </si>
  <si>
    <t>L0440</t>
  </si>
  <si>
    <t>B0440</t>
  </si>
  <si>
    <t>L0441</t>
  </si>
  <si>
    <t>B0441</t>
  </si>
  <si>
    <t>L0442</t>
  </si>
  <si>
    <t>B0442</t>
  </si>
  <si>
    <t>L0443</t>
  </si>
  <si>
    <t>B0443</t>
  </si>
  <si>
    <t>L0444</t>
  </si>
  <si>
    <t>B0444</t>
  </si>
  <si>
    <t>L0445</t>
  </si>
  <si>
    <t>B0445</t>
  </si>
  <si>
    <t>L0446</t>
  </si>
  <si>
    <t>B0446</t>
  </si>
  <si>
    <t>L0447</t>
  </si>
  <si>
    <t>B0447</t>
  </si>
  <si>
    <t>L0448</t>
  </si>
  <si>
    <t>B0448</t>
  </si>
  <si>
    <t>L0449</t>
  </si>
  <si>
    <t>B0449</t>
  </si>
  <si>
    <t>L0450</t>
  </si>
  <si>
    <t>B0450</t>
  </si>
  <si>
    <t>L0451</t>
  </si>
  <si>
    <t>B0451</t>
  </si>
  <si>
    <t>L0452</t>
  </si>
  <si>
    <t>B0452</t>
  </si>
  <si>
    <t>L0453</t>
  </si>
  <si>
    <t>B0453</t>
  </si>
  <si>
    <t>L0454</t>
  </si>
  <si>
    <t>B0454</t>
  </si>
  <si>
    <t>L0455</t>
  </si>
  <si>
    <t>B0455</t>
  </si>
  <si>
    <t>L0456</t>
  </si>
  <si>
    <t>B0456</t>
  </si>
  <si>
    <t>L0457</t>
  </si>
  <si>
    <t>B0457</t>
  </si>
  <si>
    <t>L0458</t>
  </si>
  <si>
    <t>B0458</t>
  </si>
  <si>
    <t>L0459</t>
  </si>
  <si>
    <t>B0459</t>
  </si>
  <si>
    <t>L0460</t>
  </si>
  <si>
    <t>B0460</t>
  </si>
  <si>
    <t>L0461</t>
  </si>
  <si>
    <t>B0461</t>
  </si>
  <si>
    <t>L0462</t>
  </si>
  <si>
    <t>B0462</t>
  </si>
  <si>
    <t>L0463</t>
  </si>
  <si>
    <t>B0463</t>
  </si>
  <si>
    <t>L0464</t>
  </si>
  <si>
    <t>B0464</t>
  </si>
  <si>
    <t>L0465</t>
  </si>
  <si>
    <t>B0465</t>
  </si>
  <si>
    <t>L0466</t>
  </si>
  <si>
    <t>B0466</t>
  </si>
  <si>
    <t>L0467</t>
  </si>
  <si>
    <t>B0467</t>
  </si>
  <si>
    <t>L0468</t>
  </si>
  <si>
    <t>B0468</t>
  </si>
  <si>
    <t>L0469</t>
  </si>
  <si>
    <t>B0469</t>
  </si>
  <si>
    <t>L0470</t>
  </si>
  <si>
    <t>B0470</t>
  </si>
  <si>
    <t>L0471</t>
  </si>
  <si>
    <t>B0471</t>
  </si>
  <si>
    <t>L0472</t>
  </si>
  <si>
    <t>B0472</t>
  </si>
  <si>
    <t>L0473</t>
  </si>
  <si>
    <t>B0473</t>
  </si>
  <si>
    <t>L0474</t>
  </si>
  <si>
    <t>B0474</t>
  </si>
  <si>
    <t>L0475</t>
  </si>
  <si>
    <t>B0475</t>
  </si>
  <si>
    <t>L0476</t>
  </si>
  <si>
    <t>B0476</t>
  </si>
  <si>
    <t>L0477</t>
  </si>
  <si>
    <t>B0477</t>
  </si>
  <si>
    <t>L0478</t>
  </si>
  <si>
    <t>B0478</t>
  </si>
  <si>
    <t>L0479</t>
  </si>
  <si>
    <t>B0479</t>
  </si>
  <si>
    <t>L0480</t>
  </si>
  <si>
    <t>B0480</t>
  </si>
  <si>
    <t>L0481</t>
  </si>
  <si>
    <t>B0481</t>
  </si>
  <si>
    <t>L0482</t>
  </si>
  <si>
    <t>B0482</t>
  </si>
  <si>
    <t>L0483</t>
  </si>
  <si>
    <t>B0483</t>
  </si>
  <si>
    <t>L0484</t>
  </si>
  <si>
    <t>B0484</t>
  </si>
  <si>
    <t>L0485</t>
  </si>
  <si>
    <t>B0485</t>
  </si>
  <si>
    <t>L0486</t>
  </si>
  <si>
    <t>B0486</t>
  </si>
  <si>
    <t>L0487</t>
  </si>
  <si>
    <t>B0487</t>
  </si>
  <si>
    <t>L0488</t>
  </si>
  <si>
    <t>B0488</t>
  </si>
  <si>
    <t>L0489</t>
  </si>
  <si>
    <t>B0489</t>
  </si>
  <si>
    <t>L0490</t>
  </si>
  <si>
    <t>B0490</t>
  </si>
  <si>
    <t>L0491</t>
  </si>
  <si>
    <t>B0491</t>
  </si>
  <si>
    <t>L0492</t>
  </si>
  <si>
    <t>B0492</t>
  </si>
  <si>
    <t>L0493</t>
  </si>
  <si>
    <t>B0493</t>
  </si>
  <si>
    <t>L0494</t>
  </si>
  <si>
    <t>B0494</t>
  </si>
  <si>
    <t>L0495</t>
  </si>
  <si>
    <t>B0495</t>
  </si>
  <si>
    <t>L0496</t>
  </si>
  <si>
    <t>B0496</t>
  </si>
  <si>
    <t>L0497</t>
  </si>
  <si>
    <t>B0497</t>
  </si>
  <si>
    <t>L0498</t>
  </si>
  <si>
    <t>B0498</t>
  </si>
  <si>
    <t>L0499</t>
  </si>
  <si>
    <t>B0499</t>
  </si>
  <si>
    <t>L0500</t>
  </si>
  <si>
    <t>B0500</t>
  </si>
  <si>
    <t>L0501</t>
  </si>
  <si>
    <t>B0501</t>
  </si>
  <si>
    <t>L0502</t>
  </si>
  <si>
    <t>B0502</t>
  </si>
  <si>
    <t>L0503</t>
  </si>
  <si>
    <t>B0503</t>
  </si>
  <si>
    <t>L0504</t>
  </si>
  <si>
    <t>B0504</t>
  </si>
  <si>
    <t>L0505</t>
  </si>
  <si>
    <t>B0505</t>
  </si>
  <si>
    <t>L0506</t>
  </si>
  <si>
    <t>B0506</t>
  </si>
  <si>
    <t>L0507</t>
  </si>
  <si>
    <t>B0507</t>
  </si>
  <si>
    <t>L0508</t>
  </si>
  <si>
    <t>B0508</t>
  </si>
  <si>
    <t>L0509</t>
  </si>
  <si>
    <t>B0509</t>
  </si>
  <si>
    <t>L0510</t>
  </si>
  <si>
    <t>B0510</t>
  </si>
  <si>
    <t>L0511</t>
  </si>
  <si>
    <t>B0511</t>
  </si>
  <si>
    <t>L0512</t>
  </si>
  <si>
    <t>B0512</t>
  </si>
  <si>
    <t>L0513</t>
  </si>
  <si>
    <t>B0513</t>
  </si>
  <si>
    <t>L0514</t>
  </si>
  <si>
    <t>B0514</t>
  </si>
  <si>
    <t>L0515</t>
  </si>
  <si>
    <t>B0515</t>
  </si>
  <si>
    <t>L0516</t>
  </si>
  <si>
    <t>B0516</t>
  </si>
  <si>
    <t>L0517</t>
  </si>
  <si>
    <t>B0517</t>
  </si>
  <si>
    <t>L0518</t>
  </si>
  <si>
    <t>B0518</t>
  </si>
  <si>
    <t>L0519</t>
  </si>
  <si>
    <t>B0519</t>
  </si>
  <si>
    <t>L0520</t>
  </si>
  <si>
    <t>B0520</t>
  </si>
  <si>
    <t>L0521</t>
  </si>
  <si>
    <t>B0521</t>
  </si>
  <si>
    <t>L0522</t>
  </si>
  <si>
    <t>B0522</t>
  </si>
  <si>
    <t>L0523</t>
  </si>
  <si>
    <t>B0523</t>
  </si>
  <si>
    <t>L0524</t>
  </si>
  <si>
    <t>B0524</t>
  </si>
  <si>
    <t>L0525</t>
  </si>
  <si>
    <t>B0525</t>
  </si>
  <si>
    <t>L0526</t>
  </si>
  <si>
    <t>B0526</t>
  </si>
  <si>
    <t>L0527</t>
  </si>
  <si>
    <t>B0527</t>
  </si>
  <si>
    <t>L0528</t>
  </si>
  <si>
    <t>B0528</t>
  </si>
  <si>
    <t>L0529</t>
  </si>
  <si>
    <t>B0529</t>
  </si>
  <si>
    <t>L0530</t>
  </si>
  <si>
    <t>B0530</t>
  </si>
  <si>
    <t>L0531</t>
  </si>
  <si>
    <t>B0531</t>
  </si>
  <si>
    <t>L0532</t>
  </si>
  <si>
    <t>B0532</t>
  </si>
  <si>
    <t>L0533</t>
  </si>
  <si>
    <t>B0533</t>
  </si>
  <si>
    <t>L0534</t>
  </si>
  <si>
    <t>B0534</t>
  </si>
  <si>
    <t>L0535</t>
  </si>
  <si>
    <t>B0535</t>
  </si>
  <si>
    <t>L0536</t>
  </si>
  <si>
    <t>B0536</t>
  </si>
  <si>
    <t>L0537</t>
  </si>
  <si>
    <t>B0537</t>
  </si>
  <si>
    <t>L0538</t>
  </si>
  <si>
    <t>B0538</t>
  </si>
  <si>
    <t>L0539</t>
  </si>
  <si>
    <t>B0539</t>
  </si>
  <si>
    <t>L0540</t>
  </si>
  <si>
    <t>B0540</t>
  </si>
  <si>
    <t>L0541</t>
  </si>
  <si>
    <t>B0541</t>
  </si>
  <si>
    <t>L0542</t>
  </si>
  <si>
    <t>B0542</t>
  </si>
  <si>
    <t>L0543</t>
  </si>
  <si>
    <t>B0543</t>
  </si>
  <si>
    <t>L0544</t>
  </si>
  <si>
    <t>B0544</t>
  </si>
  <si>
    <t>L0545</t>
  </si>
  <si>
    <t>B0545</t>
  </si>
  <si>
    <t>L0546</t>
  </si>
  <si>
    <t>B0546</t>
  </si>
  <si>
    <t>L0547</t>
  </si>
  <si>
    <t>B0547</t>
  </si>
  <si>
    <t>L0548</t>
  </si>
  <si>
    <t>B0548</t>
  </si>
  <si>
    <t>L0549</t>
  </si>
  <si>
    <t>B0549</t>
  </si>
  <si>
    <t>L0550</t>
  </si>
  <si>
    <t>B0550</t>
  </si>
  <si>
    <t>L0551</t>
  </si>
  <si>
    <t>B0551</t>
  </si>
  <si>
    <t>L0552</t>
  </si>
  <si>
    <t>B0552</t>
  </si>
  <si>
    <t>L0553</t>
  </si>
  <si>
    <t>B0553</t>
  </si>
  <si>
    <t>L0554</t>
  </si>
  <si>
    <t>B0554</t>
  </si>
  <si>
    <t>L0555</t>
  </si>
  <si>
    <t>B0555</t>
  </si>
  <si>
    <t>L0556</t>
  </si>
  <si>
    <t>B0556</t>
  </si>
  <si>
    <t>L0557</t>
  </si>
  <si>
    <t>B0557</t>
  </si>
  <si>
    <t>L0558</t>
  </si>
  <si>
    <t>B0558</t>
  </si>
  <si>
    <t>L0559</t>
  </si>
  <si>
    <t>B0559</t>
  </si>
  <si>
    <t>L0560</t>
  </si>
  <si>
    <t>B0560</t>
  </si>
  <si>
    <t>L0561</t>
  </si>
  <si>
    <t>B0561</t>
  </si>
  <si>
    <t>L0562</t>
  </si>
  <si>
    <t>B0562</t>
  </si>
  <si>
    <t>L0563</t>
  </si>
  <si>
    <t>B0563</t>
  </si>
  <si>
    <t>L0564</t>
  </si>
  <si>
    <t>B0564</t>
  </si>
  <si>
    <t>L0565</t>
  </si>
  <si>
    <t>B0565</t>
  </si>
  <si>
    <t>L0566</t>
  </si>
  <si>
    <t>B0566</t>
  </si>
  <si>
    <t>L0567</t>
  </si>
  <si>
    <t>B0567</t>
  </si>
  <si>
    <t>L0568</t>
  </si>
  <si>
    <t>B0568</t>
  </si>
  <si>
    <t>L0569</t>
  </si>
  <si>
    <t>B0569</t>
  </si>
  <si>
    <t>L0570</t>
  </si>
  <si>
    <t>B0570</t>
  </si>
  <si>
    <t>L0571</t>
  </si>
  <si>
    <t>B0571</t>
  </si>
  <si>
    <t>L0572</t>
  </si>
  <si>
    <t>B0572</t>
  </si>
  <si>
    <t>L0573</t>
  </si>
  <si>
    <t>B0573</t>
  </si>
  <si>
    <t>L0574</t>
  </si>
  <si>
    <t>B0574</t>
  </si>
  <si>
    <t>L0575</t>
  </si>
  <si>
    <t>B0575</t>
  </si>
  <si>
    <t>L0576</t>
  </si>
  <si>
    <t>B0576</t>
  </si>
  <si>
    <t>L0577</t>
  </si>
  <si>
    <t>B0577</t>
  </si>
  <si>
    <t>L0578</t>
  </si>
  <si>
    <t>B0578</t>
  </si>
  <si>
    <t>L0579</t>
  </si>
  <si>
    <t>B0579</t>
  </si>
  <si>
    <t>L0580</t>
  </si>
  <si>
    <t>B0580</t>
  </si>
  <si>
    <t>L0581</t>
  </si>
  <si>
    <t>B0581</t>
  </si>
  <si>
    <t>L0582</t>
  </si>
  <si>
    <t>B0582</t>
  </si>
  <si>
    <t>L0583</t>
  </si>
  <si>
    <t>B0583</t>
  </si>
  <si>
    <t>L0584</t>
  </si>
  <si>
    <t>B0584</t>
  </si>
  <si>
    <t>L0585</t>
  </si>
  <si>
    <t>B0585</t>
  </si>
  <si>
    <t>L0586</t>
  </si>
  <si>
    <t>B0586</t>
  </si>
  <si>
    <t>L0587</t>
  </si>
  <si>
    <t>B0587</t>
  </si>
  <si>
    <t>L0588</t>
  </si>
  <si>
    <t>B0588</t>
  </si>
  <si>
    <t>L0589</t>
  </si>
  <si>
    <t>B0589</t>
  </si>
  <si>
    <t>L0590</t>
  </si>
  <si>
    <t>B0590</t>
  </si>
  <si>
    <t>L0591</t>
  </si>
  <si>
    <t>B0591</t>
  </si>
  <si>
    <t>L0592</t>
  </si>
  <si>
    <t>B0592</t>
  </si>
  <si>
    <t>L0593</t>
  </si>
  <si>
    <t>B0593</t>
  </si>
  <si>
    <t>L0594</t>
  </si>
  <si>
    <t>B0594</t>
  </si>
  <si>
    <t>L0595</t>
  </si>
  <si>
    <t>B0595</t>
  </si>
  <si>
    <t>L0596</t>
  </si>
  <si>
    <t>B0596</t>
  </si>
  <si>
    <t>L0597</t>
  </si>
  <si>
    <t>B0597</t>
  </si>
  <si>
    <t>L0598</t>
  </si>
  <si>
    <t>B0598</t>
  </si>
  <si>
    <t>L0599</t>
  </si>
  <si>
    <t>B0599</t>
  </si>
  <si>
    <t>L0600</t>
  </si>
  <si>
    <t>B0600</t>
  </si>
  <si>
    <t>L0601</t>
  </si>
  <si>
    <t>B0601</t>
  </si>
  <si>
    <t>L0602</t>
  </si>
  <si>
    <t>B0602</t>
  </si>
  <si>
    <t>L0603</t>
  </si>
  <si>
    <t>B0603</t>
  </si>
  <si>
    <t>L0604</t>
  </si>
  <si>
    <t>B0604</t>
  </si>
  <si>
    <t>L0605</t>
  </si>
  <si>
    <t>B0605</t>
  </si>
  <si>
    <t>L0606</t>
  </si>
  <si>
    <t>B0606</t>
  </si>
  <si>
    <t>L0607</t>
  </si>
  <si>
    <t>B0607</t>
  </si>
  <si>
    <t>L0608</t>
  </si>
  <si>
    <t>B0608</t>
  </si>
  <si>
    <t>L0609</t>
  </si>
  <si>
    <t>B0609</t>
  </si>
  <si>
    <t>L0610</t>
  </si>
  <si>
    <t>B0610</t>
  </si>
  <si>
    <t>L0611</t>
  </si>
  <si>
    <t>B0611</t>
  </si>
  <si>
    <t>L0612</t>
  </si>
  <si>
    <t>B0612</t>
  </si>
  <si>
    <t>L0613</t>
  </si>
  <si>
    <t>B0613</t>
  </si>
  <si>
    <t>L0614</t>
  </si>
  <si>
    <t>B0614</t>
  </si>
  <si>
    <t>L0615</t>
  </si>
  <si>
    <t>B0615</t>
  </si>
  <si>
    <t>L0616</t>
  </si>
  <si>
    <t>B0616</t>
  </si>
  <si>
    <t>L0617</t>
  </si>
  <si>
    <t>B0617</t>
  </si>
  <si>
    <t>L0618</t>
  </si>
  <si>
    <t>B0618</t>
  </si>
  <si>
    <t>L0619</t>
  </si>
  <si>
    <t>B0619</t>
  </si>
  <si>
    <t>L0620</t>
  </si>
  <si>
    <t>B0620</t>
  </si>
  <si>
    <t>L0621</t>
  </si>
  <si>
    <t>B0621</t>
  </si>
  <si>
    <t>L0622</t>
  </si>
  <si>
    <t>B0622</t>
  </si>
  <si>
    <t>L0623</t>
  </si>
  <si>
    <t>B0623</t>
  </si>
  <si>
    <t>L0624</t>
  </si>
  <si>
    <t>B0624</t>
  </si>
  <si>
    <t>L0625</t>
  </si>
  <si>
    <t>B0625</t>
  </si>
  <si>
    <t>L0626</t>
  </si>
  <si>
    <t>B0626</t>
  </si>
  <si>
    <t>L0627</t>
  </si>
  <si>
    <t>B0627</t>
  </si>
  <si>
    <t>L0628</t>
  </si>
  <si>
    <t>B0628</t>
  </si>
  <si>
    <t>L0629</t>
  </si>
  <si>
    <t>B0629</t>
  </si>
  <si>
    <t>L0630</t>
  </si>
  <si>
    <t>B0630</t>
  </si>
  <si>
    <t>L0631</t>
  </si>
  <si>
    <t>B0631</t>
  </si>
  <si>
    <t>L0632</t>
  </si>
  <si>
    <t>B0632</t>
  </si>
  <si>
    <t>L0633</t>
  </si>
  <si>
    <t>B0633</t>
  </si>
  <si>
    <t>L0634</t>
  </si>
  <si>
    <t>B0634</t>
  </si>
  <si>
    <t>L0635</t>
  </si>
  <si>
    <t>B0635</t>
  </si>
  <si>
    <t>L0636</t>
  </si>
  <si>
    <t>B0636</t>
  </si>
  <si>
    <t>L0637</t>
  </si>
  <si>
    <t>B0637</t>
  </si>
  <si>
    <t>L0638</t>
  </si>
  <si>
    <t>B0638</t>
  </si>
  <si>
    <t>L0639</t>
  </si>
  <si>
    <t>B0639</t>
  </si>
  <si>
    <t>L0640</t>
  </si>
  <si>
    <t>B0640</t>
  </si>
  <si>
    <t>L0641</t>
  </si>
  <si>
    <t>B0641</t>
  </si>
  <si>
    <t>L0642</t>
  </si>
  <si>
    <t>B0642</t>
  </si>
  <si>
    <t>L0643</t>
  </si>
  <si>
    <t>B0643</t>
  </si>
  <si>
    <t>L0644</t>
  </si>
  <si>
    <t>B0644</t>
  </si>
  <si>
    <t>L0645</t>
  </si>
  <si>
    <t>B0645</t>
  </si>
  <si>
    <t>L0646</t>
  </si>
  <si>
    <t>B0646</t>
  </si>
  <si>
    <t>L0647</t>
  </si>
  <si>
    <t>B0647</t>
  </si>
  <si>
    <t>L0648</t>
  </si>
  <si>
    <t>B0648</t>
  </si>
  <si>
    <t>L0649</t>
  </si>
  <si>
    <t>B0649</t>
  </si>
  <si>
    <t>L0650</t>
  </si>
  <si>
    <t>B0650</t>
  </si>
  <si>
    <t>L0651</t>
  </si>
  <si>
    <t>B0651</t>
  </si>
  <si>
    <t>L0652</t>
  </si>
  <si>
    <t>B0652</t>
  </si>
  <si>
    <t>L0653</t>
  </si>
  <si>
    <t>B0653</t>
  </si>
  <si>
    <t>L0654</t>
  </si>
  <si>
    <t>B0654</t>
  </si>
  <si>
    <t>L0655</t>
  </si>
  <si>
    <t>B0655</t>
  </si>
  <si>
    <t>L0656</t>
  </si>
  <si>
    <t>B0656</t>
  </si>
  <si>
    <t>L0657</t>
  </si>
  <si>
    <t>B0657</t>
  </si>
  <si>
    <t>L0658</t>
  </si>
  <si>
    <t>B0658</t>
  </si>
  <si>
    <t>L0659</t>
  </si>
  <si>
    <t>B0659</t>
  </si>
  <si>
    <t>L0660</t>
  </si>
  <si>
    <t>B0660</t>
  </si>
  <si>
    <t>L0661</t>
  </si>
  <si>
    <t>B0661</t>
  </si>
  <si>
    <t>L0662</t>
  </si>
  <si>
    <t>B0662</t>
  </si>
  <si>
    <t>L0663</t>
  </si>
  <si>
    <t>B0663</t>
  </si>
  <si>
    <t>L0664</t>
  </si>
  <si>
    <t>B0664</t>
  </si>
  <si>
    <t>L0665</t>
  </si>
  <si>
    <t>B0665</t>
  </si>
  <si>
    <t>L0666</t>
  </si>
  <si>
    <t>B0666</t>
  </si>
  <si>
    <t>L0667</t>
  </si>
  <si>
    <t>B0667</t>
  </si>
  <si>
    <t>L0668</t>
  </si>
  <si>
    <t>B0668</t>
  </si>
  <si>
    <t>L0669</t>
  </si>
  <si>
    <t>B0669</t>
  </si>
  <si>
    <t>L0670</t>
  </si>
  <si>
    <t>B0670</t>
  </si>
  <si>
    <t>L0671</t>
  </si>
  <si>
    <t>B0671</t>
  </si>
  <si>
    <t>L0672</t>
  </si>
  <si>
    <t>B0672</t>
  </si>
  <si>
    <t>L0673</t>
  </si>
  <si>
    <t>B0673</t>
  </si>
  <si>
    <t>L0674</t>
  </si>
  <si>
    <t>B0674</t>
  </si>
  <si>
    <t>L0675</t>
  </si>
  <si>
    <t>B0675</t>
  </si>
  <si>
    <t>L0676</t>
  </si>
  <si>
    <t>B0676</t>
  </si>
  <si>
    <t>L0677</t>
  </si>
  <si>
    <t>B0677</t>
  </si>
  <si>
    <t>L0678</t>
  </si>
  <si>
    <t>B0678</t>
  </si>
  <si>
    <t>L0679</t>
  </si>
  <si>
    <t>B0679</t>
  </si>
  <si>
    <t>L0680</t>
  </si>
  <si>
    <t>B0680</t>
  </si>
  <si>
    <t>L0681</t>
  </si>
  <si>
    <t>B0681</t>
  </si>
  <si>
    <t>L0682</t>
  </si>
  <si>
    <t>B0682</t>
  </si>
  <si>
    <t>L0683</t>
  </si>
  <si>
    <t>B0683</t>
  </si>
  <si>
    <t>L0684</t>
  </si>
  <si>
    <t>B0684</t>
  </si>
  <si>
    <t>L0685</t>
  </si>
  <si>
    <t>B0685</t>
  </si>
  <si>
    <t>L0686</t>
  </si>
  <si>
    <t>B0686</t>
  </si>
  <si>
    <t>L0687</t>
  </si>
  <si>
    <t>B0687</t>
  </si>
  <si>
    <t>L0688</t>
  </si>
  <si>
    <t>B0688</t>
  </si>
  <si>
    <t>L0689</t>
  </si>
  <si>
    <t>B0689</t>
  </si>
  <si>
    <t>L0690</t>
  </si>
  <si>
    <t>B0690</t>
  </si>
  <si>
    <t>L0691</t>
  </si>
  <si>
    <t>B0691</t>
  </si>
  <si>
    <t>L0692</t>
  </si>
  <si>
    <t>B0692</t>
  </si>
  <si>
    <t>L0693</t>
  </si>
  <si>
    <t>B0693</t>
  </si>
  <si>
    <t>L0694</t>
  </si>
  <si>
    <t>B0694</t>
  </si>
  <si>
    <t>L0695</t>
  </si>
  <si>
    <t>B0695</t>
  </si>
  <si>
    <t>L0696</t>
  </si>
  <si>
    <t>B0696</t>
  </si>
  <si>
    <t>L0697</t>
  </si>
  <si>
    <t>B0697</t>
  </si>
  <si>
    <t>L0698</t>
  </si>
  <si>
    <t>B0698</t>
  </si>
  <si>
    <t>L0699</t>
  </si>
  <si>
    <t>B0699</t>
  </si>
  <si>
    <t>L0700</t>
  </si>
  <si>
    <t>B0700</t>
  </si>
  <si>
    <t>L0701</t>
  </si>
  <si>
    <t>B0701</t>
  </si>
  <si>
    <t>L0702</t>
  </si>
  <si>
    <t>B0702</t>
  </si>
  <si>
    <t>L0703</t>
  </si>
  <si>
    <t>B0703</t>
  </si>
  <si>
    <t>L0704</t>
  </si>
  <si>
    <t>B0704</t>
  </si>
  <si>
    <t>L0705</t>
  </si>
  <si>
    <t>B0705</t>
  </si>
  <si>
    <t>L0706</t>
  </si>
  <si>
    <t>B0706</t>
  </si>
  <si>
    <t>L0707</t>
  </si>
  <si>
    <t>B0707</t>
  </si>
  <si>
    <t>L0708</t>
  </si>
  <si>
    <t>B0708</t>
  </si>
  <si>
    <t>L0709</t>
  </si>
  <si>
    <t>B0709</t>
  </si>
  <si>
    <t>L0710</t>
  </si>
  <si>
    <t>B0710</t>
  </si>
  <si>
    <t>L0711</t>
  </si>
  <si>
    <t>B0711</t>
  </si>
  <si>
    <t>L0712</t>
  </si>
  <si>
    <t>B0712</t>
  </si>
  <si>
    <t>L0713</t>
  </si>
  <si>
    <t>B0713</t>
  </si>
  <si>
    <t>L0714</t>
  </si>
  <si>
    <t>B0714</t>
  </si>
  <si>
    <t>L0715</t>
  </si>
  <si>
    <t>B0715</t>
  </si>
  <si>
    <t>L0716</t>
  </si>
  <si>
    <t>B0716</t>
  </si>
  <si>
    <t>L0717</t>
  </si>
  <si>
    <t>B0717</t>
  </si>
  <si>
    <t>L0718</t>
  </si>
  <si>
    <t>B0718</t>
  </si>
  <si>
    <t>L0719</t>
  </si>
  <si>
    <t>B0719</t>
  </si>
  <si>
    <t>L0720</t>
  </si>
  <si>
    <t>B0720</t>
  </si>
  <si>
    <t>L0721</t>
  </si>
  <si>
    <t>B0721</t>
  </si>
  <si>
    <t>L0722</t>
  </si>
  <si>
    <t>B0722</t>
  </si>
  <si>
    <t>L0723</t>
  </si>
  <si>
    <t>B0723</t>
  </si>
  <si>
    <t>L0724</t>
  </si>
  <si>
    <t>B0724</t>
  </si>
  <si>
    <t>L0725</t>
  </si>
  <si>
    <t>B0725</t>
  </si>
  <si>
    <t>L0726</t>
  </si>
  <si>
    <t>B0726</t>
  </si>
  <si>
    <t>L0727</t>
  </si>
  <si>
    <t>B0727</t>
  </si>
  <si>
    <t>L0728</t>
  </si>
  <si>
    <t>B0728</t>
  </si>
  <si>
    <t>L0729</t>
  </si>
  <si>
    <t>B0729</t>
  </si>
  <si>
    <t>L0730</t>
  </si>
  <si>
    <t>B0730</t>
  </si>
  <si>
    <t>L0731</t>
  </si>
  <si>
    <t>B0731</t>
  </si>
  <si>
    <t>L0732</t>
  </si>
  <si>
    <t>B0732</t>
  </si>
  <si>
    <t>L0733</t>
  </si>
  <si>
    <t>B0733</t>
  </si>
  <si>
    <t>L0734</t>
  </si>
  <si>
    <t>B0734</t>
  </si>
  <si>
    <t>L0735</t>
  </si>
  <si>
    <t>B0735</t>
  </si>
  <si>
    <t>L0736</t>
  </si>
  <si>
    <t>B0736</t>
  </si>
  <si>
    <t>L0737</t>
  </si>
  <si>
    <t>B0737</t>
  </si>
  <si>
    <t>L0738</t>
  </si>
  <si>
    <t>B0738</t>
  </si>
  <si>
    <t>L0739</t>
  </si>
  <si>
    <t>B0739</t>
  </si>
  <si>
    <t>L0740</t>
  </si>
  <si>
    <t>B0740</t>
  </si>
  <si>
    <t>L0741</t>
  </si>
  <si>
    <t>B0741</t>
  </si>
  <si>
    <t>L0742</t>
  </si>
  <si>
    <t>B0742</t>
  </si>
  <si>
    <t>L0743</t>
  </si>
  <si>
    <t>B0743</t>
  </si>
  <si>
    <t>L0744</t>
  </si>
  <si>
    <t>B0744</t>
  </si>
  <si>
    <t>L0745</t>
  </si>
  <si>
    <t>B0745</t>
  </si>
  <si>
    <t>L0746</t>
  </si>
  <si>
    <t>B0746</t>
  </si>
  <si>
    <t>L0747</t>
  </si>
  <si>
    <t>B0747</t>
  </si>
  <si>
    <t>L0748</t>
  </si>
  <si>
    <t>B0748</t>
  </si>
  <si>
    <t>L0749</t>
  </si>
  <si>
    <t>B0749</t>
  </si>
  <si>
    <t>L0750</t>
  </si>
  <si>
    <t>B0750</t>
  </si>
  <si>
    <t>L0751</t>
  </si>
  <si>
    <t>B0751</t>
  </si>
  <si>
    <t>L0752</t>
  </si>
  <si>
    <t>B0752</t>
  </si>
  <si>
    <t>L0753</t>
  </si>
  <si>
    <t>B0753</t>
  </si>
  <si>
    <t>L0754</t>
  </si>
  <si>
    <t>B0754</t>
  </si>
  <si>
    <t>L0755</t>
  </si>
  <si>
    <t>B0755</t>
  </si>
  <si>
    <t>L0756</t>
  </si>
  <si>
    <t>B0756</t>
  </si>
  <si>
    <t>L0757</t>
  </si>
  <si>
    <t>B0757</t>
  </si>
  <si>
    <t>L0758</t>
  </si>
  <si>
    <t>B0758</t>
  </si>
  <si>
    <t>L0759</t>
  </si>
  <si>
    <t>B0759</t>
  </si>
  <si>
    <t>L0760</t>
  </si>
  <si>
    <t>B0760</t>
  </si>
  <si>
    <t>L0761</t>
  </si>
  <si>
    <t>B0761</t>
  </si>
  <si>
    <t>L0762</t>
  </si>
  <si>
    <t>B0762</t>
  </si>
  <si>
    <t>L0763</t>
  </si>
  <si>
    <t>B0763</t>
  </si>
  <si>
    <t>L0764</t>
  </si>
  <si>
    <t>B0764</t>
  </si>
  <si>
    <t>L0765</t>
  </si>
  <si>
    <t>B0765</t>
  </si>
  <si>
    <t>L0766</t>
  </si>
  <si>
    <t>B0766</t>
  </si>
  <si>
    <t>L0767</t>
  </si>
  <si>
    <t>B0767</t>
  </si>
  <si>
    <t>L0768</t>
  </si>
  <si>
    <t>B0768</t>
  </si>
  <si>
    <t>L0769</t>
  </si>
  <si>
    <t>B0769</t>
  </si>
  <si>
    <t>L0770</t>
  </si>
  <si>
    <t>B0770</t>
  </si>
  <si>
    <t>L0771</t>
  </si>
  <si>
    <t>B0771</t>
  </si>
  <si>
    <t>L0772</t>
  </si>
  <si>
    <t>B0772</t>
  </si>
  <si>
    <t>L0773</t>
  </si>
  <si>
    <t>B0773</t>
  </si>
  <si>
    <t>L0774</t>
  </si>
  <si>
    <t>B0774</t>
  </si>
  <si>
    <t>L0775</t>
  </si>
  <si>
    <t>B0775</t>
  </si>
  <si>
    <t>L0776</t>
  </si>
  <si>
    <t>B0776</t>
  </si>
  <si>
    <t>L0777</t>
  </si>
  <si>
    <t>B0777</t>
  </si>
  <si>
    <t>L0778</t>
  </si>
  <si>
    <t>B0778</t>
  </si>
  <si>
    <t>L0779</t>
  </si>
  <si>
    <t>B0779</t>
  </si>
  <si>
    <t>L0780</t>
  </si>
  <si>
    <t>B0780</t>
  </si>
  <si>
    <t>L0781</t>
  </si>
  <si>
    <t>B0781</t>
  </si>
  <si>
    <t>L0782</t>
  </si>
  <si>
    <t>B0782</t>
  </si>
  <si>
    <t>L0783</t>
  </si>
  <si>
    <t>B0783</t>
  </si>
  <si>
    <t>L0784</t>
  </si>
  <si>
    <t>B0784</t>
  </si>
  <si>
    <t>L0785</t>
  </si>
  <si>
    <t>B0785</t>
  </si>
  <si>
    <t>L0786</t>
  </si>
  <si>
    <t>B0786</t>
  </si>
  <si>
    <t>L0787</t>
  </si>
  <si>
    <t>B0787</t>
  </si>
  <si>
    <t>L0788</t>
  </si>
  <si>
    <t>B0788</t>
  </si>
  <si>
    <t>L0789</t>
  </si>
  <si>
    <t>B0789</t>
  </si>
  <si>
    <t>L0790</t>
  </si>
  <si>
    <t>B0790</t>
  </si>
  <si>
    <t>L0791</t>
  </si>
  <si>
    <t>B0791</t>
  </si>
  <si>
    <t>L0792</t>
  </si>
  <si>
    <t>B0792</t>
  </si>
  <si>
    <t>L0793</t>
  </si>
  <si>
    <t>B0793</t>
  </si>
  <si>
    <t>L0794</t>
  </si>
  <si>
    <t>B0794</t>
  </si>
  <si>
    <t>L0795</t>
  </si>
  <si>
    <t>B0795</t>
  </si>
  <si>
    <t>L0796</t>
  </si>
  <si>
    <t>B0796</t>
  </si>
  <si>
    <t>L0797</t>
  </si>
  <si>
    <t>B0797</t>
  </si>
  <si>
    <t>L0798</t>
  </si>
  <si>
    <t>B0798</t>
  </si>
  <si>
    <t>L0799</t>
  </si>
  <si>
    <t>B0799</t>
  </si>
  <si>
    <t>L0800</t>
  </si>
  <si>
    <t>B0800</t>
  </si>
  <si>
    <t>L0801</t>
  </si>
  <si>
    <t>B0801</t>
  </si>
  <si>
    <t>L0802</t>
  </si>
  <si>
    <t>B0802</t>
  </si>
  <si>
    <t>L0803</t>
  </si>
  <si>
    <t>B0803</t>
  </si>
  <si>
    <t>L0804</t>
  </si>
  <si>
    <t>B0804</t>
  </si>
  <si>
    <t>L0805</t>
  </si>
  <si>
    <t>B0805</t>
  </si>
  <si>
    <t>L0806</t>
  </si>
  <si>
    <t>B0806</t>
  </si>
  <si>
    <t>L0807</t>
  </si>
  <si>
    <t>B0807</t>
  </si>
  <si>
    <t>L0808</t>
  </si>
  <si>
    <t>B0808</t>
  </si>
  <si>
    <t>L0809</t>
  </si>
  <si>
    <t>B0809</t>
  </si>
  <si>
    <t>L0810</t>
  </si>
  <si>
    <t>B0810</t>
  </si>
  <si>
    <t>L0811</t>
  </si>
  <si>
    <t>B0811</t>
  </si>
  <si>
    <t>L0812</t>
  </si>
  <si>
    <t>B0812</t>
  </si>
  <si>
    <t>L0813</t>
  </si>
  <si>
    <t>B0813</t>
  </si>
  <si>
    <t>L0814</t>
  </si>
  <si>
    <t>B0814</t>
  </si>
  <si>
    <t>L0815</t>
  </si>
  <si>
    <t>B0815</t>
  </si>
  <si>
    <t>L0816</t>
  </si>
  <si>
    <t>B0816</t>
  </si>
  <si>
    <t>L0817</t>
  </si>
  <si>
    <t>B0817</t>
  </si>
  <si>
    <t>L0818</t>
  </si>
  <si>
    <t>B0818</t>
  </si>
  <si>
    <t>L0819</t>
  </si>
  <si>
    <t>B0819</t>
  </si>
  <si>
    <t>L0820</t>
  </si>
  <si>
    <t>B0820</t>
  </si>
  <si>
    <t>L0821</t>
  </si>
  <si>
    <t>B0821</t>
  </si>
  <si>
    <t>L0822</t>
  </si>
  <si>
    <t>B0822</t>
  </si>
  <si>
    <t>L0823</t>
  </si>
  <si>
    <t>B0823</t>
  </si>
  <si>
    <t>L0824</t>
  </si>
  <si>
    <t>B0824</t>
  </si>
  <si>
    <t>L0825</t>
  </si>
  <si>
    <t>B0825</t>
  </si>
  <si>
    <t>L0826</t>
  </si>
  <si>
    <t>B0826</t>
  </si>
  <si>
    <t>L0827</t>
  </si>
  <si>
    <t>B0827</t>
  </si>
  <si>
    <t>L0828</t>
  </si>
  <si>
    <t>B0828</t>
  </si>
  <si>
    <t>L0829</t>
  </si>
  <si>
    <t>B0829</t>
  </si>
  <si>
    <t>L0830</t>
  </si>
  <si>
    <t>B0830</t>
  </si>
  <si>
    <t>L0831</t>
  </si>
  <si>
    <t>B0831</t>
  </si>
  <si>
    <t>L0832</t>
  </si>
  <si>
    <t>B0832</t>
  </si>
  <si>
    <t>L0833</t>
  </si>
  <si>
    <t>B0833</t>
  </si>
  <si>
    <t>L0834</t>
  </si>
  <si>
    <t>B0834</t>
  </si>
  <si>
    <t>L0835</t>
  </si>
  <si>
    <t>B0835</t>
  </si>
  <si>
    <t>L0836</t>
  </si>
  <si>
    <t>B0836</t>
  </si>
  <si>
    <t>L0837</t>
  </si>
  <si>
    <t>B0837</t>
  </si>
  <si>
    <t>L0838</t>
  </si>
  <si>
    <t>B0838</t>
  </si>
  <si>
    <t>L0839</t>
  </si>
  <si>
    <t>B0839</t>
  </si>
  <si>
    <t>L0840</t>
  </si>
  <si>
    <t>B0840</t>
  </si>
  <si>
    <t>L0841</t>
  </si>
  <si>
    <t>B0841</t>
  </si>
  <si>
    <t>L0842</t>
  </si>
  <si>
    <t>B0842</t>
  </si>
  <si>
    <t>L0843</t>
  </si>
  <si>
    <t>B0843</t>
  </si>
  <si>
    <t>L0844</t>
  </si>
  <si>
    <t>B0844</t>
  </si>
  <si>
    <t>L0845</t>
  </si>
  <si>
    <t>B0845</t>
  </si>
  <si>
    <t>L0846</t>
  </si>
  <si>
    <t>B0846</t>
  </si>
  <si>
    <t>L0847</t>
  </si>
  <si>
    <t>B0847</t>
  </si>
  <si>
    <t>L0848</t>
  </si>
  <si>
    <t>B0848</t>
  </si>
  <si>
    <t>L0849</t>
  </si>
  <si>
    <t>B0849</t>
  </si>
  <si>
    <t>L0850</t>
  </si>
  <si>
    <t>B0850</t>
  </si>
  <si>
    <t>L0851</t>
  </si>
  <si>
    <t>B0851</t>
  </si>
  <si>
    <t>L0852</t>
  </si>
  <si>
    <t>B0852</t>
  </si>
  <si>
    <t>L0853</t>
  </si>
  <si>
    <t>B0853</t>
  </si>
  <si>
    <t>L0854</t>
  </si>
  <si>
    <t>B0854</t>
  </si>
  <si>
    <t>L0855</t>
  </si>
  <si>
    <t>B0855</t>
  </si>
  <si>
    <t>L0856</t>
  </si>
  <si>
    <t>B0856</t>
  </si>
  <si>
    <t>L0857</t>
  </si>
  <si>
    <t>B0857</t>
  </si>
  <si>
    <t>L0858</t>
  </si>
  <si>
    <t>B0858</t>
  </si>
  <si>
    <t>L0859</t>
  </si>
  <si>
    <t>B0859</t>
  </si>
  <si>
    <t>L0860</t>
  </si>
  <si>
    <t>B0860</t>
  </si>
  <si>
    <t>L0861</t>
  </si>
  <si>
    <t>B0861</t>
  </si>
  <si>
    <t>L0862</t>
  </si>
  <si>
    <t>B0862</t>
  </si>
  <si>
    <t>L0863</t>
  </si>
  <si>
    <t>B0863</t>
  </si>
  <si>
    <t>L0864</t>
  </si>
  <si>
    <t>B0864</t>
  </si>
  <si>
    <t>L0865</t>
  </si>
  <si>
    <t>B0865</t>
  </si>
  <si>
    <t>L0866</t>
  </si>
  <si>
    <t>B0866</t>
  </si>
  <si>
    <t>L0867</t>
  </si>
  <si>
    <t>B0867</t>
  </si>
  <si>
    <t>L0868</t>
  </si>
  <si>
    <t>B0868</t>
  </si>
  <si>
    <t>L0869</t>
  </si>
  <si>
    <t>B0869</t>
  </si>
  <si>
    <t>L0870</t>
  </si>
  <si>
    <t>B0870</t>
  </si>
  <si>
    <t>L0871</t>
  </si>
  <si>
    <t>B0871</t>
  </si>
  <si>
    <t>L0872</t>
  </si>
  <si>
    <t>B0872</t>
  </si>
  <si>
    <t>L0873</t>
  </si>
  <si>
    <t>B0873</t>
  </si>
  <si>
    <t>L0874</t>
  </si>
  <si>
    <t>B0874</t>
  </si>
  <si>
    <t>L0875</t>
  </si>
  <si>
    <t>B0875</t>
  </si>
  <si>
    <t>L0876</t>
  </si>
  <si>
    <t>B0876</t>
  </si>
  <si>
    <t>L0877</t>
  </si>
  <si>
    <t>B0877</t>
  </si>
  <si>
    <t>L0878</t>
  </si>
  <si>
    <t>B0878</t>
  </si>
  <si>
    <t>L0879</t>
  </si>
  <si>
    <t>B0879</t>
  </si>
  <si>
    <t>L0880</t>
  </si>
  <si>
    <t>B0880</t>
  </si>
  <si>
    <t>L0881</t>
  </si>
  <si>
    <t>B0881</t>
  </si>
  <si>
    <t>L0882</t>
  </si>
  <si>
    <t>B0882</t>
  </si>
  <si>
    <t>L0883</t>
  </si>
  <si>
    <t>B0883</t>
  </si>
  <si>
    <t>L0884</t>
  </si>
  <si>
    <t>B0884</t>
  </si>
  <si>
    <t>L0885</t>
  </si>
  <si>
    <t>B0885</t>
  </si>
  <si>
    <t>L0886</t>
  </si>
  <si>
    <t>B0886</t>
  </si>
  <si>
    <t>L0887</t>
  </si>
  <si>
    <t>B0887</t>
  </si>
  <si>
    <t>L0888</t>
  </si>
  <si>
    <t>B0888</t>
  </si>
  <si>
    <t>L0889</t>
  </si>
  <si>
    <t>B0889</t>
  </si>
  <si>
    <t>L0890</t>
  </si>
  <si>
    <t>B0890</t>
  </si>
  <si>
    <t>L0891</t>
  </si>
  <si>
    <t>B0891</t>
  </si>
  <si>
    <t>L0892</t>
  </si>
  <si>
    <t>B0892</t>
  </si>
  <si>
    <t>L0893</t>
  </si>
  <si>
    <t>B0893</t>
  </si>
  <si>
    <t>L0894</t>
  </si>
  <si>
    <t>B0894</t>
  </si>
  <si>
    <t>L0895</t>
  </si>
  <si>
    <t>B0895</t>
  </si>
  <si>
    <t>L0896</t>
  </si>
  <si>
    <t>B0896</t>
  </si>
  <si>
    <t>L0897</t>
  </si>
  <si>
    <t>B0897</t>
  </si>
  <si>
    <t>L0898</t>
  </si>
  <si>
    <t>B0898</t>
  </si>
  <si>
    <t>L0899</t>
  </si>
  <si>
    <t>B0899</t>
  </si>
  <si>
    <t>L0900</t>
  </si>
  <si>
    <t>B0900</t>
  </si>
  <si>
    <t>L0901</t>
  </si>
  <si>
    <t>B0901</t>
  </si>
  <si>
    <t>L0902</t>
  </si>
  <si>
    <t>B0902</t>
  </si>
  <si>
    <t>L0903</t>
  </si>
  <si>
    <t>B0903</t>
  </si>
  <si>
    <t>L0904</t>
  </si>
  <si>
    <t>B0904</t>
  </si>
  <si>
    <t>L0905</t>
  </si>
  <si>
    <t>B0905</t>
  </si>
  <si>
    <t>L0906</t>
  </si>
  <si>
    <t>B0906</t>
  </si>
  <si>
    <t>L0907</t>
  </si>
  <si>
    <t>B0907</t>
  </si>
  <si>
    <t>L0908</t>
  </si>
  <si>
    <t>B0908</t>
  </si>
  <si>
    <t>L0909</t>
  </si>
  <si>
    <t>B0909</t>
  </si>
  <si>
    <t>L0910</t>
  </si>
  <si>
    <t>B0910</t>
  </si>
  <si>
    <t>L0911</t>
  </si>
  <si>
    <t>B0911</t>
  </si>
  <si>
    <t>L0912</t>
  </si>
  <si>
    <t>B0912</t>
  </si>
  <si>
    <t>L0913</t>
  </si>
  <si>
    <t>B0913</t>
  </si>
  <si>
    <t>L0914</t>
  </si>
  <si>
    <t>B0914</t>
  </si>
  <si>
    <t>L0915</t>
  </si>
  <si>
    <t>B0915</t>
  </si>
  <si>
    <t>L0916</t>
  </si>
  <si>
    <t>B0916</t>
  </si>
  <si>
    <t>L0917</t>
  </si>
  <si>
    <t>B0917</t>
  </si>
  <si>
    <t>L0918</t>
  </si>
  <si>
    <t>B0918</t>
  </si>
  <si>
    <t>L0919</t>
  </si>
  <si>
    <t>B0919</t>
  </si>
  <si>
    <t>L0920</t>
  </si>
  <si>
    <t>B0920</t>
  </si>
  <si>
    <t>L0921</t>
  </si>
  <si>
    <t>B0921</t>
  </si>
  <si>
    <t>L0922</t>
  </si>
  <si>
    <t>B0922</t>
  </si>
  <si>
    <t>L0923</t>
  </si>
  <si>
    <t>B0923</t>
  </si>
  <si>
    <t>L0924</t>
  </si>
  <si>
    <t>B0924</t>
  </si>
  <si>
    <t>L0925</t>
  </si>
  <si>
    <t>B0925</t>
  </si>
  <si>
    <t>L0926</t>
  </si>
  <si>
    <t>B0926</t>
  </si>
  <si>
    <t>L0927</t>
  </si>
  <si>
    <t>B0927</t>
  </si>
  <si>
    <t>L0928</t>
  </si>
  <si>
    <t>B0928</t>
  </si>
  <si>
    <t>L0929</t>
  </si>
  <si>
    <t>B0929</t>
  </si>
  <si>
    <t>L0930</t>
  </si>
  <si>
    <t>B0930</t>
  </si>
  <si>
    <t>L0931</t>
  </si>
  <si>
    <t>B0931</t>
  </si>
  <si>
    <t>L0932</t>
  </si>
  <si>
    <t>B0932</t>
  </si>
  <si>
    <t>L0933</t>
  </si>
  <si>
    <t>B0933</t>
  </si>
  <si>
    <t>L0934</t>
  </si>
  <si>
    <t>B0934</t>
  </si>
  <si>
    <t>L0935</t>
  </si>
  <si>
    <t>B0935</t>
  </si>
  <si>
    <t>L0936</t>
  </si>
  <si>
    <t>B0936</t>
  </si>
  <si>
    <t>L0937</t>
  </si>
  <si>
    <t>B0937</t>
  </si>
  <si>
    <t>L0938</t>
  </si>
  <si>
    <t>B0938</t>
  </si>
  <si>
    <t>L0939</t>
  </si>
  <si>
    <t>B0939</t>
  </si>
  <si>
    <t>L0940</t>
  </si>
  <si>
    <t>B0940</t>
  </si>
  <si>
    <t>L0941</t>
  </si>
  <si>
    <t>B0941</t>
  </si>
  <si>
    <t>L0942</t>
  </si>
  <si>
    <t>B0942</t>
  </si>
  <si>
    <t>L0943</t>
  </si>
  <si>
    <t>B0943</t>
  </si>
  <si>
    <t>L0944</t>
  </si>
  <si>
    <t>B0944</t>
  </si>
  <si>
    <t>L0945</t>
  </si>
  <si>
    <t>B0945</t>
  </si>
  <si>
    <t>L0946</t>
  </si>
  <si>
    <t>B0946</t>
  </si>
  <si>
    <t>L0947</t>
  </si>
  <si>
    <t>B0947</t>
  </si>
  <si>
    <t>L0948</t>
  </si>
  <si>
    <t>B0948</t>
  </si>
  <si>
    <t>L0949</t>
  </si>
  <si>
    <t>B0949</t>
  </si>
  <si>
    <t>L0950</t>
  </si>
  <si>
    <t>B0950</t>
  </si>
  <si>
    <t>L0951</t>
  </si>
  <si>
    <t>B0951</t>
  </si>
  <si>
    <t>L0952</t>
  </si>
  <si>
    <t>B0952</t>
  </si>
  <si>
    <t>L0953</t>
  </si>
  <si>
    <t>B0953</t>
  </si>
  <si>
    <t>L0954</t>
  </si>
  <si>
    <t>B0954</t>
  </si>
  <si>
    <t>L0955</t>
  </si>
  <si>
    <t>B0955</t>
  </si>
  <si>
    <t>L0956</t>
  </si>
  <si>
    <t>B0956</t>
  </si>
  <si>
    <t>L0957</t>
  </si>
  <si>
    <t>B0957</t>
  </si>
  <si>
    <t>L0958</t>
  </si>
  <si>
    <t>B0958</t>
  </si>
  <si>
    <t>L0959</t>
  </si>
  <si>
    <t>B0959</t>
  </si>
  <si>
    <t>L0960</t>
  </si>
  <si>
    <t>B0960</t>
  </si>
  <si>
    <t>L0961</t>
  </si>
  <si>
    <t>B0961</t>
  </si>
  <si>
    <t>L0962</t>
  </si>
  <si>
    <t>B0962</t>
  </si>
  <si>
    <t>L0963</t>
  </si>
  <si>
    <t>B0963</t>
  </si>
  <si>
    <t>L0964</t>
  </si>
  <si>
    <t>B0964</t>
  </si>
  <si>
    <t>L0965</t>
  </si>
  <si>
    <t>B0965</t>
  </si>
  <si>
    <t>L0966</t>
  </si>
  <si>
    <t>B0966</t>
  </si>
  <si>
    <t>L0967</t>
  </si>
  <si>
    <t>B0967</t>
  </si>
  <si>
    <t>L0968</t>
  </si>
  <si>
    <t>B0968</t>
  </si>
  <si>
    <t>L0969</t>
  </si>
  <si>
    <t>B0969</t>
  </si>
  <si>
    <t>L0970</t>
  </si>
  <si>
    <t>B0970</t>
  </si>
  <si>
    <t>L0971</t>
  </si>
  <si>
    <t>B0971</t>
  </si>
  <si>
    <t>L0972</t>
  </si>
  <si>
    <t>B0972</t>
  </si>
  <si>
    <t>L0973</t>
  </si>
  <si>
    <t>B0973</t>
  </si>
  <si>
    <t>L0974</t>
  </si>
  <si>
    <t>B0974</t>
  </si>
  <si>
    <t>L0975</t>
  </si>
  <si>
    <t>B0975</t>
  </si>
  <si>
    <t>L0976</t>
  </si>
  <si>
    <t>B0976</t>
  </si>
  <si>
    <t>L0977</t>
  </si>
  <si>
    <t>B0977</t>
  </si>
  <si>
    <t>L0978</t>
  </si>
  <si>
    <t>B0978</t>
  </si>
  <si>
    <t>L0979</t>
  </si>
  <si>
    <t>B0979</t>
  </si>
  <si>
    <t>L0980</t>
  </si>
  <si>
    <t>B0980</t>
  </si>
  <si>
    <t>L0981</t>
  </si>
  <si>
    <t>B0981</t>
  </si>
  <si>
    <t>L0982</t>
  </si>
  <si>
    <t>B0982</t>
  </si>
  <si>
    <t>L0983</t>
  </si>
  <si>
    <t>B0983</t>
  </si>
  <si>
    <t>L0984</t>
  </si>
  <si>
    <t>B0984</t>
  </si>
  <si>
    <t>L0985</t>
  </si>
  <si>
    <t>B0985</t>
  </si>
  <si>
    <t>L0986</t>
  </si>
  <si>
    <t>B0986</t>
  </si>
  <si>
    <t>L0987</t>
  </si>
  <si>
    <t>B0987</t>
  </si>
  <si>
    <t>L0988</t>
  </si>
  <si>
    <t>B0988</t>
  </si>
  <si>
    <t>L0989</t>
  </si>
  <si>
    <t>B0989</t>
  </si>
  <si>
    <t>L0990</t>
  </si>
  <si>
    <t>B0990</t>
  </si>
  <si>
    <t>L0991</t>
  </si>
  <si>
    <t>B0991</t>
  </si>
  <si>
    <t>L0992</t>
  </si>
  <si>
    <t>B0992</t>
  </si>
  <si>
    <t>L0993</t>
  </si>
  <si>
    <t>B0993</t>
  </si>
  <si>
    <t>L0994</t>
  </si>
  <si>
    <t>B0994</t>
  </si>
  <si>
    <t>L0995</t>
  </si>
  <si>
    <t>B0995</t>
  </si>
  <si>
    <t>L0996</t>
  </si>
  <si>
    <t>B0996</t>
  </si>
  <si>
    <t>L0997</t>
  </si>
  <si>
    <t>B0997</t>
  </si>
  <si>
    <t>L0998</t>
  </si>
  <si>
    <t>B0998</t>
  </si>
  <si>
    <t>L0999</t>
  </si>
  <si>
    <t>B0999</t>
  </si>
  <si>
    <t>L1000</t>
  </si>
  <si>
    <t>B1000</t>
  </si>
  <si>
    <t>Late</t>
  </si>
  <si>
    <t>Age of Loan Months</t>
  </si>
  <si>
    <t>Profit/loss</t>
  </si>
  <si>
    <t>P/L status</t>
  </si>
  <si>
    <t>KPI's</t>
  </si>
  <si>
    <t>Total loan amount</t>
  </si>
  <si>
    <t>Total Profit / Loss</t>
  </si>
  <si>
    <t>Average Interest Rate</t>
  </si>
  <si>
    <t>Total Number of Loans</t>
  </si>
  <si>
    <t>Create a Pivot Table that shows the total funded amount and total number of loans by:</t>
  </si>
  <si>
    <t>Grand Total</t>
  </si>
  <si>
    <t>Sum of Loan Amount</t>
  </si>
  <si>
    <t>1.Loan Status (Fully Paid, Charged Off, Current).</t>
  </si>
  <si>
    <t>2.Loan Grade (A, B, C, etc.).</t>
  </si>
  <si>
    <t>Count of Loan ID</t>
  </si>
  <si>
    <t>3.Loan Intent (debt consolidation, credit card refinancing, etc.).</t>
  </si>
  <si>
    <t>4.Monthly Trends: Use a line chart to display the trend of total funded amount and number of loans issued over time. This helps identify periods of high and low lending activity.</t>
  </si>
  <si>
    <t>Jan</t>
  </si>
  <si>
    <t>Feb</t>
  </si>
  <si>
    <t>Mar</t>
  </si>
  <si>
    <t>Apr</t>
  </si>
  <si>
    <t>May</t>
  </si>
  <si>
    <t>Jun</t>
  </si>
  <si>
    <t>Jul</t>
  </si>
  <si>
    <t>Aug</t>
  </si>
  <si>
    <t>Sep</t>
  </si>
  <si>
    <t>Oct</t>
  </si>
  <si>
    <t>Nov</t>
  </si>
  <si>
    <t>Dec</t>
  </si>
  <si>
    <t>5.Distribution by Loan Grade: Use a bar chart or pie chart to show the distribution of loans by their assigned 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</si>
</sst>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0">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14" fontId="0" fillId="0" borderId="1" xfId="0" applyNumberFormat="1" applyBorder="1"/>
    <xf numFmtId="0" fontId="0" fillId="0" borderId="1" xfId="0" applyBorder="1"/>
    <xf numFmtId="0" fontId="0" fillId="0" borderId="6" xfId="0" applyBorder="1"/>
    <xf numFmtId="0" fontId="0" fillId="0" borderId="7" xfId="0" applyBorder="1"/>
    <xf numFmtId="14" fontId="0" fillId="0" borderId="8" xfId="0" applyNumberFormat="1" applyBorder="1"/>
    <xf numFmtId="0" fontId="0" fillId="0" borderId="8" xfId="0" applyBorder="1"/>
    <xf numFmtId="0" fontId="0" fillId="0" borderId="9" xfId="0" applyBorder="1"/>
    <xf numFmtId="0" fontId="0" fillId="2" borderId="0" xfId="0" applyFill="1"/>
    <xf numFmtId="0" fontId="0" fillId="3" borderId="0" xfId="0" applyFill="1"/>
    <xf numFmtId="0" fontId="0" fillId="0" borderId="0" xfId="0" applyNumberFormat="1"/>
    <xf numFmtId="0" fontId="1" fillId="0" borderId="0" xfId="0" applyFont="1"/>
    <xf numFmtId="0" fontId="0" fillId="0" borderId="0" xfId="0" pivotButton="1"/>
    <xf numFmtId="0" fontId="0" fillId="0" borderId="0" xfId="0" applyAlignment="1">
      <alignment horizontal="left"/>
    </xf>
    <xf numFmtId="0" fontId="1" fillId="0" borderId="0" xfId="0" applyFont="1" applyAlignment="1">
      <alignment horizontal="center" vertical="center"/>
    </xf>
    <xf numFmtId="0" fontId="1" fillId="0" borderId="0" xfId="0" applyFont="1" applyAlignment="1">
      <alignment horizontal="left" vertical="top"/>
    </xf>
  </cellXfs>
  <cellStyles count="1">
    <cellStyle name="Normal" xfId="0" builtinId="0"/>
  </cellStyles>
  <dxfs count="23">
    <dxf>
      <border diagonalUp="0" diagonalDown="0">
        <left style="thin">
          <color indexed="64"/>
        </left>
        <right style="thin">
          <color indexed="64"/>
        </right>
        <top/>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[day4_excel_challenge.xlsx]Pivot ANalysis!PivotTable1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ANalysis'!$B$5</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cat>
            <c:strRef>
              <c:f>'Pivot ANalysis'!$A$6:$A$11</c:f>
              <c:strCache>
                <c:ptCount val="5"/>
                <c:pt idx="0">
                  <c:v>Charged Off</c:v>
                </c:pt>
                <c:pt idx="1">
                  <c:v>Current</c:v>
                </c:pt>
                <c:pt idx="2">
                  <c:v>Fully Paid</c:v>
                </c:pt>
                <c:pt idx="3">
                  <c:v>In Grace Period</c:v>
                </c:pt>
                <c:pt idx="4">
                  <c:v>Late</c:v>
                </c:pt>
              </c:strCache>
            </c:strRef>
          </c:cat>
          <c:val>
            <c:numRef>
              <c:f>'Pivot ANalysis'!$B$6:$B$11</c:f>
              <c:numCache>
                <c:formatCode>General</c:formatCode>
                <c:ptCount val="5"/>
                <c:pt idx="0">
                  <c:v>2112176</c:v>
                </c:pt>
                <c:pt idx="1">
                  <c:v>6467779</c:v>
                </c:pt>
                <c:pt idx="2">
                  <c:v>11729795</c:v>
                </c:pt>
                <c:pt idx="3">
                  <c:v>248118</c:v>
                </c:pt>
                <c:pt idx="4">
                  <c:v>697676</c:v>
                </c:pt>
              </c:numCache>
            </c:numRef>
          </c:val>
          <c:extLst>
            <c:ext xmlns:c16="http://schemas.microsoft.com/office/drawing/2014/chart" uri="{C3380CC4-5D6E-409C-BE32-E72D297353CC}">
              <c16:uniqueId val="{00000000-989A-4473-B344-840772F995A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[day4_excel_challenge.xlsx]Pivot ANalysis!PivotTable2</c:name>
    <c:fmtId val="1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ANalysis'!$B$21</c:f>
              <c:strCache>
                <c:ptCount val="1"/>
                <c:pt idx="0">
                  <c:v>Count of Loan ID</c:v>
                </c:pt>
              </c:strCache>
            </c:strRef>
          </c:tx>
          <c:spPr>
            <a:solidFill>
              <a:schemeClr val="accent1"/>
            </a:solidFill>
            <a:ln>
              <a:noFill/>
            </a:ln>
            <a:effectLst/>
            <a:sp3d/>
          </c:spPr>
          <c:invertIfNegative val="0"/>
          <c:cat>
            <c:strRef>
              <c:f>'Pivot ANalysis'!$A$22:$A$29</c:f>
              <c:strCache>
                <c:ptCount val="7"/>
                <c:pt idx="0">
                  <c:v>A</c:v>
                </c:pt>
                <c:pt idx="1">
                  <c:v>B</c:v>
                </c:pt>
                <c:pt idx="2">
                  <c:v>C</c:v>
                </c:pt>
                <c:pt idx="3">
                  <c:v>D</c:v>
                </c:pt>
                <c:pt idx="4">
                  <c:v>E</c:v>
                </c:pt>
                <c:pt idx="5">
                  <c:v>F</c:v>
                </c:pt>
                <c:pt idx="6">
                  <c:v>G</c:v>
                </c:pt>
              </c:strCache>
            </c:strRef>
          </c:cat>
          <c:val>
            <c:numRef>
              <c:f>'Pivot ANalysis'!$B$22:$B$29</c:f>
              <c:numCache>
                <c:formatCode>General</c:formatCode>
                <c:ptCount val="7"/>
                <c:pt idx="0">
                  <c:v>250</c:v>
                </c:pt>
                <c:pt idx="1">
                  <c:v>206</c:v>
                </c:pt>
                <c:pt idx="2">
                  <c:v>154</c:v>
                </c:pt>
                <c:pt idx="3">
                  <c:v>159</c:v>
                </c:pt>
                <c:pt idx="4">
                  <c:v>106</c:v>
                </c:pt>
                <c:pt idx="5">
                  <c:v>81</c:v>
                </c:pt>
                <c:pt idx="6">
                  <c:v>44</c:v>
                </c:pt>
              </c:numCache>
            </c:numRef>
          </c:val>
          <c:extLst>
            <c:ext xmlns:c16="http://schemas.microsoft.com/office/drawing/2014/chart" uri="{C3380CC4-5D6E-409C-BE32-E72D297353CC}">
              <c16:uniqueId val="{00000000-6E4E-43DD-9F09-8CA21601479E}"/>
            </c:ext>
          </c:extLst>
        </c:ser>
        <c:ser>
          <c:idx val="1"/>
          <c:order val="1"/>
          <c:tx>
            <c:strRef>
              <c:f>'Pivot ANalysis'!$C$21</c:f>
              <c:strCache>
                <c:ptCount val="1"/>
                <c:pt idx="0">
                  <c:v>Sum of Loan Amount</c:v>
                </c:pt>
              </c:strCache>
            </c:strRef>
          </c:tx>
          <c:spPr>
            <a:solidFill>
              <a:schemeClr val="accent2"/>
            </a:solidFill>
            <a:ln>
              <a:noFill/>
            </a:ln>
            <a:effectLst/>
            <a:sp3d/>
          </c:spPr>
          <c:invertIfNegative val="0"/>
          <c:cat>
            <c:strRef>
              <c:f>'Pivot ANalysis'!$A$22:$A$29</c:f>
              <c:strCache>
                <c:ptCount val="7"/>
                <c:pt idx="0">
                  <c:v>A</c:v>
                </c:pt>
                <c:pt idx="1">
                  <c:v>B</c:v>
                </c:pt>
                <c:pt idx="2">
                  <c:v>C</c:v>
                </c:pt>
                <c:pt idx="3">
                  <c:v>D</c:v>
                </c:pt>
                <c:pt idx="4">
                  <c:v>E</c:v>
                </c:pt>
                <c:pt idx="5">
                  <c:v>F</c:v>
                </c:pt>
                <c:pt idx="6">
                  <c:v>G</c:v>
                </c:pt>
              </c:strCache>
            </c:strRef>
          </c:cat>
          <c:val>
            <c:numRef>
              <c:f>'Pivot ANalysis'!$C$22:$C$29</c:f>
              <c:numCache>
                <c:formatCode>General</c:formatCode>
                <c:ptCount val="7"/>
                <c:pt idx="0">
                  <c:v>5338618</c:v>
                </c:pt>
                <c:pt idx="1">
                  <c:v>4482846</c:v>
                </c:pt>
                <c:pt idx="2">
                  <c:v>3235951</c:v>
                </c:pt>
                <c:pt idx="3">
                  <c:v>3264798</c:v>
                </c:pt>
                <c:pt idx="4">
                  <c:v>2320669</c:v>
                </c:pt>
                <c:pt idx="5">
                  <c:v>1605848</c:v>
                </c:pt>
                <c:pt idx="6">
                  <c:v>1006814</c:v>
                </c:pt>
              </c:numCache>
            </c:numRef>
          </c:val>
          <c:extLst>
            <c:ext xmlns:c16="http://schemas.microsoft.com/office/drawing/2014/chart" uri="{C3380CC4-5D6E-409C-BE32-E72D297353CC}">
              <c16:uniqueId val="{00000001-6E4E-43DD-9F09-8CA21601479E}"/>
            </c:ext>
          </c:extLst>
        </c:ser>
        <c:dLbls>
          <c:showLegendKey val="0"/>
          <c:showVal val="0"/>
          <c:showCatName val="0"/>
          <c:showSerName val="0"/>
          <c:showPercent val="0"/>
          <c:showBubbleSize val="0"/>
        </c:dLbls>
        <c:gapWidth val="150"/>
        <c:shape val="box"/>
        <c:axId val="569640944"/>
        <c:axId val="569639984"/>
        <c:axId val="0"/>
      </c:bar3DChart>
      <c:catAx>
        <c:axId val="569640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639984"/>
        <c:crosses val="autoZero"/>
        <c:auto val="1"/>
        <c:lblAlgn val="ctr"/>
        <c:lblOffset val="100"/>
        <c:noMultiLvlLbl val="0"/>
      </c:catAx>
      <c:valAx>
        <c:axId val="56963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64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[day4_excel_challenge.xlsx]Pivot ANalysis!PivotTable3</c:name>
    <c:fmtId val="3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39149168853894"/>
          <c:y val="0.14712744240303297"/>
          <c:w val="0.22556583552055992"/>
          <c:h val="0.75010279965004378"/>
        </c:manualLayout>
      </c:layout>
      <c:bar3DChart>
        <c:barDir val="bar"/>
        <c:grouping val="clustered"/>
        <c:varyColors val="0"/>
        <c:ser>
          <c:idx val="0"/>
          <c:order val="0"/>
          <c:tx>
            <c:strRef>
              <c:f>'Pivot ANalysis'!$B$38</c:f>
              <c:strCache>
                <c:ptCount val="1"/>
                <c:pt idx="0">
                  <c:v>Count of Loan ID</c:v>
                </c:pt>
              </c:strCache>
            </c:strRef>
          </c:tx>
          <c:spPr>
            <a:solidFill>
              <a:schemeClr val="accent1"/>
            </a:solidFill>
            <a:ln>
              <a:noFill/>
            </a:ln>
            <a:effectLst/>
            <a:sp3d/>
          </c:spPr>
          <c:invertIfNegative val="0"/>
          <c:cat>
            <c:strRef>
              <c:f>'Pivot ANalysis'!$A$39:$A$44</c:f>
              <c:strCache>
                <c:ptCount val="5"/>
                <c:pt idx="0">
                  <c:v>credit card</c:v>
                </c:pt>
                <c:pt idx="1">
                  <c:v>debt consolidation</c:v>
                </c:pt>
                <c:pt idx="2">
                  <c:v>home improvement</c:v>
                </c:pt>
                <c:pt idx="3">
                  <c:v>other</c:v>
                </c:pt>
                <c:pt idx="4">
                  <c:v>small business</c:v>
                </c:pt>
              </c:strCache>
            </c:strRef>
          </c:cat>
          <c:val>
            <c:numRef>
              <c:f>'Pivot ANalysis'!$B$39:$B$44</c:f>
              <c:numCache>
                <c:formatCode>General</c:formatCode>
                <c:ptCount val="5"/>
                <c:pt idx="0">
                  <c:v>191</c:v>
                </c:pt>
                <c:pt idx="1">
                  <c:v>187</c:v>
                </c:pt>
                <c:pt idx="2">
                  <c:v>197</c:v>
                </c:pt>
                <c:pt idx="3">
                  <c:v>211</c:v>
                </c:pt>
                <c:pt idx="4">
                  <c:v>214</c:v>
                </c:pt>
              </c:numCache>
            </c:numRef>
          </c:val>
          <c:extLst>
            <c:ext xmlns:c16="http://schemas.microsoft.com/office/drawing/2014/chart" uri="{C3380CC4-5D6E-409C-BE32-E72D297353CC}">
              <c16:uniqueId val="{00000000-F43E-494D-A94A-873BA84F5368}"/>
            </c:ext>
          </c:extLst>
        </c:ser>
        <c:ser>
          <c:idx val="1"/>
          <c:order val="1"/>
          <c:tx>
            <c:strRef>
              <c:f>'Pivot ANalysis'!$C$38</c:f>
              <c:strCache>
                <c:ptCount val="1"/>
                <c:pt idx="0">
                  <c:v>Sum of Loan Amount</c:v>
                </c:pt>
              </c:strCache>
            </c:strRef>
          </c:tx>
          <c:spPr>
            <a:solidFill>
              <a:schemeClr val="accent2"/>
            </a:solidFill>
            <a:ln>
              <a:noFill/>
            </a:ln>
            <a:effectLst/>
            <a:sp3d/>
          </c:spPr>
          <c:invertIfNegative val="0"/>
          <c:cat>
            <c:strRef>
              <c:f>'Pivot ANalysis'!$A$39:$A$44</c:f>
              <c:strCache>
                <c:ptCount val="5"/>
                <c:pt idx="0">
                  <c:v>credit card</c:v>
                </c:pt>
                <c:pt idx="1">
                  <c:v>debt consolidation</c:v>
                </c:pt>
                <c:pt idx="2">
                  <c:v>home improvement</c:v>
                </c:pt>
                <c:pt idx="3">
                  <c:v>other</c:v>
                </c:pt>
                <c:pt idx="4">
                  <c:v>small business</c:v>
                </c:pt>
              </c:strCache>
            </c:strRef>
          </c:cat>
          <c:val>
            <c:numRef>
              <c:f>'Pivot ANalysis'!$C$39:$C$44</c:f>
              <c:numCache>
                <c:formatCode>General</c:formatCode>
                <c:ptCount val="5"/>
                <c:pt idx="0">
                  <c:v>4212767</c:v>
                </c:pt>
                <c:pt idx="1">
                  <c:v>3788403</c:v>
                </c:pt>
                <c:pt idx="2">
                  <c:v>4371262</c:v>
                </c:pt>
                <c:pt idx="3">
                  <c:v>4432165</c:v>
                </c:pt>
                <c:pt idx="4">
                  <c:v>4450947</c:v>
                </c:pt>
              </c:numCache>
            </c:numRef>
          </c:val>
          <c:extLst>
            <c:ext xmlns:c16="http://schemas.microsoft.com/office/drawing/2014/chart" uri="{C3380CC4-5D6E-409C-BE32-E72D297353CC}">
              <c16:uniqueId val="{00000001-F43E-494D-A94A-873BA84F5368}"/>
            </c:ext>
          </c:extLst>
        </c:ser>
        <c:dLbls>
          <c:showLegendKey val="0"/>
          <c:showVal val="0"/>
          <c:showCatName val="0"/>
          <c:showSerName val="0"/>
          <c:showPercent val="0"/>
          <c:showBubbleSize val="0"/>
        </c:dLbls>
        <c:gapWidth val="150"/>
        <c:shape val="box"/>
        <c:axId val="1697441296"/>
        <c:axId val="1697441776"/>
        <c:axId val="0"/>
      </c:bar3DChart>
      <c:catAx>
        <c:axId val="1697441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441776"/>
        <c:crosses val="autoZero"/>
        <c:auto val="1"/>
        <c:lblAlgn val="ctr"/>
        <c:lblOffset val="100"/>
        <c:noMultiLvlLbl val="0"/>
      </c:catAx>
      <c:valAx>
        <c:axId val="1697441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44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[day4_excel_challenge.xlsx]Pivot ANalysis!PivotTable4</c:name>
    <c:fmtId val="45"/>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ANalysis'!$B$55</c:f>
              <c:strCache>
                <c:ptCount val="1"/>
                <c:pt idx="0">
                  <c:v>Count of Loan 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ANalysis'!$A$56:$A$68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ANalysis'!$B$56:$B$68</c:f>
              <c:numCache>
                <c:formatCode>General</c:formatCode>
                <c:ptCount val="12"/>
                <c:pt idx="0">
                  <c:v>90</c:v>
                </c:pt>
                <c:pt idx="1">
                  <c:v>81</c:v>
                </c:pt>
                <c:pt idx="2">
                  <c:v>88</c:v>
                </c:pt>
                <c:pt idx="3">
                  <c:v>93</c:v>
                </c:pt>
                <c:pt idx="4">
                  <c:v>97</c:v>
                </c:pt>
                <c:pt idx="5">
                  <c:v>73</c:v>
                </c:pt>
                <c:pt idx="6">
                  <c:v>78</c:v>
                </c:pt>
                <c:pt idx="7">
                  <c:v>80</c:v>
                </c:pt>
                <c:pt idx="8">
                  <c:v>68</c:v>
                </c:pt>
                <c:pt idx="9">
                  <c:v>90</c:v>
                </c:pt>
                <c:pt idx="10">
                  <c:v>76</c:v>
                </c:pt>
                <c:pt idx="11">
                  <c:v>86</c:v>
                </c:pt>
              </c:numCache>
            </c:numRef>
          </c:val>
          <c:smooth val="0"/>
          <c:extLst>
            <c:ext xmlns:c16="http://schemas.microsoft.com/office/drawing/2014/chart" uri="{C3380CC4-5D6E-409C-BE32-E72D297353CC}">
              <c16:uniqueId val="{00000000-DD93-4A12-8899-59334C4EB62A}"/>
            </c:ext>
          </c:extLst>
        </c:ser>
        <c:ser>
          <c:idx val="1"/>
          <c:order val="1"/>
          <c:tx>
            <c:strRef>
              <c:f>'Pivot ANalysis'!$C$55</c:f>
              <c:strCache>
                <c:ptCount val="1"/>
                <c:pt idx="0">
                  <c:v>Sum of Loan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ANalysis'!$A$56:$A$68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ANalysis'!$C$56:$C$68</c:f>
              <c:numCache>
                <c:formatCode>General</c:formatCode>
                <c:ptCount val="12"/>
                <c:pt idx="0">
                  <c:v>2092739</c:v>
                </c:pt>
                <c:pt idx="1">
                  <c:v>1755960</c:v>
                </c:pt>
                <c:pt idx="2">
                  <c:v>1730459</c:v>
                </c:pt>
                <c:pt idx="3">
                  <c:v>2165874</c:v>
                </c:pt>
                <c:pt idx="4">
                  <c:v>1811797</c:v>
                </c:pt>
                <c:pt idx="5">
                  <c:v>1483335</c:v>
                </c:pt>
                <c:pt idx="6">
                  <c:v>1596365</c:v>
                </c:pt>
                <c:pt idx="7">
                  <c:v>1649022</c:v>
                </c:pt>
                <c:pt idx="8">
                  <c:v>1511440</c:v>
                </c:pt>
                <c:pt idx="9">
                  <c:v>1991319</c:v>
                </c:pt>
                <c:pt idx="10">
                  <c:v>1551289</c:v>
                </c:pt>
                <c:pt idx="11">
                  <c:v>1915945</c:v>
                </c:pt>
              </c:numCache>
            </c:numRef>
          </c:val>
          <c:smooth val="0"/>
          <c:extLst>
            <c:ext xmlns:c16="http://schemas.microsoft.com/office/drawing/2014/chart" uri="{C3380CC4-5D6E-409C-BE32-E72D297353CC}">
              <c16:uniqueId val="{00000001-DD93-4A12-8899-59334C4EB62A}"/>
            </c:ext>
          </c:extLst>
        </c:ser>
        <c:dLbls>
          <c:showLegendKey val="0"/>
          <c:showVal val="0"/>
          <c:showCatName val="0"/>
          <c:showSerName val="0"/>
          <c:showPercent val="0"/>
          <c:showBubbleSize val="0"/>
        </c:dLbls>
        <c:marker val="1"/>
        <c:smooth val="0"/>
        <c:axId val="1882292352"/>
        <c:axId val="1882284192"/>
      </c:lineChart>
      <c:catAx>
        <c:axId val="188229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284192"/>
        <c:crosses val="autoZero"/>
        <c:auto val="1"/>
        <c:lblAlgn val="ctr"/>
        <c:lblOffset val="100"/>
        <c:noMultiLvlLbl val="0"/>
      </c:catAx>
      <c:valAx>
        <c:axId val="188228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29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[day4_excel_challenge.xlsx]Pivot ANalysis!PivotTable5</c:name>
    <c:fmtId val="5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ANalysis'!$B$74</c:f>
              <c:strCache>
                <c:ptCount val="1"/>
                <c:pt idx="0">
                  <c:v>Total</c:v>
                </c:pt>
              </c:strCache>
            </c:strRef>
          </c:tx>
          <c:spPr>
            <a:solidFill>
              <a:schemeClr val="accent1"/>
            </a:solidFill>
            <a:ln>
              <a:noFill/>
            </a:ln>
            <a:effectLst/>
            <a:sp3d/>
          </c:spPr>
          <c:invertIfNegative val="0"/>
          <c:cat>
            <c:strRef>
              <c:f>'Pivot ANalysis'!$A$75:$A$82</c:f>
              <c:strCache>
                <c:ptCount val="7"/>
                <c:pt idx="0">
                  <c:v>A</c:v>
                </c:pt>
                <c:pt idx="1">
                  <c:v>B</c:v>
                </c:pt>
                <c:pt idx="2">
                  <c:v>C</c:v>
                </c:pt>
                <c:pt idx="3">
                  <c:v>D</c:v>
                </c:pt>
                <c:pt idx="4">
                  <c:v>E</c:v>
                </c:pt>
                <c:pt idx="5">
                  <c:v>F</c:v>
                </c:pt>
                <c:pt idx="6">
                  <c:v>G</c:v>
                </c:pt>
              </c:strCache>
            </c:strRef>
          </c:cat>
          <c:val>
            <c:numRef>
              <c:f>'Pivot ANalysis'!$B$75:$B$82</c:f>
              <c:numCache>
                <c:formatCode>General</c:formatCode>
                <c:ptCount val="7"/>
                <c:pt idx="0">
                  <c:v>5338618</c:v>
                </c:pt>
                <c:pt idx="1">
                  <c:v>4482846</c:v>
                </c:pt>
                <c:pt idx="2">
                  <c:v>3235951</c:v>
                </c:pt>
                <c:pt idx="3">
                  <c:v>3264798</c:v>
                </c:pt>
                <c:pt idx="4">
                  <c:v>2320669</c:v>
                </c:pt>
                <c:pt idx="5">
                  <c:v>1605848</c:v>
                </c:pt>
                <c:pt idx="6">
                  <c:v>1006814</c:v>
                </c:pt>
              </c:numCache>
            </c:numRef>
          </c:val>
          <c:extLst>
            <c:ext xmlns:c16="http://schemas.microsoft.com/office/drawing/2014/chart" uri="{C3380CC4-5D6E-409C-BE32-E72D297353CC}">
              <c16:uniqueId val="{00000000-9090-468A-BB5D-928ED86C124D}"/>
            </c:ext>
          </c:extLst>
        </c:ser>
        <c:dLbls>
          <c:showLegendKey val="0"/>
          <c:showVal val="0"/>
          <c:showCatName val="0"/>
          <c:showSerName val="0"/>
          <c:showPercent val="0"/>
          <c:showBubbleSize val="0"/>
        </c:dLbls>
        <c:gapWidth val="150"/>
        <c:shape val="box"/>
        <c:axId val="1554452064"/>
        <c:axId val="1554453984"/>
        <c:axId val="0"/>
      </c:bar3DChart>
      <c:catAx>
        <c:axId val="1554452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453984"/>
        <c:crosses val="autoZero"/>
        <c:auto val="1"/>
        <c:lblAlgn val="ctr"/>
        <c:lblOffset val="100"/>
        <c:noMultiLvlLbl val="0"/>
      </c:catAx>
      <c:valAx>
        <c:axId val="1554453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45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[day4_excel_challenge.xlsx]Pivot ANalysis!PivotTable1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s>
    <c:plotArea>
      <c:layout/>
      <c:pieChart>
        <c:varyColors val="1"/>
        <c:ser>
          <c:idx val="0"/>
          <c:order val="0"/>
          <c:tx>
            <c:strRef>
              <c:f>'Pivot ANalysis'!$B$5</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939-4D43-8FC5-AD9BBCC0521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5939-4D43-8FC5-AD9BBCC0521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5939-4D43-8FC5-AD9BBCC0521B}"/>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5939-4D43-8FC5-AD9BBCC0521B}"/>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5939-4D43-8FC5-AD9BBCC0521B}"/>
              </c:ext>
            </c:extLst>
          </c:dPt>
          <c:cat>
            <c:strRef>
              <c:f>'Pivot ANalysis'!$A$6:$A$11</c:f>
              <c:strCache>
                <c:ptCount val="5"/>
                <c:pt idx="0">
                  <c:v>Charged Off</c:v>
                </c:pt>
                <c:pt idx="1">
                  <c:v>Current</c:v>
                </c:pt>
                <c:pt idx="2">
                  <c:v>Fully Paid</c:v>
                </c:pt>
                <c:pt idx="3">
                  <c:v>In Grace Period</c:v>
                </c:pt>
                <c:pt idx="4">
                  <c:v>Late</c:v>
                </c:pt>
              </c:strCache>
            </c:strRef>
          </c:cat>
          <c:val>
            <c:numRef>
              <c:f>'Pivot ANalysis'!$B$6:$B$11</c:f>
              <c:numCache>
                <c:formatCode>General</c:formatCode>
                <c:ptCount val="5"/>
                <c:pt idx="0">
                  <c:v>2112176</c:v>
                </c:pt>
                <c:pt idx="1">
                  <c:v>6467779</c:v>
                </c:pt>
                <c:pt idx="2">
                  <c:v>11729795</c:v>
                </c:pt>
                <c:pt idx="3">
                  <c:v>248118</c:v>
                </c:pt>
                <c:pt idx="4">
                  <c:v>697676</c:v>
                </c:pt>
              </c:numCache>
            </c:numRef>
          </c:val>
          <c:extLst>
            <c:ext xmlns:c16="http://schemas.microsoft.com/office/drawing/2014/chart" uri="{C3380CC4-5D6E-409C-BE32-E72D297353CC}">
              <c16:uniqueId val="{0000000A-5939-4D43-8FC5-AD9BBCC0521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[day4_excel_challenge.xlsx]Pivot ANalysis!PivotTable2</c:name>
    <c:fmtId val="1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ANalysis'!$B$21</c:f>
              <c:strCache>
                <c:ptCount val="1"/>
                <c:pt idx="0">
                  <c:v>Count of Loan ID</c:v>
                </c:pt>
              </c:strCache>
            </c:strRef>
          </c:tx>
          <c:spPr>
            <a:solidFill>
              <a:schemeClr val="accent1"/>
            </a:solidFill>
            <a:ln>
              <a:noFill/>
            </a:ln>
            <a:effectLst/>
            <a:sp3d/>
          </c:spPr>
          <c:invertIfNegative val="0"/>
          <c:cat>
            <c:strRef>
              <c:f>'Pivot ANalysis'!$A$22:$A$29</c:f>
              <c:strCache>
                <c:ptCount val="7"/>
                <c:pt idx="0">
                  <c:v>A</c:v>
                </c:pt>
                <c:pt idx="1">
                  <c:v>B</c:v>
                </c:pt>
                <c:pt idx="2">
                  <c:v>C</c:v>
                </c:pt>
                <c:pt idx="3">
                  <c:v>D</c:v>
                </c:pt>
                <c:pt idx="4">
                  <c:v>E</c:v>
                </c:pt>
                <c:pt idx="5">
                  <c:v>F</c:v>
                </c:pt>
                <c:pt idx="6">
                  <c:v>G</c:v>
                </c:pt>
              </c:strCache>
            </c:strRef>
          </c:cat>
          <c:val>
            <c:numRef>
              <c:f>'Pivot ANalysis'!$B$22:$B$29</c:f>
              <c:numCache>
                <c:formatCode>General</c:formatCode>
                <c:ptCount val="7"/>
                <c:pt idx="0">
                  <c:v>250</c:v>
                </c:pt>
                <c:pt idx="1">
                  <c:v>206</c:v>
                </c:pt>
                <c:pt idx="2">
                  <c:v>154</c:v>
                </c:pt>
                <c:pt idx="3">
                  <c:v>159</c:v>
                </c:pt>
                <c:pt idx="4">
                  <c:v>106</c:v>
                </c:pt>
                <c:pt idx="5">
                  <c:v>81</c:v>
                </c:pt>
                <c:pt idx="6">
                  <c:v>44</c:v>
                </c:pt>
              </c:numCache>
            </c:numRef>
          </c:val>
          <c:extLst>
            <c:ext xmlns:c16="http://schemas.microsoft.com/office/drawing/2014/chart" uri="{C3380CC4-5D6E-409C-BE32-E72D297353CC}">
              <c16:uniqueId val="{00000000-00D6-4EE8-8DEB-EEB8A584B1F3}"/>
            </c:ext>
          </c:extLst>
        </c:ser>
        <c:ser>
          <c:idx val="1"/>
          <c:order val="1"/>
          <c:tx>
            <c:strRef>
              <c:f>'Pivot ANalysis'!$C$21</c:f>
              <c:strCache>
                <c:ptCount val="1"/>
                <c:pt idx="0">
                  <c:v>Sum of Loan Amount</c:v>
                </c:pt>
              </c:strCache>
            </c:strRef>
          </c:tx>
          <c:spPr>
            <a:solidFill>
              <a:schemeClr val="accent2"/>
            </a:solidFill>
            <a:ln>
              <a:noFill/>
            </a:ln>
            <a:effectLst/>
            <a:sp3d/>
          </c:spPr>
          <c:invertIfNegative val="0"/>
          <c:cat>
            <c:strRef>
              <c:f>'Pivot ANalysis'!$A$22:$A$29</c:f>
              <c:strCache>
                <c:ptCount val="7"/>
                <c:pt idx="0">
                  <c:v>A</c:v>
                </c:pt>
                <c:pt idx="1">
                  <c:v>B</c:v>
                </c:pt>
                <c:pt idx="2">
                  <c:v>C</c:v>
                </c:pt>
                <c:pt idx="3">
                  <c:v>D</c:v>
                </c:pt>
                <c:pt idx="4">
                  <c:v>E</c:v>
                </c:pt>
                <c:pt idx="5">
                  <c:v>F</c:v>
                </c:pt>
                <c:pt idx="6">
                  <c:v>G</c:v>
                </c:pt>
              </c:strCache>
            </c:strRef>
          </c:cat>
          <c:val>
            <c:numRef>
              <c:f>'Pivot ANalysis'!$C$22:$C$29</c:f>
              <c:numCache>
                <c:formatCode>General</c:formatCode>
                <c:ptCount val="7"/>
                <c:pt idx="0">
                  <c:v>5338618</c:v>
                </c:pt>
                <c:pt idx="1">
                  <c:v>4482846</c:v>
                </c:pt>
                <c:pt idx="2">
                  <c:v>3235951</c:v>
                </c:pt>
                <c:pt idx="3">
                  <c:v>3264798</c:v>
                </c:pt>
                <c:pt idx="4">
                  <c:v>2320669</c:v>
                </c:pt>
                <c:pt idx="5">
                  <c:v>1605848</c:v>
                </c:pt>
                <c:pt idx="6">
                  <c:v>1006814</c:v>
                </c:pt>
              </c:numCache>
            </c:numRef>
          </c:val>
          <c:extLst>
            <c:ext xmlns:c16="http://schemas.microsoft.com/office/drawing/2014/chart" uri="{C3380CC4-5D6E-409C-BE32-E72D297353CC}">
              <c16:uniqueId val="{00000001-00D6-4EE8-8DEB-EEB8A584B1F3}"/>
            </c:ext>
          </c:extLst>
        </c:ser>
        <c:dLbls>
          <c:showLegendKey val="0"/>
          <c:showVal val="0"/>
          <c:showCatName val="0"/>
          <c:showSerName val="0"/>
          <c:showPercent val="0"/>
          <c:showBubbleSize val="0"/>
        </c:dLbls>
        <c:gapWidth val="150"/>
        <c:shape val="box"/>
        <c:axId val="569640944"/>
        <c:axId val="569639984"/>
        <c:axId val="0"/>
      </c:bar3DChart>
      <c:catAx>
        <c:axId val="569640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639984"/>
        <c:crosses val="autoZero"/>
        <c:auto val="1"/>
        <c:lblAlgn val="ctr"/>
        <c:lblOffset val="100"/>
        <c:noMultiLvlLbl val="0"/>
      </c:catAx>
      <c:valAx>
        <c:axId val="56963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64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[day4_excel_challenge.xlsx]Pivot ANalysis!PivotTable3</c:name>
    <c:fmtId val="4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39149168853894"/>
          <c:y val="0.14712744240303297"/>
          <c:w val="0.22556583552055992"/>
          <c:h val="0.75010279965004378"/>
        </c:manualLayout>
      </c:layout>
      <c:bar3DChart>
        <c:barDir val="bar"/>
        <c:grouping val="clustered"/>
        <c:varyColors val="0"/>
        <c:ser>
          <c:idx val="0"/>
          <c:order val="0"/>
          <c:tx>
            <c:strRef>
              <c:f>'Pivot ANalysis'!$B$38</c:f>
              <c:strCache>
                <c:ptCount val="1"/>
                <c:pt idx="0">
                  <c:v>Count of Loan ID</c:v>
                </c:pt>
              </c:strCache>
            </c:strRef>
          </c:tx>
          <c:spPr>
            <a:solidFill>
              <a:schemeClr val="accent1"/>
            </a:solidFill>
            <a:ln>
              <a:noFill/>
            </a:ln>
            <a:effectLst/>
            <a:sp3d/>
          </c:spPr>
          <c:invertIfNegative val="0"/>
          <c:cat>
            <c:strRef>
              <c:f>'Pivot ANalysis'!$A$39:$A$44</c:f>
              <c:strCache>
                <c:ptCount val="5"/>
                <c:pt idx="0">
                  <c:v>credit card</c:v>
                </c:pt>
                <c:pt idx="1">
                  <c:v>debt consolidation</c:v>
                </c:pt>
                <c:pt idx="2">
                  <c:v>home improvement</c:v>
                </c:pt>
                <c:pt idx="3">
                  <c:v>other</c:v>
                </c:pt>
                <c:pt idx="4">
                  <c:v>small business</c:v>
                </c:pt>
              </c:strCache>
            </c:strRef>
          </c:cat>
          <c:val>
            <c:numRef>
              <c:f>'Pivot ANalysis'!$B$39:$B$44</c:f>
              <c:numCache>
                <c:formatCode>General</c:formatCode>
                <c:ptCount val="5"/>
                <c:pt idx="0">
                  <c:v>191</c:v>
                </c:pt>
                <c:pt idx="1">
                  <c:v>187</c:v>
                </c:pt>
                <c:pt idx="2">
                  <c:v>197</c:v>
                </c:pt>
                <c:pt idx="3">
                  <c:v>211</c:v>
                </c:pt>
                <c:pt idx="4">
                  <c:v>214</c:v>
                </c:pt>
              </c:numCache>
            </c:numRef>
          </c:val>
          <c:extLst>
            <c:ext xmlns:c16="http://schemas.microsoft.com/office/drawing/2014/chart" uri="{C3380CC4-5D6E-409C-BE32-E72D297353CC}">
              <c16:uniqueId val="{00000000-39C6-4E1D-B48D-CA65721A64E5}"/>
            </c:ext>
          </c:extLst>
        </c:ser>
        <c:ser>
          <c:idx val="1"/>
          <c:order val="1"/>
          <c:tx>
            <c:strRef>
              <c:f>'Pivot ANalysis'!$C$38</c:f>
              <c:strCache>
                <c:ptCount val="1"/>
                <c:pt idx="0">
                  <c:v>Sum of Loan Amount</c:v>
                </c:pt>
              </c:strCache>
            </c:strRef>
          </c:tx>
          <c:spPr>
            <a:solidFill>
              <a:schemeClr val="accent2"/>
            </a:solidFill>
            <a:ln>
              <a:noFill/>
            </a:ln>
            <a:effectLst/>
            <a:sp3d/>
          </c:spPr>
          <c:invertIfNegative val="0"/>
          <c:cat>
            <c:strRef>
              <c:f>'Pivot ANalysis'!$A$39:$A$44</c:f>
              <c:strCache>
                <c:ptCount val="5"/>
                <c:pt idx="0">
                  <c:v>credit card</c:v>
                </c:pt>
                <c:pt idx="1">
                  <c:v>debt consolidation</c:v>
                </c:pt>
                <c:pt idx="2">
                  <c:v>home improvement</c:v>
                </c:pt>
                <c:pt idx="3">
                  <c:v>other</c:v>
                </c:pt>
                <c:pt idx="4">
                  <c:v>small business</c:v>
                </c:pt>
              </c:strCache>
            </c:strRef>
          </c:cat>
          <c:val>
            <c:numRef>
              <c:f>'Pivot ANalysis'!$C$39:$C$44</c:f>
              <c:numCache>
                <c:formatCode>General</c:formatCode>
                <c:ptCount val="5"/>
                <c:pt idx="0">
                  <c:v>4212767</c:v>
                </c:pt>
                <c:pt idx="1">
                  <c:v>3788403</c:v>
                </c:pt>
                <c:pt idx="2">
                  <c:v>4371262</c:v>
                </c:pt>
                <c:pt idx="3">
                  <c:v>4432165</c:v>
                </c:pt>
                <c:pt idx="4">
                  <c:v>4450947</c:v>
                </c:pt>
              </c:numCache>
            </c:numRef>
          </c:val>
          <c:extLst>
            <c:ext xmlns:c16="http://schemas.microsoft.com/office/drawing/2014/chart" uri="{C3380CC4-5D6E-409C-BE32-E72D297353CC}">
              <c16:uniqueId val="{00000001-39C6-4E1D-B48D-CA65721A64E5}"/>
            </c:ext>
          </c:extLst>
        </c:ser>
        <c:dLbls>
          <c:showLegendKey val="0"/>
          <c:showVal val="0"/>
          <c:showCatName val="0"/>
          <c:showSerName val="0"/>
          <c:showPercent val="0"/>
          <c:showBubbleSize val="0"/>
        </c:dLbls>
        <c:gapWidth val="150"/>
        <c:shape val="box"/>
        <c:axId val="1697441296"/>
        <c:axId val="1697441776"/>
        <c:axId val="0"/>
      </c:bar3DChart>
      <c:catAx>
        <c:axId val="1697441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441776"/>
        <c:crosses val="autoZero"/>
        <c:auto val="1"/>
        <c:lblAlgn val="ctr"/>
        <c:lblOffset val="100"/>
        <c:noMultiLvlLbl val="0"/>
      </c:catAx>
      <c:valAx>
        <c:axId val="1697441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44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[day4_excel_challenge.xlsx]Pivot ANalysis!PivotTable4</c:name>
    <c:fmtId val="4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ANalysis'!$B$55</c:f>
              <c:strCache>
                <c:ptCount val="1"/>
                <c:pt idx="0">
                  <c:v>Count of Loan 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ANalysis'!$A$56:$A$68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ANalysis'!$B$56:$B$68</c:f>
              <c:numCache>
                <c:formatCode>General</c:formatCode>
                <c:ptCount val="12"/>
                <c:pt idx="0">
                  <c:v>90</c:v>
                </c:pt>
                <c:pt idx="1">
                  <c:v>81</c:v>
                </c:pt>
                <c:pt idx="2">
                  <c:v>88</c:v>
                </c:pt>
                <c:pt idx="3">
                  <c:v>93</c:v>
                </c:pt>
                <c:pt idx="4">
                  <c:v>97</c:v>
                </c:pt>
                <c:pt idx="5">
                  <c:v>73</c:v>
                </c:pt>
                <c:pt idx="6">
                  <c:v>78</c:v>
                </c:pt>
                <c:pt idx="7">
                  <c:v>80</c:v>
                </c:pt>
                <c:pt idx="8">
                  <c:v>68</c:v>
                </c:pt>
                <c:pt idx="9">
                  <c:v>90</c:v>
                </c:pt>
                <c:pt idx="10">
                  <c:v>76</c:v>
                </c:pt>
                <c:pt idx="11">
                  <c:v>86</c:v>
                </c:pt>
              </c:numCache>
            </c:numRef>
          </c:val>
          <c:smooth val="0"/>
          <c:extLst>
            <c:ext xmlns:c16="http://schemas.microsoft.com/office/drawing/2014/chart" uri="{C3380CC4-5D6E-409C-BE32-E72D297353CC}">
              <c16:uniqueId val="{00000000-D6D7-4CD0-8584-7419C5AF97C0}"/>
            </c:ext>
          </c:extLst>
        </c:ser>
        <c:ser>
          <c:idx val="1"/>
          <c:order val="1"/>
          <c:tx>
            <c:strRef>
              <c:f>'Pivot ANalysis'!$C$55</c:f>
              <c:strCache>
                <c:ptCount val="1"/>
                <c:pt idx="0">
                  <c:v>Sum of Loan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ANalysis'!$A$56:$A$68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ANalysis'!$C$56:$C$68</c:f>
              <c:numCache>
                <c:formatCode>General</c:formatCode>
                <c:ptCount val="12"/>
                <c:pt idx="0">
                  <c:v>2092739</c:v>
                </c:pt>
                <c:pt idx="1">
                  <c:v>1755960</c:v>
                </c:pt>
                <c:pt idx="2">
                  <c:v>1730459</c:v>
                </c:pt>
                <c:pt idx="3">
                  <c:v>2165874</c:v>
                </c:pt>
                <c:pt idx="4">
                  <c:v>1811797</c:v>
                </c:pt>
                <c:pt idx="5">
                  <c:v>1483335</c:v>
                </c:pt>
                <c:pt idx="6">
                  <c:v>1596365</c:v>
                </c:pt>
                <c:pt idx="7">
                  <c:v>1649022</c:v>
                </c:pt>
                <c:pt idx="8">
                  <c:v>1511440</c:v>
                </c:pt>
                <c:pt idx="9">
                  <c:v>1991319</c:v>
                </c:pt>
                <c:pt idx="10">
                  <c:v>1551289</c:v>
                </c:pt>
                <c:pt idx="11">
                  <c:v>1915945</c:v>
                </c:pt>
              </c:numCache>
            </c:numRef>
          </c:val>
          <c:smooth val="0"/>
          <c:extLst>
            <c:ext xmlns:c16="http://schemas.microsoft.com/office/drawing/2014/chart" uri="{C3380CC4-5D6E-409C-BE32-E72D297353CC}">
              <c16:uniqueId val="{00000001-D6D7-4CD0-8584-7419C5AF97C0}"/>
            </c:ext>
          </c:extLst>
        </c:ser>
        <c:dLbls>
          <c:showLegendKey val="0"/>
          <c:showVal val="0"/>
          <c:showCatName val="0"/>
          <c:showSerName val="0"/>
          <c:showPercent val="0"/>
          <c:showBubbleSize val="0"/>
        </c:dLbls>
        <c:marker val="1"/>
        <c:smooth val="0"/>
        <c:axId val="1882292352"/>
        <c:axId val="1882284192"/>
      </c:lineChart>
      <c:catAx>
        <c:axId val="188229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284192"/>
        <c:crosses val="autoZero"/>
        <c:auto val="1"/>
        <c:lblAlgn val="ctr"/>
        <c:lblOffset val="100"/>
        <c:noMultiLvlLbl val="0"/>
      </c:catAx>
      <c:valAx>
        <c:axId val="188228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29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586740</xdr:colOff>
      <xdr:row>2</xdr:row>
      <xdr:rowOff>152400</xdr:rowOff>
    </xdr:from>
    <xdr:to>
      <xdr:col>10</xdr:col>
      <xdr:colOff>281940</xdr:colOff>
      <xdr:row>17</xdr:row>
      <xdr:rowOff>152400</xdr:rowOff>
    </xdr:to>
    <xdr:graphicFrame macro="">
      <xdr:nvGraphicFramePr>
        <xdr:cNvPr id="2" name="Chart 1">
          <a:extLst>
            <a:ext uri="{FF2B5EF4-FFF2-40B4-BE49-F238E27FC236}">
              <a16:creationId xmlns:a16="http://schemas.microsoft.com/office/drawing/2014/main" id="{F92E1B46-3B1E-EB7B-92C6-F18A53A25C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289560</xdr:colOff>
      <xdr:row>3</xdr:row>
      <xdr:rowOff>15241</xdr:rowOff>
    </xdr:from>
    <xdr:to>
      <xdr:col>14</xdr:col>
      <xdr:colOff>289560</xdr:colOff>
      <xdr:row>13</xdr:row>
      <xdr:rowOff>83821</xdr:rowOff>
    </xdr:to>
    <mc:AlternateContent xmlns:mc="http://schemas.openxmlformats.org/markup-compatibility/2006">
      <mc:Choice xmlns:a14="http://schemas.microsoft.com/office/drawing/2010/main" Requires="a14">
        <xdr:graphicFrame macro="">
          <xdr:nvGraphicFramePr>
            <xdr:cNvPr id="3" name="Loan Status">
              <a:extLst>
                <a:ext uri="{FF2B5EF4-FFF2-40B4-BE49-F238E27FC236}">
                  <a16:creationId xmlns:a16="http://schemas.microsoft.com/office/drawing/2014/main" id="{731CE2B9-77D7-871F-0587-BDE5D25C9414}"/>
                </a:ext>
              </a:extLst>
            </xdr:cNvPr>
            <xdr:cNvGraphicFramePr/>
          </xdr:nvGraphicFramePr>
          <xdr:xfrm>
            <a:off x="0" y="0"/>
            <a:ext cx="0" cy="0"/>
          </xdr:xfrm>
          <a:graphic>
            <a:graphicData uri="http://schemas.microsoft.com/office/drawing/2010/slicer">
              <sle:slicer xmlns:sle="http://schemas.microsoft.com/office/drawing/2010/slicer" name="Loan Status"/>
            </a:graphicData>
          </a:graphic>
        </xdr:graphicFrame>
      </mc:Choice>
      <mc:Fallback>
        <xdr:sp macro="" textlink="">
          <xdr:nvSpPr>
            <xdr:cNvPr id="0" name=""/>
            <xdr:cNvSpPr>
              <a:spLocks noTextEdit="1"/>
            </xdr:cNvSpPr>
          </xdr:nvSpPr>
          <xdr:spPr>
            <a:xfrm>
              <a:off x="8663940" y="563881"/>
              <a:ext cx="1828800" cy="1897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601980</xdr:colOff>
      <xdr:row>20</xdr:row>
      <xdr:rowOff>0</xdr:rowOff>
    </xdr:from>
    <xdr:to>
      <xdr:col>11</xdr:col>
      <xdr:colOff>297180</xdr:colOff>
      <xdr:row>35</xdr:row>
      <xdr:rowOff>0</xdr:rowOff>
    </xdr:to>
    <xdr:graphicFrame macro="">
      <xdr:nvGraphicFramePr>
        <xdr:cNvPr id="4" name="Chart 3">
          <a:extLst>
            <a:ext uri="{FF2B5EF4-FFF2-40B4-BE49-F238E27FC236}">
              <a16:creationId xmlns:a16="http://schemas.microsoft.com/office/drawing/2014/main" id="{A98AC6B3-4BB5-BE28-36E6-A949B81118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22860</xdr:colOff>
      <xdr:row>20</xdr:row>
      <xdr:rowOff>38100</xdr:rowOff>
    </xdr:from>
    <xdr:to>
      <xdr:col>15</xdr:col>
      <xdr:colOff>22860</xdr:colOff>
      <xdr:row>33</xdr:row>
      <xdr:rowOff>127635</xdr:rowOff>
    </xdr:to>
    <mc:AlternateContent xmlns:mc="http://schemas.openxmlformats.org/markup-compatibility/2006">
      <mc:Choice xmlns:a14="http://schemas.microsoft.com/office/drawing/2010/main" Requires="a14">
        <xdr:graphicFrame macro="">
          <xdr:nvGraphicFramePr>
            <xdr:cNvPr id="5" name="Loan Grade">
              <a:extLst>
                <a:ext uri="{FF2B5EF4-FFF2-40B4-BE49-F238E27FC236}">
                  <a16:creationId xmlns:a16="http://schemas.microsoft.com/office/drawing/2014/main" id="{2619DDDC-C437-0552-70A3-8CCD01FD83BF}"/>
                </a:ext>
              </a:extLst>
            </xdr:cNvPr>
            <xdr:cNvGraphicFramePr/>
          </xdr:nvGraphicFramePr>
          <xdr:xfrm>
            <a:off x="0" y="0"/>
            <a:ext cx="0" cy="0"/>
          </xdr:xfrm>
          <a:graphic>
            <a:graphicData uri="http://schemas.microsoft.com/office/drawing/2010/slicer">
              <sle:slicer xmlns:sle="http://schemas.microsoft.com/office/drawing/2010/slicer" name="Loan Grade"/>
            </a:graphicData>
          </a:graphic>
        </xdr:graphicFrame>
      </mc:Choice>
      <mc:Fallback>
        <xdr:sp macro="" textlink="">
          <xdr:nvSpPr>
            <xdr:cNvPr id="0" name=""/>
            <xdr:cNvSpPr>
              <a:spLocks noTextEdit="1"/>
            </xdr:cNvSpPr>
          </xdr:nvSpPr>
          <xdr:spPr>
            <a:xfrm>
              <a:off x="9006840" y="3695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594360</xdr:colOff>
      <xdr:row>36</xdr:row>
      <xdr:rowOff>175260</xdr:rowOff>
    </xdr:from>
    <xdr:to>
      <xdr:col>11</xdr:col>
      <xdr:colOff>350520</xdr:colOff>
      <xdr:row>52</xdr:row>
      <xdr:rowOff>15240</xdr:rowOff>
    </xdr:to>
    <xdr:graphicFrame macro="">
      <xdr:nvGraphicFramePr>
        <xdr:cNvPr id="6" name="Chart 5">
          <a:extLst>
            <a:ext uri="{FF2B5EF4-FFF2-40B4-BE49-F238E27FC236}">
              <a16:creationId xmlns:a16="http://schemas.microsoft.com/office/drawing/2014/main" id="{E5E1BF33-1140-04A7-87A2-698C89714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601980</xdr:colOff>
      <xdr:row>37</xdr:row>
      <xdr:rowOff>15240</xdr:rowOff>
    </xdr:from>
    <xdr:to>
      <xdr:col>14</xdr:col>
      <xdr:colOff>601980</xdr:colOff>
      <xdr:row>50</xdr:row>
      <xdr:rowOff>104775</xdr:rowOff>
    </xdr:to>
    <mc:AlternateContent xmlns:mc="http://schemas.openxmlformats.org/markup-compatibility/2006">
      <mc:Choice xmlns:a14="http://schemas.microsoft.com/office/drawing/2010/main" Requires="a14">
        <xdr:graphicFrame macro="">
          <xdr:nvGraphicFramePr>
            <xdr:cNvPr id="7" name="Loan Intent">
              <a:extLst>
                <a:ext uri="{FF2B5EF4-FFF2-40B4-BE49-F238E27FC236}">
                  <a16:creationId xmlns:a16="http://schemas.microsoft.com/office/drawing/2014/main" id="{5F6D8196-1581-2042-9F9D-1FDDC70B3BCF}"/>
                </a:ext>
              </a:extLst>
            </xdr:cNvPr>
            <xdr:cNvGraphicFramePr/>
          </xdr:nvGraphicFramePr>
          <xdr:xfrm>
            <a:off x="0" y="0"/>
            <a:ext cx="0" cy="0"/>
          </xdr:xfrm>
          <a:graphic>
            <a:graphicData uri="http://schemas.microsoft.com/office/drawing/2010/slicer">
              <sle:slicer xmlns:sle="http://schemas.microsoft.com/office/drawing/2010/slicer" name="Loan Intent"/>
            </a:graphicData>
          </a:graphic>
        </xdr:graphicFrame>
      </mc:Choice>
      <mc:Fallback>
        <xdr:sp macro="" textlink="">
          <xdr:nvSpPr>
            <xdr:cNvPr id="0" name=""/>
            <xdr:cNvSpPr>
              <a:spLocks noTextEdit="1"/>
            </xdr:cNvSpPr>
          </xdr:nvSpPr>
          <xdr:spPr>
            <a:xfrm>
              <a:off x="8976360" y="6781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7620</xdr:colOff>
      <xdr:row>54</xdr:row>
      <xdr:rowOff>68580</xdr:rowOff>
    </xdr:from>
    <xdr:to>
      <xdr:col>13</xdr:col>
      <xdr:colOff>45720</xdr:colOff>
      <xdr:row>69</xdr:row>
      <xdr:rowOff>68580</xdr:rowOff>
    </xdr:to>
    <xdr:graphicFrame macro="">
      <xdr:nvGraphicFramePr>
        <xdr:cNvPr id="8" name="Chart 7">
          <a:extLst>
            <a:ext uri="{FF2B5EF4-FFF2-40B4-BE49-F238E27FC236}">
              <a16:creationId xmlns:a16="http://schemas.microsoft.com/office/drawing/2014/main" id="{1F50715C-95D2-7490-A7F4-66F1562AF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1264920</xdr:colOff>
      <xdr:row>73</xdr:row>
      <xdr:rowOff>0</xdr:rowOff>
    </xdr:from>
    <xdr:to>
      <xdr:col>10</xdr:col>
      <xdr:colOff>259080</xdr:colOff>
      <xdr:row>88</xdr:row>
      <xdr:rowOff>0</xdr:rowOff>
    </xdr:to>
    <xdr:graphicFrame macro="">
      <xdr:nvGraphicFramePr>
        <xdr:cNvPr id="9" name="Chart 8">
          <a:extLst>
            <a:ext uri="{FF2B5EF4-FFF2-40B4-BE49-F238E27FC236}">
              <a16:creationId xmlns:a16="http://schemas.microsoft.com/office/drawing/2014/main" id="{8AB8A18C-0AFA-4CEF-1887-0D092039F2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83820</xdr:colOff>
      <xdr:row>0</xdr:row>
      <xdr:rowOff>68580</xdr:rowOff>
    </xdr:from>
    <xdr:to>
      <xdr:col>11</xdr:col>
      <xdr:colOff>480060</xdr:colOff>
      <xdr:row>28</xdr:row>
      <xdr:rowOff>68580</xdr:rowOff>
    </xdr:to>
    <xdr:sp macro="" textlink="">
      <xdr:nvSpPr>
        <xdr:cNvPr id="5" name="Rectangle: Rounded Corners 4">
          <a:extLst>
            <a:ext uri="{FF2B5EF4-FFF2-40B4-BE49-F238E27FC236}">
              <a16:creationId xmlns:a16="http://schemas.microsoft.com/office/drawing/2014/main" id="{E184299A-5B81-6B26-C6EC-CBE1087A3BC7}"/>
            </a:ext>
          </a:extLst>
        </xdr:cNvPr>
        <xdr:cNvSpPr/>
      </xdr:nvSpPr>
      <xdr:spPr>
        <a:xfrm>
          <a:off x="716280" y="68580"/>
          <a:ext cx="9875520" cy="5120640"/>
        </a:xfrm>
        <a:prstGeom prst="roundRect">
          <a:avLst>
            <a:gd name="adj" fmla="val 686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502920</xdr:colOff>
      <xdr:row>0</xdr:row>
      <xdr:rowOff>76200</xdr:rowOff>
    </xdr:from>
    <xdr:to>
      <xdr:col>11</xdr:col>
      <xdr:colOff>487680</xdr:colOff>
      <xdr:row>28</xdr:row>
      <xdr:rowOff>76200</xdr:rowOff>
    </xdr:to>
    <xdr:sp macro="" textlink="">
      <xdr:nvSpPr>
        <xdr:cNvPr id="6" name="Rectangle: Rounded Corners 5">
          <a:extLst>
            <a:ext uri="{FF2B5EF4-FFF2-40B4-BE49-F238E27FC236}">
              <a16:creationId xmlns:a16="http://schemas.microsoft.com/office/drawing/2014/main" id="{61D31D01-A721-454D-8C31-B67ED43DEFCB}"/>
            </a:ext>
          </a:extLst>
        </xdr:cNvPr>
        <xdr:cNvSpPr/>
      </xdr:nvSpPr>
      <xdr:spPr>
        <a:xfrm>
          <a:off x="2156460" y="76200"/>
          <a:ext cx="8442960" cy="5120640"/>
        </a:xfrm>
        <a:prstGeom prst="roundRect">
          <a:avLst>
            <a:gd name="adj" fmla="val 656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624840</xdr:colOff>
      <xdr:row>5</xdr:row>
      <xdr:rowOff>38100</xdr:rowOff>
    </xdr:from>
    <xdr:to>
      <xdr:col>4</xdr:col>
      <xdr:colOff>472440</xdr:colOff>
      <xdr:row>8</xdr:row>
      <xdr:rowOff>106680</xdr:rowOff>
    </xdr:to>
    <xdr:sp macro="" textlink="">
      <xdr:nvSpPr>
        <xdr:cNvPr id="11" name="Rectangle 10">
          <a:extLst>
            <a:ext uri="{FF2B5EF4-FFF2-40B4-BE49-F238E27FC236}">
              <a16:creationId xmlns:a16="http://schemas.microsoft.com/office/drawing/2014/main" id="{2551596F-89AB-353B-A9B8-2506C27C1AF0}"/>
            </a:ext>
          </a:extLst>
        </xdr:cNvPr>
        <xdr:cNvSpPr/>
      </xdr:nvSpPr>
      <xdr:spPr>
        <a:xfrm>
          <a:off x="2278380" y="952500"/>
          <a:ext cx="1341120" cy="6172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Total loan</a:t>
          </a:r>
          <a:r>
            <a:rPr lang="en-IN" sz="1100" b="1" baseline="0">
              <a:solidFill>
                <a:schemeClr val="tx1"/>
              </a:solidFill>
            </a:rPr>
            <a:t> Amount</a:t>
          </a:r>
        </a:p>
        <a:p>
          <a:pPr algn="ctr"/>
          <a:r>
            <a:rPr lang="en-IN" sz="1100" b="1" baseline="0">
              <a:solidFill>
                <a:schemeClr val="tx1"/>
              </a:solidFill>
            </a:rPr>
            <a:t>21255544.00</a:t>
          </a:r>
          <a:endParaRPr lang="en-IN" sz="1100" b="1">
            <a:solidFill>
              <a:schemeClr val="tx1"/>
            </a:solidFill>
          </a:endParaRPr>
        </a:p>
      </xdr:txBody>
    </xdr:sp>
    <xdr:clientData/>
  </xdr:twoCellAnchor>
  <xdr:twoCellAnchor>
    <xdr:from>
      <xdr:col>2</xdr:col>
      <xdr:colOff>685800</xdr:colOff>
      <xdr:row>20</xdr:row>
      <xdr:rowOff>152400</xdr:rowOff>
    </xdr:from>
    <xdr:to>
      <xdr:col>4</xdr:col>
      <xdr:colOff>533400</xdr:colOff>
      <xdr:row>24</xdr:row>
      <xdr:rowOff>38100</xdr:rowOff>
    </xdr:to>
    <xdr:sp macro="" textlink="">
      <xdr:nvSpPr>
        <xdr:cNvPr id="18" name="Rectangle 17">
          <a:extLst>
            <a:ext uri="{FF2B5EF4-FFF2-40B4-BE49-F238E27FC236}">
              <a16:creationId xmlns:a16="http://schemas.microsoft.com/office/drawing/2014/main" id="{D788C311-97E6-4E58-A78E-1200E3120B33}"/>
            </a:ext>
          </a:extLst>
        </xdr:cNvPr>
        <xdr:cNvSpPr/>
      </xdr:nvSpPr>
      <xdr:spPr>
        <a:xfrm>
          <a:off x="2339340" y="3810000"/>
          <a:ext cx="1341120" cy="6172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Total</a:t>
          </a:r>
          <a:r>
            <a:rPr lang="en-IN" sz="1100">
              <a:solidFill>
                <a:schemeClr val="tx1"/>
              </a:solidFill>
            </a:rPr>
            <a:t> </a:t>
          </a:r>
          <a:r>
            <a:rPr lang="en-IN" sz="1100" b="1">
              <a:solidFill>
                <a:schemeClr val="tx1"/>
              </a:solidFill>
            </a:rPr>
            <a:t>Loans</a:t>
          </a:r>
          <a:r>
            <a:rPr lang="en-IN" sz="1100" baseline="0">
              <a:solidFill>
                <a:schemeClr val="tx1"/>
              </a:solidFill>
            </a:rPr>
            <a:t>   </a:t>
          </a:r>
          <a:r>
            <a:rPr lang="en-IN" sz="1100">
              <a:solidFill>
                <a:schemeClr val="tx1"/>
              </a:solidFill>
            </a:rPr>
            <a:t>       </a:t>
          </a:r>
          <a:r>
            <a:rPr lang="en-IN" sz="1100" b="1">
              <a:solidFill>
                <a:schemeClr val="tx1"/>
              </a:solidFill>
            </a:rPr>
            <a:t>1000</a:t>
          </a:r>
          <a:endParaRPr lang="en-IN" sz="1100" b="1"/>
        </a:p>
      </xdr:txBody>
    </xdr:sp>
    <xdr:clientData/>
  </xdr:twoCellAnchor>
  <xdr:twoCellAnchor>
    <xdr:from>
      <xdr:col>2</xdr:col>
      <xdr:colOff>640080</xdr:colOff>
      <xdr:row>9</xdr:row>
      <xdr:rowOff>38100</xdr:rowOff>
    </xdr:from>
    <xdr:to>
      <xdr:col>4</xdr:col>
      <xdr:colOff>480060</xdr:colOff>
      <xdr:row>12</xdr:row>
      <xdr:rowOff>160020</xdr:rowOff>
    </xdr:to>
    <xdr:sp macro="" textlink="">
      <xdr:nvSpPr>
        <xdr:cNvPr id="19" name="Rectangle 18">
          <a:extLst>
            <a:ext uri="{FF2B5EF4-FFF2-40B4-BE49-F238E27FC236}">
              <a16:creationId xmlns:a16="http://schemas.microsoft.com/office/drawing/2014/main" id="{C50F4456-DF7B-405C-8680-030632EA28D5}"/>
            </a:ext>
          </a:extLst>
        </xdr:cNvPr>
        <xdr:cNvSpPr/>
      </xdr:nvSpPr>
      <xdr:spPr>
        <a:xfrm>
          <a:off x="2293620" y="1684020"/>
          <a:ext cx="1333500" cy="6705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a</a:t>
          </a:r>
          <a:r>
            <a:rPr lang="en-IN" sz="1200" b="1">
              <a:solidFill>
                <a:schemeClr val="tx1"/>
              </a:solidFill>
            </a:rPr>
            <a:t>Payments received</a:t>
          </a:r>
        </a:p>
        <a:p>
          <a:pPr algn="ctr"/>
          <a:r>
            <a:rPr lang="en-IN" sz="1200" b="1">
              <a:solidFill>
                <a:schemeClr val="tx1"/>
              </a:solidFill>
            </a:rPr>
            <a:t>15743687.11</a:t>
          </a:r>
          <a:endParaRPr lang="en-IN" sz="1200" b="1"/>
        </a:p>
      </xdr:txBody>
    </xdr:sp>
    <xdr:clientData/>
  </xdr:twoCellAnchor>
  <xdr:twoCellAnchor>
    <xdr:from>
      <xdr:col>2</xdr:col>
      <xdr:colOff>662940</xdr:colOff>
      <xdr:row>13</xdr:row>
      <xdr:rowOff>45720</xdr:rowOff>
    </xdr:from>
    <xdr:to>
      <xdr:col>4</xdr:col>
      <xdr:colOff>510540</xdr:colOff>
      <xdr:row>16</xdr:row>
      <xdr:rowOff>114300</xdr:rowOff>
    </xdr:to>
    <xdr:sp macro="" textlink="">
      <xdr:nvSpPr>
        <xdr:cNvPr id="20" name="Rectangle 19">
          <a:extLst>
            <a:ext uri="{FF2B5EF4-FFF2-40B4-BE49-F238E27FC236}">
              <a16:creationId xmlns:a16="http://schemas.microsoft.com/office/drawing/2014/main" id="{06BFC0DA-C7DD-40B8-9E98-E46F295E3E98}"/>
            </a:ext>
          </a:extLst>
        </xdr:cNvPr>
        <xdr:cNvSpPr/>
      </xdr:nvSpPr>
      <xdr:spPr>
        <a:xfrm>
          <a:off x="2316480" y="2423160"/>
          <a:ext cx="1341120" cy="6172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Total Profit/Loss</a:t>
          </a:r>
        </a:p>
        <a:p>
          <a:pPr algn="ctr"/>
          <a:r>
            <a:rPr lang="en-IN" sz="1100" b="1">
              <a:solidFill>
                <a:schemeClr val="tx1"/>
              </a:solidFill>
            </a:rPr>
            <a:t>    5511856.89</a:t>
          </a:r>
        </a:p>
      </xdr:txBody>
    </xdr:sp>
    <xdr:clientData/>
  </xdr:twoCellAnchor>
  <xdr:twoCellAnchor>
    <xdr:from>
      <xdr:col>2</xdr:col>
      <xdr:colOff>685800</xdr:colOff>
      <xdr:row>17</xdr:row>
      <xdr:rowOff>0</xdr:rowOff>
    </xdr:from>
    <xdr:to>
      <xdr:col>4</xdr:col>
      <xdr:colOff>533400</xdr:colOff>
      <xdr:row>20</xdr:row>
      <xdr:rowOff>68580</xdr:rowOff>
    </xdr:to>
    <xdr:sp macro="" textlink="">
      <xdr:nvSpPr>
        <xdr:cNvPr id="21" name="Rectangle 20">
          <a:extLst>
            <a:ext uri="{FF2B5EF4-FFF2-40B4-BE49-F238E27FC236}">
              <a16:creationId xmlns:a16="http://schemas.microsoft.com/office/drawing/2014/main" id="{BB62E06F-2DAE-4C6A-B056-1F86B9BDF44F}"/>
            </a:ext>
          </a:extLst>
        </xdr:cNvPr>
        <xdr:cNvSpPr/>
      </xdr:nvSpPr>
      <xdr:spPr>
        <a:xfrm>
          <a:off x="2339340" y="3108960"/>
          <a:ext cx="1341120" cy="6172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ysClr val="windowText" lastClr="000000"/>
              </a:solidFill>
            </a:rPr>
            <a:t>Avg Interest Rate</a:t>
          </a:r>
        </a:p>
        <a:p>
          <a:pPr algn="ctr"/>
          <a:r>
            <a:rPr lang="en-IN" sz="1100" b="1">
              <a:solidFill>
                <a:sysClr val="windowText" lastClr="000000"/>
              </a:solidFill>
            </a:rPr>
            <a:t>        15.0814</a:t>
          </a:r>
        </a:p>
      </xdr:txBody>
    </xdr:sp>
    <xdr:clientData/>
  </xdr:twoCellAnchor>
  <xdr:twoCellAnchor>
    <xdr:from>
      <xdr:col>3</xdr:col>
      <xdr:colOff>281940</xdr:colOff>
      <xdr:row>1</xdr:row>
      <xdr:rowOff>114300</xdr:rowOff>
    </xdr:from>
    <xdr:to>
      <xdr:col>10</xdr:col>
      <xdr:colOff>716280</xdr:colOff>
      <xdr:row>4</xdr:row>
      <xdr:rowOff>121920</xdr:rowOff>
    </xdr:to>
    <xdr:sp macro="" textlink="">
      <xdr:nvSpPr>
        <xdr:cNvPr id="24" name="TextBox 23">
          <a:extLst>
            <a:ext uri="{FF2B5EF4-FFF2-40B4-BE49-F238E27FC236}">
              <a16:creationId xmlns:a16="http://schemas.microsoft.com/office/drawing/2014/main" id="{24CA9292-2544-8271-5D7B-96A36B195046}"/>
            </a:ext>
          </a:extLst>
        </xdr:cNvPr>
        <xdr:cNvSpPr txBox="1"/>
      </xdr:nvSpPr>
      <xdr:spPr>
        <a:xfrm>
          <a:off x="2819400" y="297180"/>
          <a:ext cx="6934200" cy="55626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FF0000"/>
              </a:solidFill>
            </a:rPr>
            <a:t>LOAN PORTFOLIO ANALYSIS DASHBOARD</a:t>
          </a:r>
        </a:p>
      </xdr:txBody>
    </xdr:sp>
    <xdr:clientData/>
  </xdr:twoCellAnchor>
  <xdr:twoCellAnchor>
    <xdr:from>
      <xdr:col>4</xdr:col>
      <xdr:colOff>548640</xdr:colOff>
      <xdr:row>4</xdr:row>
      <xdr:rowOff>160020</xdr:rowOff>
    </xdr:from>
    <xdr:to>
      <xdr:col>7</xdr:col>
      <xdr:colOff>434340</xdr:colOff>
      <xdr:row>15</xdr:row>
      <xdr:rowOff>129540</xdr:rowOff>
    </xdr:to>
    <xdr:graphicFrame macro="">
      <xdr:nvGraphicFramePr>
        <xdr:cNvPr id="25" name="Chart 24">
          <a:extLst>
            <a:ext uri="{FF2B5EF4-FFF2-40B4-BE49-F238E27FC236}">
              <a16:creationId xmlns:a16="http://schemas.microsoft.com/office/drawing/2014/main" id="{B2BBD74F-61EC-4AB7-A039-4770DAA77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563880</xdr:colOff>
      <xdr:row>15</xdr:row>
      <xdr:rowOff>175260</xdr:rowOff>
    </xdr:from>
    <xdr:to>
      <xdr:col>7</xdr:col>
      <xdr:colOff>426720</xdr:colOff>
      <xdr:row>27</xdr:row>
      <xdr:rowOff>144780</xdr:rowOff>
    </xdr:to>
    <xdr:graphicFrame macro="">
      <xdr:nvGraphicFramePr>
        <xdr:cNvPr id="26" name="Chart 25">
          <a:extLst>
            <a:ext uri="{FF2B5EF4-FFF2-40B4-BE49-F238E27FC236}">
              <a16:creationId xmlns:a16="http://schemas.microsoft.com/office/drawing/2014/main" id="{67C2B721-87CB-415E-9D81-91957904C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579120</xdr:colOff>
      <xdr:row>4</xdr:row>
      <xdr:rowOff>167640</xdr:rowOff>
    </xdr:from>
    <xdr:to>
      <xdr:col>11</xdr:col>
      <xdr:colOff>289560</xdr:colOff>
      <xdr:row>15</xdr:row>
      <xdr:rowOff>60960</xdr:rowOff>
    </xdr:to>
    <xdr:graphicFrame macro="">
      <xdr:nvGraphicFramePr>
        <xdr:cNvPr id="27" name="Chart 26">
          <a:extLst>
            <a:ext uri="{FF2B5EF4-FFF2-40B4-BE49-F238E27FC236}">
              <a16:creationId xmlns:a16="http://schemas.microsoft.com/office/drawing/2014/main" id="{4BC0ED7D-D2DD-4CF7-B734-7474DB222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571500</xdr:colOff>
      <xdr:row>15</xdr:row>
      <xdr:rowOff>144780</xdr:rowOff>
    </xdr:from>
    <xdr:to>
      <xdr:col>11</xdr:col>
      <xdr:colOff>320040</xdr:colOff>
      <xdr:row>27</xdr:row>
      <xdr:rowOff>137160</xdr:rowOff>
    </xdr:to>
    <xdr:graphicFrame macro="">
      <xdr:nvGraphicFramePr>
        <xdr:cNvPr id="28" name="Chart 27">
          <a:extLst>
            <a:ext uri="{FF2B5EF4-FFF2-40B4-BE49-F238E27FC236}">
              <a16:creationId xmlns:a16="http://schemas.microsoft.com/office/drawing/2014/main" id="{FE2986EF-7C63-4802-B38B-48E7D3184A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213360</xdr:colOff>
      <xdr:row>0</xdr:row>
      <xdr:rowOff>175260</xdr:rowOff>
    </xdr:from>
    <xdr:to>
      <xdr:col>2</xdr:col>
      <xdr:colOff>381000</xdr:colOff>
      <xdr:row>9</xdr:row>
      <xdr:rowOff>175260</xdr:rowOff>
    </xdr:to>
    <mc:AlternateContent xmlns:mc="http://schemas.openxmlformats.org/markup-compatibility/2006">
      <mc:Choice xmlns:a14="http://schemas.microsoft.com/office/drawing/2010/main" Requires="a14">
        <xdr:graphicFrame macro="">
          <xdr:nvGraphicFramePr>
            <xdr:cNvPr id="29" name="Loan Status 1">
              <a:extLst>
                <a:ext uri="{FF2B5EF4-FFF2-40B4-BE49-F238E27FC236}">
                  <a16:creationId xmlns:a16="http://schemas.microsoft.com/office/drawing/2014/main" id="{FBF3CA55-18B8-4598-B3EE-4828CD0BBC8D}"/>
                </a:ext>
              </a:extLst>
            </xdr:cNvPr>
            <xdr:cNvGraphicFramePr/>
          </xdr:nvGraphicFramePr>
          <xdr:xfrm>
            <a:off x="0" y="0"/>
            <a:ext cx="0" cy="0"/>
          </xdr:xfrm>
          <a:graphic>
            <a:graphicData uri="http://schemas.microsoft.com/office/drawing/2010/slicer">
              <sle:slicer xmlns:sle="http://schemas.microsoft.com/office/drawing/2010/slicer" name="Loan Status 1"/>
            </a:graphicData>
          </a:graphic>
        </xdr:graphicFrame>
      </mc:Choice>
      <mc:Fallback>
        <xdr:sp macro="" textlink="">
          <xdr:nvSpPr>
            <xdr:cNvPr id="0" name=""/>
            <xdr:cNvSpPr>
              <a:spLocks noTextEdit="1"/>
            </xdr:cNvSpPr>
          </xdr:nvSpPr>
          <xdr:spPr>
            <a:xfrm>
              <a:off x="845820" y="175260"/>
              <a:ext cx="118872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190500</xdr:colOff>
      <xdr:row>10</xdr:row>
      <xdr:rowOff>38100</xdr:rowOff>
    </xdr:from>
    <xdr:to>
      <xdr:col>2</xdr:col>
      <xdr:colOff>373380</xdr:colOff>
      <xdr:row>19</xdr:row>
      <xdr:rowOff>0</xdr:rowOff>
    </xdr:to>
    <mc:AlternateContent xmlns:mc="http://schemas.openxmlformats.org/markup-compatibility/2006">
      <mc:Choice xmlns:a14="http://schemas.microsoft.com/office/drawing/2010/main" Requires="a14">
        <xdr:graphicFrame macro="">
          <xdr:nvGraphicFramePr>
            <xdr:cNvPr id="30" name="Loan Grade 1">
              <a:extLst>
                <a:ext uri="{FF2B5EF4-FFF2-40B4-BE49-F238E27FC236}">
                  <a16:creationId xmlns:a16="http://schemas.microsoft.com/office/drawing/2014/main" id="{A39CBB56-B77F-45A4-9809-22C4C47088EF}"/>
                </a:ext>
              </a:extLst>
            </xdr:cNvPr>
            <xdr:cNvGraphicFramePr/>
          </xdr:nvGraphicFramePr>
          <xdr:xfrm>
            <a:off x="0" y="0"/>
            <a:ext cx="0" cy="0"/>
          </xdr:xfrm>
          <a:graphic>
            <a:graphicData uri="http://schemas.microsoft.com/office/drawing/2010/slicer">
              <sle:slicer xmlns:sle="http://schemas.microsoft.com/office/drawing/2010/slicer" name="Loan Grade 1"/>
            </a:graphicData>
          </a:graphic>
        </xdr:graphicFrame>
      </mc:Choice>
      <mc:Fallback>
        <xdr:sp macro="" textlink="">
          <xdr:nvSpPr>
            <xdr:cNvPr id="0" name=""/>
            <xdr:cNvSpPr>
              <a:spLocks noTextEdit="1"/>
            </xdr:cNvSpPr>
          </xdr:nvSpPr>
          <xdr:spPr>
            <a:xfrm>
              <a:off x="822960" y="1866900"/>
              <a:ext cx="1203960" cy="1607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190500</xdr:colOff>
      <xdr:row>19</xdr:row>
      <xdr:rowOff>45719</xdr:rowOff>
    </xdr:from>
    <xdr:to>
      <xdr:col>2</xdr:col>
      <xdr:colOff>411480</xdr:colOff>
      <xdr:row>27</xdr:row>
      <xdr:rowOff>137160</xdr:rowOff>
    </xdr:to>
    <mc:AlternateContent xmlns:mc="http://schemas.openxmlformats.org/markup-compatibility/2006">
      <mc:Choice xmlns:a14="http://schemas.microsoft.com/office/drawing/2010/main" Requires="a14">
        <xdr:graphicFrame macro="">
          <xdr:nvGraphicFramePr>
            <xdr:cNvPr id="31" name="Loan Intent 1">
              <a:extLst>
                <a:ext uri="{FF2B5EF4-FFF2-40B4-BE49-F238E27FC236}">
                  <a16:creationId xmlns:a16="http://schemas.microsoft.com/office/drawing/2014/main" id="{C477D982-82A9-4A5F-B0CD-A4665867475F}"/>
                </a:ext>
              </a:extLst>
            </xdr:cNvPr>
            <xdr:cNvGraphicFramePr/>
          </xdr:nvGraphicFramePr>
          <xdr:xfrm>
            <a:off x="0" y="0"/>
            <a:ext cx="0" cy="0"/>
          </xdr:xfrm>
          <a:graphic>
            <a:graphicData uri="http://schemas.microsoft.com/office/drawing/2010/slicer">
              <sle:slicer xmlns:sle="http://schemas.microsoft.com/office/drawing/2010/slicer" name="Loan Intent 1"/>
            </a:graphicData>
          </a:graphic>
        </xdr:graphicFrame>
      </mc:Choice>
      <mc:Fallback>
        <xdr:sp macro="" textlink="">
          <xdr:nvSpPr>
            <xdr:cNvPr id="0" name=""/>
            <xdr:cNvSpPr>
              <a:spLocks noTextEdit="1"/>
            </xdr:cNvSpPr>
          </xdr:nvSpPr>
          <xdr:spPr>
            <a:xfrm>
              <a:off x="822960" y="3520439"/>
              <a:ext cx="1242060" cy="1554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ny Shruthi" refreshedDate="46101.543117361114" createdVersion="8" refreshedVersion="8" minRefreshableVersion="3" recordCount="1000" xr:uid="{1852CF02-5A7B-4BE1-A17D-DEEAA6DFEE5B}">
  <cacheSource type="worksheet">
    <worksheetSource name="Credit_Risk_Analysis"/>
  </cacheSource>
  <cacheFields count="22">
    <cacheField name="Loan ID" numFmtId="0">
      <sharedItems/>
    </cacheField>
    <cacheField name="Issue Date" numFmtId="14">
      <sharedItems containsSemiMixedTypes="0" containsNonDate="0" containsDate="1" containsString="0" minDate="2021-01-01T00:00:00" maxDate="2023-12-31T00:00:00" count="660">
        <d v="2023-05-11T00:00:00"/>
        <d v="2023-11-11T00:00:00"/>
        <d v="2021-05-02T00:00:00"/>
        <d v="2022-04-12T00:00:00"/>
        <d v="2021-11-27T00:00:00"/>
        <d v="2021-03-29T00:00:00"/>
        <d v="2023-05-22T00:00:00"/>
        <d v="2021-05-11T00:00:00"/>
        <d v="2023-02-09T00:00:00"/>
        <d v="2021-12-10T00:00:00"/>
        <d v="2023-03-17T00:00:00"/>
        <d v="2022-01-21T00:00:00"/>
        <d v="2023-08-14T00:00:00"/>
        <d v="2021-10-04T00:00:00"/>
        <d v="2022-04-05T00:00:00"/>
        <d v="2021-01-22T00:00:00"/>
        <d v="2021-09-10T00:00:00"/>
        <d v="2023-01-18T00:00:00"/>
        <d v="2023-05-07T00:00:00"/>
        <d v="2022-04-20T00:00:00"/>
        <d v="2023-12-19T00:00:00"/>
        <d v="2022-05-26T00:00:00"/>
        <d v="2022-12-01T00:00:00"/>
        <d v="2023-09-03T00:00:00"/>
        <d v="2021-07-09T00:00:00"/>
        <d v="2023-08-16T00:00:00"/>
        <d v="2022-11-18T00:00:00"/>
        <d v="2022-07-17T00:00:00"/>
        <d v="2023-04-12T00:00:00"/>
        <d v="2022-10-09T00:00:00"/>
        <d v="2021-01-21T00:00:00"/>
        <d v="2023-04-21T00:00:00"/>
        <d v="2021-06-16T00:00:00"/>
        <d v="2022-01-23T00:00:00"/>
        <d v="2022-08-24T00:00:00"/>
        <d v="2021-11-12T00:00:00"/>
        <d v="2021-01-14T00:00:00"/>
        <d v="2021-08-30T00:00:00"/>
        <d v="2023-02-16T00:00:00"/>
        <d v="2022-07-19T00:00:00"/>
        <d v="2023-06-17T00:00:00"/>
        <d v="2021-04-02T00:00:00"/>
        <d v="2022-05-24T00:00:00"/>
        <d v="2023-02-15T00:00:00"/>
        <d v="2021-02-04T00:00:00"/>
        <d v="2021-07-25T00:00:00"/>
        <d v="2023-10-23T00:00:00"/>
        <d v="2023-10-19T00:00:00"/>
        <d v="2022-07-20T00:00:00"/>
        <d v="2022-12-04T00:00:00"/>
        <d v="2022-02-06T00:00:00"/>
        <d v="2022-12-31T00:00:00"/>
        <d v="2021-06-11T00:00:00"/>
        <d v="2021-07-21T00:00:00"/>
        <d v="2023-09-23T00:00:00"/>
        <d v="2021-09-27T00:00:00"/>
        <d v="2023-03-27T00:00:00"/>
        <d v="2022-04-01T00:00:00"/>
        <d v="2023-10-14T00:00:00"/>
        <d v="2021-10-23T00:00:00"/>
        <d v="2022-12-21T00:00:00"/>
        <d v="2021-12-04T00:00:00"/>
        <d v="2023-05-29T00:00:00"/>
        <d v="2023-12-13T00:00:00"/>
        <d v="2023-03-03T00:00:00"/>
        <d v="2021-08-05T00:00:00"/>
        <d v="2023-02-03T00:00:00"/>
        <d v="2021-07-07T00:00:00"/>
        <d v="2022-01-15T00:00:00"/>
        <d v="2022-05-08T00:00:00"/>
        <d v="2023-12-01T00:00:00"/>
        <d v="2021-01-15T00:00:00"/>
        <d v="2021-03-06T00:00:00"/>
        <d v="2022-06-05T00:00:00"/>
        <d v="2022-10-10T00:00:00"/>
        <d v="2023-12-23T00:00:00"/>
        <d v="2022-08-16T00:00:00"/>
        <d v="2022-01-27T00:00:00"/>
        <d v="2022-02-23T00:00:00"/>
        <d v="2021-10-16T00:00:00"/>
        <d v="2022-01-14T00:00:00"/>
        <d v="2021-08-19T00:00:00"/>
        <d v="2023-10-15T00:00:00"/>
        <d v="2021-02-10T00:00:00"/>
        <d v="2023-11-18T00:00:00"/>
        <d v="2021-05-15T00:00:00"/>
        <d v="2021-07-20T00:00:00"/>
        <d v="2023-02-19T00:00:00"/>
        <d v="2023-07-19T00:00:00"/>
        <d v="2023-11-23T00:00:00"/>
        <d v="2023-12-08T00:00:00"/>
        <d v="2022-05-18T00:00:00"/>
        <d v="2022-02-11T00:00:00"/>
        <d v="2023-03-16T00:00:00"/>
        <d v="2021-04-09T00:00:00"/>
        <d v="2022-11-15T00:00:00"/>
        <d v="2022-12-27T00:00:00"/>
        <d v="2023-08-19T00:00:00"/>
        <d v="2022-09-05T00:00:00"/>
        <d v="2022-10-05T00:00:00"/>
        <d v="2023-10-26T00:00:00"/>
        <d v="2023-02-06T00:00:00"/>
        <d v="2022-02-02T00:00:00"/>
        <d v="2023-05-21T00:00:00"/>
        <d v="2023-03-06T00:00:00"/>
        <d v="2022-01-28T00:00:00"/>
        <d v="2021-07-26T00:00:00"/>
        <d v="2023-11-05T00:00:00"/>
        <d v="2023-06-11T00:00:00"/>
        <d v="2023-05-14T00:00:00"/>
        <d v="2023-01-13T00:00:00"/>
        <d v="2022-07-18T00:00:00"/>
        <d v="2023-10-18T00:00:00"/>
        <d v="2021-04-06T00:00:00"/>
        <d v="2022-04-30T00:00:00"/>
        <d v="2023-01-19T00:00:00"/>
        <d v="2022-06-25T00:00:00"/>
        <d v="2023-11-26T00:00:00"/>
        <d v="2022-06-09T00:00:00"/>
        <d v="2022-08-01T00:00:00"/>
        <d v="2022-11-13T00:00:00"/>
        <d v="2022-07-11T00:00:00"/>
        <d v="2023-10-10T00:00:00"/>
        <d v="2022-10-08T00:00:00"/>
        <d v="2023-03-07T00:00:00"/>
        <d v="2022-09-25T00:00:00"/>
        <d v="2022-09-20T00:00:00"/>
        <d v="2023-08-31T00:00:00"/>
        <d v="2022-12-11T00:00:00"/>
        <d v="2022-10-11T00:00:00"/>
        <d v="2021-11-14T00:00:00"/>
        <d v="2022-10-26T00:00:00"/>
        <d v="2022-03-18T00:00:00"/>
        <d v="2023-08-10T00:00:00"/>
        <d v="2022-11-30T00:00:00"/>
        <d v="2021-04-23T00:00:00"/>
        <d v="2021-01-02T00:00:00"/>
        <d v="2022-10-04T00:00:00"/>
        <d v="2021-08-08T00:00:00"/>
        <d v="2023-05-05T00:00:00"/>
        <d v="2022-01-20T00:00:00"/>
        <d v="2021-09-04T00:00:00"/>
        <d v="2023-04-16T00:00:00"/>
        <d v="2021-07-22T00:00:00"/>
        <d v="2021-05-03T00:00:00"/>
        <d v="2022-02-05T00:00:00"/>
        <d v="2021-10-21T00:00:00"/>
        <d v="2021-10-07T00:00:00"/>
        <d v="2023-06-03T00:00:00"/>
        <d v="2021-07-17T00:00:00"/>
        <d v="2023-09-09T00:00:00"/>
        <d v="2023-01-22T00:00:00"/>
        <d v="2021-05-24T00:00:00"/>
        <d v="2022-09-01T00:00:00"/>
        <d v="2021-07-06T00:00:00"/>
        <d v="2022-04-09T00:00:00"/>
        <d v="2022-10-22T00:00:00"/>
        <d v="2023-08-13T00:00:00"/>
        <d v="2022-02-07T00:00:00"/>
        <d v="2021-05-27T00:00:00"/>
        <d v="2022-05-04T00:00:00"/>
        <d v="2023-07-18T00:00:00"/>
        <d v="2022-07-05T00:00:00"/>
        <d v="2022-10-03T00:00:00"/>
        <d v="2022-04-18T00:00:00"/>
        <d v="2021-05-31T00:00:00"/>
        <d v="2021-09-20T00:00:00"/>
        <d v="2021-12-12T00:00:00"/>
        <d v="2022-09-16T00:00:00"/>
        <d v="2023-05-31T00:00:00"/>
        <d v="2023-06-16T00:00:00"/>
        <d v="2021-09-11T00:00:00"/>
        <d v="2022-03-29T00:00:00"/>
        <d v="2023-11-27T00:00:00"/>
        <d v="2023-10-12T00:00:00"/>
        <d v="2021-01-09T00:00:00"/>
        <d v="2021-07-27T00:00:00"/>
        <d v="2022-02-08T00:00:00"/>
        <d v="2021-06-01T00:00:00"/>
        <d v="2021-02-23T00:00:00"/>
        <d v="2022-08-10T00:00:00"/>
        <d v="2021-04-14T00:00:00"/>
        <d v="2022-05-25T00:00:00"/>
        <d v="2021-06-02T00:00:00"/>
        <d v="2023-07-03T00:00:00"/>
        <d v="2023-05-28T00:00:00"/>
        <d v="2023-04-02T00:00:00"/>
        <d v="2023-08-15T00:00:00"/>
        <d v="2021-06-10T00:00:00"/>
        <d v="2023-03-12T00:00:00"/>
        <d v="2022-10-02T00:00:00"/>
        <d v="2022-11-19T00:00:00"/>
        <d v="2022-04-15T00:00:00"/>
        <d v="2023-11-12T00:00:00"/>
        <d v="2023-01-20T00:00:00"/>
        <d v="2021-02-07T00:00:00"/>
        <d v="2021-08-18T00:00:00"/>
        <d v="2022-03-14T00:00:00"/>
        <d v="2021-01-27T00:00:00"/>
        <d v="2021-08-14T00:00:00"/>
        <d v="2023-03-09T00:00:00"/>
        <d v="2021-10-11T00:00:00"/>
        <d v="2023-08-18T00:00:00"/>
        <d v="2023-10-17T00:00:00"/>
        <d v="2022-10-21T00:00:00"/>
        <d v="2022-07-01T00:00:00"/>
        <d v="2023-12-09T00:00:00"/>
        <d v="2021-01-17T00:00:00"/>
        <d v="2021-06-07T00:00:00"/>
        <d v="2022-04-22T00:00:00"/>
        <d v="2023-12-06T00:00:00"/>
        <d v="2022-06-02T00:00:00"/>
        <d v="2022-05-12T00:00:00"/>
        <d v="2021-10-29T00:00:00"/>
        <d v="2021-06-30T00:00:00"/>
        <d v="2022-08-30T00:00:00"/>
        <d v="2023-09-20T00:00:00"/>
        <d v="2021-07-10T00:00:00"/>
        <d v="2023-09-08T00:00:00"/>
        <d v="2023-07-17T00:00:00"/>
        <d v="2021-05-08T00:00:00"/>
        <d v="2021-01-18T00:00:00"/>
        <d v="2022-07-24T00:00:00"/>
        <d v="2022-11-17T00:00:00"/>
        <d v="2022-09-18T00:00:00"/>
        <d v="2023-05-04T00:00:00"/>
        <d v="2023-08-20T00:00:00"/>
        <d v="2021-06-04T00:00:00"/>
        <d v="2022-05-05T00:00:00"/>
        <d v="2023-02-24T00:00:00"/>
        <d v="2021-09-03T00:00:00"/>
        <d v="2023-11-29T00:00:00"/>
        <d v="2023-01-29T00:00:00"/>
        <d v="2022-06-22T00:00:00"/>
        <d v="2023-07-10T00:00:00"/>
        <d v="2022-02-12T00:00:00"/>
        <d v="2023-04-08T00:00:00"/>
        <d v="2023-06-22T00:00:00"/>
        <d v="2021-02-05T00:00:00"/>
        <d v="2022-11-16T00:00:00"/>
        <d v="2021-01-20T00:00:00"/>
        <d v="2021-11-17T00:00:00"/>
        <d v="2022-05-27T00:00:00"/>
        <d v="2022-02-04T00:00:00"/>
        <d v="2022-10-16T00:00:00"/>
        <d v="2023-08-30T00:00:00"/>
        <d v="2022-04-16T00:00:00"/>
        <d v="2023-04-14T00:00:00"/>
        <d v="2022-12-28T00:00:00"/>
        <d v="2021-02-20T00:00:00"/>
        <d v="2022-07-29T00:00:00"/>
        <d v="2021-05-30T00:00:00"/>
        <d v="2021-11-10T00:00:00"/>
        <d v="2021-11-01T00:00:00"/>
        <d v="2023-04-18T00:00:00"/>
        <d v="2023-12-14T00:00:00"/>
        <d v="2023-09-30T00:00:00"/>
        <d v="2022-03-20T00:00:00"/>
        <d v="2021-09-21T00:00:00"/>
        <d v="2023-10-01T00:00:00"/>
        <d v="2021-01-05T00:00:00"/>
        <d v="2023-02-13T00:00:00"/>
        <d v="2023-05-27T00:00:00"/>
        <d v="2023-09-19T00:00:00"/>
        <d v="2021-02-16T00:00:00"/>
        <d v="2023-05-17T00:00:00"/>
        <d v="2023-04-03T00:00:00"/>
        <d v="2023-07-25T00:00:00"/>
        <d v="2022-10-18T00:00:00"/>
        <d v="2021-09-26T00:00:00"/>
        <d v="2022-01-05T00:00:00"/>
        <d v="2022-09-28T00:00:00"/>
        <d v="2022-10-19T00:00:00"/>
        <d v="2021-04-30T00:00:00"/>
        <d v="2023-04-11T00:00:00"/>
        <d v="2023-12-18T00:00:00"/>
        <d v="2023-01-11T00:00:00"/>
        <d v="2021-04-27T00:00:00"/>
        <d v="2023-03-02T00:00:00"/>
        <d v="2022-09-26T00:00:00"/>
        <d v="2022-05-28T00:00:00"/>
        <d v="2023-03-13T00:00:00"/>
        <d v="2022-07-14T00:00:00"/>
        <d v="2022-05-03T00:00:00"/>
        <d v="2022-12-05T00:00:00"/>
        <d v="2022-08-04T00:00:00"/>
        <d v="2023-03-01T00:00:00"/>
        <d v="2021-06-03T00:00:00"/>
        <d v="2023-09-24T00:00:00"/>
        <d v="2022-11-28T00:00:00"/>
        <d v="2023-12-29T00:00:00"/>
        <d v="2023-12-07T00:00:00"/>
        <d v="2023-10-06T00:00:00"/>
        <d v="2021-04-04T00:00:00"/>
        <d v="2023-10-09T00:00:00"/>
        <d v="2023-07-01T00:00:00"/>
        <d v="2021-08-06T00:00:00"/>
        <d v="2022-04-19T00:00:00"/>
        <d v="2022-03-08T00:00:00"/>
        <d v="2021-12-07T00:00:00"/>
        <d v="2021-12-23T00:00:00"/>
        <d v="2021-01-23T00:00:00"/>
        <d v="2022-06-06T00:00:00"/>
        <d v="2023-02-01T00:00:00"/>
        <d v="2023-02-08T00:00:00"/>
        <d v="2023-10-13T00:00:00"/>
        <d v="2022-05-31T00:00:00"/>
        <d v="2023-11-06T00:00:00"/>
        <d v="2021-12-02T00:00:00"/>
        <d v="2021-09-15T00:00:00"/>
        <d v="2023-06-15T00:00:00"/>
        <d v="2021-06-09T00:00:00"/>
        <d v="2023-05-02T00:00:00"/>
        <d v="2022-11-21T00:00:00"/>
        <d v="2022-11-22T00:00:00"/>
        <d v="2023-12-03T00:00:00"/>
        <d v="2021-10-12T00:00:00"/>
        <d v="2022-02-01T00:00:00"/>
        <d v="2021-01-12T00:00:00"/>
        <d v="2022-05-14T00:00:00"/>
        <d v="2023-01-24T00:00:00"/>
        <d v="2023-04-29T00:00:00"/>
        <d v="2021-03-31T00:00:00"/>
        <d v="2022-08-28T00:00:00"/>
        <d v="2023-08-28T00:00:00"/>
        <d v="2022-02-22T00:00:00"/>
        <d v="2021-04-25T00:00:00"/>
        <d v="2022-09-09T00:00:00"/>
        <d v="2023-04-06T00:00:00"/>
        <d v="2022-02-17T00:00:00"/>
        <d v="2022-12-30T00:00:00"/>
        <d v="2023-01-31T00:00:00"/>
        <d v="2022-11-07T00:00:00"/>
        <d v="2022-04-02T00:00:00"/>
        <d v="2023-07-09T00:00:00"/>
        <d v="2021-07-11T00:00:00"/>
        <d v="2023-01-09T00:00:00"/>
        <d v="2023-09-05T00:00:00"/>
        <d v="2022-10-25T00:00:00"/>
        <d v="2021-02-06T00:00:00"/>
        <d v="2021-10-06T00:00:00"/>
        <d v="2023-05-23T00:00:00"/>
        <d v="2021-03-03T00:00:00"/>
        <d v="2022-08-19T00:00:00"/>
        <d v="2023-11-09T00:00:00"/>
        <d v="2021-06-26T00:00:00"/>
        <d v="2022-01-31T00:00:00"/>
        <d v="2022-03-21T00:00:00"/>
        <d v="2021-03-17T00:00:00"/>
        <d v="2021-09-22T00:00:00"/>
        <d v="2022-03-31T00:00:00"/>
        <d v="2022-12-19T00:00:00"/>
        <d v="2023-01-05T00:00:00"/>
        <d v="2023-05-01T00:00:00"/>
        <d v="2023-06-04T00:00:00"/>
        <d v="2023-11-15T00:00:00"/>
        <d v="2023-08-06T00:00:00"/>
        <d v="2023-06-10T00:00:00"/>
        <d v="2022-07-23T00:00:00"/>
        <d v="2021-04-19T00:00:00"/>
        <d v="2023-12-02T00:00:00"/>
        <d v="2023-07-24T00:00:00"/>
        <d v="2023-01-03T00:00:00"/>
        <d v="2021-08-23T00:00:00"/>
        <d v="2022-10-20T00:00:00"/>
        <d v="2023-01-21T00:00:00"/>
        <d v="2022-08-11T00:00:00"/>
        <d v="2023-10-30T00:00:00"/>
        <d v="2023-08-12T00:00:00"/>
        <d v="2022-05-07T00:00:00"/>
        <d v="2023-07-02T00:00:00"/>
        <d v="2021-06-19T00:00:00"/>
        <d v="2023-08-04T00:00:00"/>
        <d v="2021-01-29T00:00:00"/>
        <d v="2021-12-05T00:00:00"/>
        <d v="2022-05-15T00:00:00"/>
        <d v="2023-12-30T00:00:00"/>
        <d v="2023-05-26T00:00:00"/>
        <d v="2021-04-01T00:00:00"/>
        <d v="2022-12-15T00:00:00"/>
        <d v="2021-02-08T00:00:00"/>
        <d v="2021-06-22T00:00:00"/>
        <d v="2022-10-15T00:00:00"/>
        <d v="2022-04-21T00:00:00"/>
        <d v="2023-04-09T00:00:00"/>
        <d v="2023-06-14T00:00:00"/>
        <d v="2023-10-22T00:00:00"/>
        <d v="2022-01-22T00:00:00"/>
        <d v="2021-12-14T00:00:00"/>
        <d v="2022-05-20T00:00:00"/>
        <d v="2023-04-04T00:00:00"/>
        <d v="2023-07-23T00:00:00"/>
        <d v="2021-05-14T00:00:00"/>
        <d v="2021-02-27T00:00:00"/>
        <d v="2022-11-03T00:00:00"/>
        <d v="2023-03-26T00:00:00"/>
        <d v="2021-03-21T00:00:00"/>
        <d v="2023-06-05T00:00:00"/>
        <d v="2023-08-29T00:00:00"/>
        <d v="2023-11-02T00:00:00"/>
        <d v="2023-01-06T00:00:00"/>
        <d v="2023-02-23T00:00:00"/>
        <d v="2023-08-26T00:00:00"/>
        <d v="2021-12-24T00:00:00"/>
        <d v="2022-10-30T00:00:00"/>
        <d v="2022-01-08T00:00:00"/>
        <d v="2023-10-29T00:00:00"/>
        <d v="2022-11-29T00:00:00"/>
        <d v="2022-06-24T00:00:00"/>
        <d v="2023-01-02T00:00:00"/>
        <d v="2023-05-19T00:00:00"/>
        <d v="2023-01-10T00:00:00"/>
        <d v="2022-05-17T00:00:00"/>
        <d v="2023-08-17T00:00:00"/>
        <d v="2022-04-06T00:00:00"/>
        <d v="2023-07-14T00:00:00"/>
        <d v="2023-06-28T00:00:00"/>
        <d v="2022-01-25T00:00:00"/>
        <d v="2023-06-02T00:00:00"/>
        <d v="2021-09-13T00:00:00"/>
        <d v="2022-12-10T00:00:00"/>
        <d v="2022-03-26T00:00:00"/>
        <d v="2021-01-10T00:00:00"/>
        <d v="2022-01-09T00:00:00"/>
        <d v="2023-12-25T00:00:00"/>
        <d v="2021-05-26T00:00:00"/>
        <d v="2021-08-12T00:00:00"/>
        <d v="2023-05-03T00:00:00"/>
        <d v="2021-03-04T00:00:00"/>
        <d v="2023-04-07T00:00:00"/>
        <d v="2022-11-20T00:00:00"/>
        <d v="2021-04-15T00:00:00"/>
        <d v="2022-02-09T00:00:00"/>
        <d v="2023-02-10T00:00:00"/>
        <d v="2023-11-13T00:00:00"/>
        <d v="2022-11-08T00:00:00"/>
        <d v="2021-03-24T00:00:00"/>
        <d v="2021-01-01T00:00:00"/>
        <d v="2022-12-18T00:00:00"/>
        <d v="2022-03-25T00:00:00"/>
        <d v="2021-02-03T00:00:00"/>
        <d v="2021-04-05T00:00:00"/>
        <d v="2021-09-07T00:00:00"/>
        <d v="2022-11-05T00:00:00"/>
        <d v="2021-04-28T00:00:00"/>
        <d v="2021-09-25T00:00:00"/>
        <d v="2021-08-24T00:00:00"/>
        <d v="2022-01-24T00:00:00"/>
        <d v="2023-09-17T00:00:00"/>
        <d v="2023-02-02T00:00:00"/>
        <d v="2023-07-08T00:00:00"/>
        <d v="2021-03-16T00:00:00"/>
        <d v="2022-03-11T00:00:00"/>
        <d v="2021-04-13T00:00:00"/>
        <d v="2023-01-08T00:00:00"/>
        <d v="2021-04-08T00:00:00"/>
        <d v="2023-05-09T00:00:00"/>
        <d v="2022-03-23T00:00:00"/>
        <d v="2021-09-06T00:00:00"/>
        <d v="2021-06-15T00:00:00"/>
        <d v="2023-09-11T00:00:00"/>
        <d v="2022-06-26T00:00:00"/>
        <d v="2021-03-22T00:00:00"/>
        <d v="2021-05-13T00:00:00"/>
        <d v="2023-03-08T00:00:00"/>
        <d v="2023-06-19T00:00:00"/>
        <d v="2021-05-18T00:00:00"/>
        <d v="2021-07-03T00:00:00"/>
        <d v="2021-03-10T00:00:00"/>
        <d v="2022-06-30T00:00:00"/>
        <d v="2021-02-22T00:00:00"/>
        <d v="2021-07-24T00:00:00"/>
        <d v="2021-05-06T00:00:00"/>
        <d v="2021-02-12T00:00:00"/>
        <d v="2021-04-21T00:00:00"/>
        <d v="2023-04-28T00:00:00"/>
        <d v="2021-12-26T00:00:00"/>
        <d v="2021-10-08T00:00:00"/>
        <d v="2022-10-29T00:00:00"/>
        <d v="2021-04-03T00:00:00"/>
        <d v="2021-03-02T00:00:00"/>
        <d v="2023-12-11T00:00:00"/>
        <d v="2022-08-27T00:00:00"/>
        <d v="2022-06-18T00:00:00"/>
        <d v="2022-10-07T00:00:00"/>
        <d v="2021-08-21T00:00:00"/>
        <d v="2022-06-08T00:00:00"/>
        <d v="2023-03-05T00:00:00"/>
        <d v="2021-08-02T00:00:00"/>
        <d v="2021-08-27T00:00:00"/>
        <d v="2023-12-16T00:00:00"/>
        <d v="2021-12-16T00:00:00"/>
        <d v="2021-04-17T00:00:00"/>
        <d v="2021-02-17T00:00:00"/>
        <d v="2021-12-03T00:00:00"/>
        <d v="2023-11-16T00:00:00"/>
        <d v="2023-03-15T00:00:00"/>
        <d v="2021-01-08T00:00:00"/>
        <d v="2022-09-17T00:00:00"/>
        <d v="2022-12-20T00:00:00"/>
        <d v="2021-10-30T00:00:00"/>
        <d v="2022-10-01T00:00:00"/>
        <d v="2021-02-25T00:00:00"/>
        <d v="2022-06-10T00:00:00"/>
        <d v="2021-01-28T00:00:00"/>
        <d v="2021-03-19T00:00:00"/>
        <d v="2021-12-31T00:00:00"/>
        <d v="2022-10-28T00:00:00"/>
        <d v="2023-10-28T00:00:00"/>
        <d v="2023-10-24T00:00:00"/>
        <d v="2021-12-29T00:00:00"/>
        <d v="2021-03-27T00:00:00"/>
        <d v="2023-03-23T00:00:00"/>
        <d v="2022-06-21T00:00:00"/>
        <d v="2021-05-25T00:00:00"/>
        <d v="2021-01-25T00:00:00"/>
        <d v="2021-03-08T00:00:00"/>
        <d v="2021-08-16T00:00:00"/>
        <d v="2022-09-15T00:00:00"/>
        <d v="2022-08-18T00:00:00"/>
        <d v="2022-03-01T00:00:00"/>
        <d v="2022-11-23T00:00:00"/>
        <d v="2021-11-11T00:00:00"/>
        <d v="2022-10-24T00:00:00"/>
        <d v="2023-04-23T00:00:00"/>
        <d v="2023-06-18T00:00:00"/>
        <d v="2021-08-31T00:00:00"/>
        <d v="2022-06-27T00:00:00"/>
        <d v="2023-11-30T00:00:00"/>
        <d v="2021-08-17T00:00:00"/>
        <d v="2022-07-02T00:00:00"/>
        <d v="2021-01-06T00:00:00"/>
        <d v="2022-04-13T00:00:00"/>
        <d v="2021-01-04T00:00:00"/>
        <d v="2022-05-19T00:00:00"/>
        <d v="2023-08-05T00:00:00"/>
        <d v="2022-07-28T00:00:00"/>
        <d v="2021-07-13T00:00:00"/>
        <d v="2023-04-27T00:00:00"/>
        <d v="2022-12-16T00:00:00"/>
        <d v="2021-11-22T00:00:00"/>
        <d v="2022-12-25T00:00:00"/>
        <d v="2021-08-13T00:00:00"/>
        <d v="2022-06-16T00:00:00"/>
        <d v="2021-05-20T00:00:00"/>
        <d v="2022-07-13T00:00:00"/>
        <d v="2021-11-16T00:00:00"/>
        <d v="2021-05-19T00:00:00"/>
        <d v="2023-04-25T00:00:00"/>
        <d v="2021-09-16T00:00:00"/>
        <d v="2023-06-21T00:00:00"/>
        <d v="2021-09-18T00:00:00"/>
        <d v="2021-06-21T00:00:00"/>
        <d v="2021-01-13T00:00:00"/>
        <d v="2021-11-25T00:00:00"/>
        <d v="2023-06-30T00:00:00"/>
        <d v="2021-11-30T00:00:00"/>
        <d v="2022-01-11T00:00:00"/>
        <d v="2023-07-07T00:00:00"/>
        <d v="2022-12-26T00:00:00"/>
        <d v="2021-05-12T00:00:00"/>
        <d v="2021-03-30T00:00:00"/>
        <d v="2022-09-08T00:00:00"/>
        <d v="2023-03-11T00:00:00"/>
        <d v="2022-02-26T00:00:00"/>
        <d v="2021-05-23T00:00:00"/>
        <d v="2022-10-27T00:00:00"/>
        <d v="2023-10-04T00:00:00"/>
        <d v="2023-04-01T00:00:00"/>
        <d v="2022-08-02T00:00:00"/>
        <d v="2022-01-26T00:00:00"/>
        <d v="2022-07-08T00:00:00"/>
        <d v="2022-04-23T00:00:00"/>
        <d v="2023-07-12T00:00:00"/>
        <d v="2022-02-24T00:00:00"/>
        <d v="2021-06-06T00:00:00"/>
        <d v="2022-07-04T00:00:00"/>
        <d v="2023-08-09T00:00:00"/>
        <d v="2021-07-15T00:00:00"/>
        <d v="2022-08-21T00:00:00"/>
        <d v="2022-06-01T00:00:00"/>
        <d v="2023-05-15T00:00:00"/>
        <d v="2021-08-04T00:00:00"/>
        <d v="2021-11-20T00:00:00"/>
        <d v="2023-04-24T00:00:00"/>
        <d v="2021-05-10T00:00:00"/>
        <d v="2022-09-19T00:00:00"/>
        <d v="2023-01-25T00:00:00"/>
        <d v="2021-01-11T00:00:00"/>
        <d v="2022-12-13T00:00:00"/>
        <d v="2021-05-21T00:00:00"/>
        <d v="2023-09-12T00:00:00"/>
        <d v="2022-11-14T00:00:00"/>
        <d v="2021-12-22T00:00:00"/>
        <d v="2023-10-05T00:00:00"/>
        <d v="2023-06-07T00:00:00"/>
        <d v="2021-05-07T00:00:00"/>
        <d v="2023-10-11T00:00:00"/>
        <d v="2023-11-19T00:00:00"/>
        <d v="2023-02-18T00:00:00"/>
        <d v="2023-03-25T00:00:00"/>
        <d v="2023-09-10T00:00:00"/>
        <d v="2023-04-05T00:00:00"/>
        <d v="2022-07-21T00:00:00"/>
        <d v="2022-01-06T00:00:00"/>
        <d v="2022-10-23T00:00:00"/>
        <d v="2023-08-27T00:00:00"/>
        <d v="2021-11-09T00:00:00"/>
        <d v="2023-07-26T00:00:00"/>
        <d v="2021-09-01T00:00:00"/>
        <d v="2021-12-13T00:00:00"/>
        <d v="2023-07-28T00:00:00"/>
        <d v="2021-06-05T00:00:00"/>
        <d v="2023-08-25T00:00:00"/>
        <d v="2021-05-28T00:00:00"/>
        <d v="2021-12-08T00:00:00"/>
        <d v="2022-07-15T00:00:00"/>
        <d v="2021-11-23T00:00:00"/>
        <d v="2021-08-03T00:00:00"/>
        <d v="2022-12-24T00:00:00"/>
        <d v="2021-02-01T00:00:00"/>
        <d v="2022-11-01T00:00:00"/>
        <d v="2022-03-05T00:00:00"/>
        <d v="2021-10-13T00:00:00"/>
        <d v="2022-08-13T00:00:00"/>
        <d v="2023-10-07T00:00:00"/>
        <d v="2023-09-15T00:00:00"/>
        <d v="2021-04-24T00:00:00"/>
        <d v="2021-02-24T00:00:00"/>
        <d v="2023-02-17T00:00:00"/>
        <d v="2021-03-28T00:00:00"/>
        <d v="2023-04-13T00:00:00"/>
        <d v="2022-03-19T00:00:00"/>
        <d v="2021-11-24T00:00:00"/>
        <d v="2022-05-06T00:00:00"/>
        <d v="2022-03-28T00:00:00"/>
        <d v="2021-06-14T00:00:00"/>
        <d v="2021-07-01T00:00:00"/>
        <d v="2022-04-14T00:00:00"/>
        <d v="2023-06-29T00:00:00"/>
        <d v="2023-08-02T00:00:00"/>
        <d v="2021-01-07T00:00:00"/>
        <d v="2021-11-26T00:00:00"/>
        <d v="2023-02-14T00:00:00"/>
        <d v="2023-07-04T00:00:00"/>
        <d v="2021-03-23T00:00:00"/>
        <d v="2022-05-29T00:00:00"/>
        <d v="2023-01-16T00:00:00"/>
        <d v="2023-10-20T00:00:00"/>
        <d v="2022-12-08T00:00:00"/>
        <d v="2023-06-24T00:00:00"/>
        <d v="2023-07-29T00:00:00"/>
        <d v="2022-09-24T00:00:00"/>
        <d v="2021-02-28T00:00:00"/>
        <d v="2022-12-22T00:00:00"/>
        <d v="2022-07-06T00:00:00"/>
        <d v="2021-08-25T00:00:00"/>
        <d v="2022-05-09T00:00:00"/>
        <d v="2022-09-02T00:00:00"/>
        <d v="2021-02-11T00:00:00"/>
      </sharedItems>
      <fieldGroup par="21"/>
    </cacheField>
    <cacheField name="Borrower ID" numFmtId="0">
      <sharedItems/>
    </cacheField>
    <cacheField name="State" numFmtId="0">
      <sharedItems/>
    </cacheField>
    <cacheField name="Loan Amount" numFmtId="0">
      <sharedItems containsSemiMixedTypes="0" containsString="0" containsNumber="1" containsInteger="1" minValue="1060" maxValue="39908"/>
    </cacheField>
    <cacheField name="Interest Rate" numFmtId="0">
      <sharedItems containsSemiMixedTypes="0" containsString="0" containsNumber="1" minValue="5" maxValue="25"/>
    </cacheField>
    <cacheField name="Term (Months)" numFmtId="0">
      <sharedItems containsSemiMixedTypes="0" containsString="0" containsNumber="1" containsInteger="1" minValue="36" maxValue="60"/>
    </cacheField>
    <cacheField name="Loan Status" numFmtId="0">
      <sharedItems count="5">
        <s v="Fully Paid"/>
        <s v="Current"/>
        <s v="Late"/>
        <s v="Charged Off"/>
        <s v="In Grace Period"/>
      </sharedItems>
    </cacheField>
    <cacheField name="Loan Grade" numFmtId="0">
      <sharedItems count="7">
        <s v="A"/>
        <s v="D"/>
        <s v="F"/>
        <s v="G"/>
        <s v="B"/>
        <s v="C"/>
        <s v="E"/>
      </sharedItems>
    </cacheField>
    <cacheField name="Loan Intent" numFmtId="0">
      <sharedItems count="5">
        <s v="small business"/>
        <s v="credit card"/>
        <s v="home improvement"/>
        <s v="other"/>
        <s v="debt consolidation"/>
      </sharedItems>
    </cacheField>
    <cacheField name="Annual Income" numFmtId="0">
      <sharedItems containsSemiMixedTypes="0" containsString="0" containsNumber="1" containsInteger="1" minValue="30203" maxValue="149277"/>
    </cacheField>
    <cacheField name="Home Ownership" numFmtId="0">
      <sharedItems/>
    </cacheField>
    <cacheField name="DTI" numFmtId="0">
      <sharedItems containsSemiMixedTypes="0" containsString="0" containsNumber="1" minValue="0.1" maxValue="0.5"/>
    </cacheField>
    <cacheField name="LTV" numFmtId="0">
      <sharedItems containsSemiMixedTypes="0" containsString="0" containsNumber="1" minValue="0.5" maxValue="0.95"/>
    </cacheField>
    <cacheField name="Total Payments Received" numFmtId="0">
      <sharedItems containsSemiMixedTypes="0" containsString="0" containsNumber="1" minValue="0" maxValue="49533.55"/>
    </cacheField>
    <cacheField name="Recovery Amount" numFmtId="0">
      <sharedItems containsSemiMixedTypes="0" containsString="0" containsNumber="1" minValue="0" maxValue="17357.919999999998"/>
    </cacheField>
    <cacheField name="Age of Loan Months" numFmtId="0">
      <sharedItems containsSemiMixedTypes="0" containsString="0" containsNumber="1" containsInteger="1" minValue="26" maxValue="62"/>
    </cacheField>
    <cacheField name="Profit/loss" numFmtId="0">
      <sharedItems containsSemiMixedTypes="0" containsString="0" containsNumber="1" minValue="-9683.5500000000029" maxValue="38873"/>
    </cacheField>
    <cacheField name="P/L status" numFmtId="0">
      <sharedItems/>
    </cacheField>
    <cacheField name="Months (Issue Date)" numFmtId="0" databaseField="0">
      <fieldGroup base="1">
        <rangePr groupBy="months" startDate="2021-01-01T00:00:00" endDate="2023-12-31T00:00:00"/>
        <groupItems count="14">
          <s v="&lt;01-01-2021"/>
          <s v="Jan"/>
          <s v="Feb"/>
          <s v="Mar"/>
          <s v="Apr"/>
          <s v="May"/>
          <s v="Jun"/>
          <s v="Jul"/>
          <s v="Aug"/>
          <s v="Sep"/>
          <s v="Oct"/>
          <s v="Nov"/>
          <s v="Dec"/>
          <s v="&gt;31-12-2023"/>
        </groupItems>
      </fieldGroup>
    </cacheField>
    <cacheField name="Quarters (Issue Date)" numFmtId="0" databaseField="0">
      <fieldGroup base="1">
        <rangePr groupBy="quarters" startDate="2021-01-01T00:00:00" endDate="2023-12-31T00:00:00"/>
        <groupItems count="6">
          <s v="&lt;01-01-2021"/>
          <s v="Qtr1"/>
          <s v="Qtr2"/>
          <s v="Qtr3"/>
          <s v="Qtr4"/>
          <s v="&gt;31-12-2023"/>
        </groupItems>
      </fieldGroup>
    </cacheField>
    <cacheField name="Years (Issue Date)" numFmtId="0" databaseField="0">
      <fieldGroup base="1">
        <rangePr groupBy="years" startDate="2021-01-01T00:00:00" endDate="2023-12-31T00:00:00"/>
        <groupItems count="5">
          <s v="&lt;01-01-2021"/>
          <s v="2021"/>
          <s v="2022"/>
          <s v="2023"/>
          <s v="&gt;31-12-2023"/>
        </groupItems>
      </fieldGroup>
    </cacheField>
  </cacheFields>
  <extLst>
    <ext xmlns:x14="http://schemas.microsoft.com/office/spreadsheetml/2009/9/main" uri="{725AE2AE-9491-48be-B2B4-4EB974FC3084}">
      <x14:pivotCacheDefinition pivotCacheId="1953940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0001"/>
    <x v="0"/>
    <s v="B0001"/>
    <s v="OH"/>
    <n v="23180"/>
    <n v="10.1"/>
    <n v="60"/>
    <x v="0"/>
    <x v="0"/>
    <x v="0"/>
    <n v="41676"/>
    <s v="OWN"/>
    <n v="0.24"/>
    <n v="0.82"/>
    <n v="25521.18"/>
    <n v="0"/>
    <n v="34"/>
    <n v="-2341.1800000000003"/>
    <s v="Loss"/>
  </r>
  <r>
    <s v="L0002"/>
    <x v="1"/>
    <s v="B0002"/>
    <s v="PA"/>
    <n v="32896"/>
    <n v="20.6"/>
    <n v="36"/>
    <x v="1"/>
    <x v="1"/>
    <x v="1"/>
    <n v="34434"/>
    <s v="MORTGAGE"/>
    <n v="0.47"/>
    <n v="0.59"/>
    <n v="9222.59"/>
    <n v="0"/>
    <n v="28"/>
    <n v="23673.41"/>
    <s v="Profit"/>
  </r>
  <r>
    <s v="L0003"/>
    <x v="2"/>
    <s v="B0003"/>
    <s v="PA"/>
    <n v="13875"/>
    <n v="21.5"/>
    <n v="36"/>
    <x v="1"/>
    <x v="0"/>
    <x v="2"/>
    <n v="79810"/>
    <s v="RENT"/>
    <n v="0.33"/>
    <n v="0.7"/>
    <n v="2689.37"/>
    <n v="0"/>
    <n v="58"/>
    <n v="11185.630000000001"/>
    <s v="Profit"/>
  </r>
  <r>
    <s v="L0004"/>
    <x v="3"/>
    <s v="B0004"/>
    <s v="OH"/>
    <n v="2622"/>
    <n v="14.9"/>
    <n v="60"/>
    <x v="0"/>
    <x v="2"/>
    <x v="3"/>
    <n v="133361"/>
    <s v="OWN"/>
    <n v="0.17"/>
    <n v="0.87"/>
    <n v="3012.68"/>
    <n v="0"/>
    <n v="47"/>
    <n v="-390.67999999999984"/>
    <s v="Loss"/>
  </r>
  <r>
    <s v="L0005"/>
    <x v="4"/>
    <s v="B0005"/>
    <s v="NY"/>
    <n v="17725"/>
    <n v="12.7"/>
    <n v="36"/>
    <x v="0"/>
    <x v="3"/>
    <x v="3"/>
    <n v="148696"/>
    <s v="OWN"/>
    <n v="0.16"/>
    <n v="0.79"/>
    <n v="19976.080000000002"/>
    <n v="0"/>
    <n v="51"/>
    <n v="-2251.0800000000017"/>
    <s v="Loss"/>
  </r>
  <r>
    <s v="L0006"/>
    <x v="5"/>
    <s v="B0006"/>
    <s v="NY"/>
    <n v="16646"/>
    <n v="14"/>
    <n v="36"/>
    <x v="0"/>
    <x v="0"/>
    <x v="3"/>
    <n v="124636"/>
    <s v="RENT"/>
    <n v="0.33"/>
    <n v="0.69"/>
    <n v="18976.439999999999"/>
    <n v="0"/>
    <n v="59"/>
    <n v="-2330.4399999999987"/>
    <s v="Loss"/>
  </r>
  <r>
    <s v="L0007"/>
    <x v="6"/>
    <s v="B0007"/>
    <s v="MI"/>
    <n v="18029"/>
    <n v="9.5"/>
    <n v="60"/>
    <x v="0"/>
    <x v="1"/>
    <x v="4"/>
    <n v="34994"/>
    <s v="OWN"/>
    <n v="0.4"/>
    <n v="0.8"/>
    <n v="19741.759999999998"/>
    <n v="0"/>
    <n v="33"/>
    <n v="-1712.7599999999984"/>
    <s v="Loss"/>
  </r>
  <r>
    <s v="L0008"/>
    <x v="7"/>
    <s v="B0008"/>
    <s v="NC"/>
    <n v="30402"/>
    <n v="22.8"/>
    <n v="36"/>
    <x v="1"/>
    <x v="0"/>
    <x v="0"/>
    <n v="34234"/>
    <s v="RENT"/>
    <n v="0.41"/>
    <n v="0.55000000000000004"/>
    <n v="3813.31"/>
    <n v="0"/>
    <n v="58"/>
    <n v="26588.69"/>
    <s v="Profit"/>
  </r>
  <r>
    <s v="L0009"/>
    <x v="8"/>
    <s v="B0009"/>
    <s v="GA"/>
    <n v="5263"/>
    <n v="14"/>
    <n v="36"/>
    <x v="1"/>
    <x v="1"/>
    <x v="2"/>
    <n v="99300"/>
    <s v="RENT"/>
    <n v="0.21"/>
    <n v="0.68"/>
    <n v="885.74"/>
    <n v="0"/>
    <n v="37"/>
    <n v="4377.26"/>
    <s v="Profit"/>
  </r>
  <r>
    <s v="L0010"/>
    <x v="9"/>
    <s v="B0010"/>
    <s v="IL"/>
    <n v="31987"/>
    <n v="22.6"/>
    <n v="60"/>
    <x v="1"/>
    <x v="4"/>
    <x v="0"/>
    <n v="73949"/>
    <s v="RENT"/>
    <n v="0.18"/>
    <n v="0.86"/>
    <n v="2113.92"/>
    <n v="0"/>
    <n v="51"/>
    <n v="29873.08"/>
    <s v="Profit"/>
  </r>
  <r>
    <s v="L0011"/>
    <x v="10"/>
    <s v="B0011"/>
    <s v="PA"/>
    <n v="9646"/>
    <n v="7.1"/>
    <n v="60"/>
    <x v="2"/>
    <x v="1"/>
    <x v="4"/>
    <n v="67405"/>
    <s v="RENT"/>
    <n v="0.11"/>
    <n v="0.6"/>
    <n v="0"/>
    <n v="0"/>
    <n v="36"/>
    <n v="9646"/>
    <s v="Profit"/>
  </r>
  <r>
    <s v="L0012"/>
    <x v="11"/>
    <s v="B0012"/>
    <s v="MI"/>
    <n v="28529"/>
    <n v="24.8"/>
    <n v="60"/>
    <x v="0"/>
    <x v="4"/>
    <x v="2"/>
    <n v="64872"/>
    <s v="RENT"/>
    <n v="0.37"/>
    <n v="0.57999999999999996"/>
    <n v="35604.19"/>
    <n v="0"/>
    <n v="49"/>
    <n v="-7075.1900000000023"/>
    <s v="Loss"/>
  </r>
  <r>
    <s v="L0013"/>
    <x v="12"/>
    <s v="B0013"/>
    <s v="CA"/>
    <n v="12664"/>
    <n v="13.9"/>
    <n v="36"/>
    <x v="0"/>
    <x v="0"/>
    <x v="2"/>
    <n v="72215"/>
    <s v="MORTGAGE"/>
    <n v="0.13"/>
    <n v="0.93"/>
    <n v="14424.3"/>
    <n v="0"/>
    <n v="31"/>
    <n v="-1760.2999999999993"/>
    <s v="Loss"/>
  </r>
  <r>
    <s v="L0014"/>
    <x v="13"/>
    <s v="B0014"/>
    <s v="MI"/>
    <n v="36737"/>
    <n v="6"/>
    <n v="60"/>
    <x v="0"/>
    <x v="4"/>
    <x v="1"/>
    <n v="53185"/>
    <s v="RENT"/>
    <n v="0.27"/>
    <n v="0.59"/>
    <n v="38941.22"/>
    <n v="0"/>
    <n v="53"/>
    <n v="-2204.2200000000012"/>
    <s v="Loss"/>
  </r>
  <r>
    <s v="L0015"/>
    <x v="14"/>
    <s v="B0015"/>
    <s v="CA"/>
    <n v="36796"/>
    <n v="5.8"/>
    <n v="60"/>
    <x v="1"/>
    <x v="0"/>
    <x v="0"/>
    <n v="73442"/>
    <s v="MORTGAGE"/>
    <n v="0.34"/>
    <n v="0.62"/>
    <n v="13503.79"/>
    <n v="0"/>
    <n v="47"/>
    <n v="23292.21"/>
    <s v="Profit"/>
  </r>
  <r>
    <s v="L0016"/>
    <x v="15"/>
    <s v="B0016"/>
    <s v="FL"/>
    <n v="25027"/>
    <n v="19.899999999999999"/>
    <n v="36"/>
    <x v="0"/>
    <x v="5"/>
    <x v="0"/>
    <n v="81759"/>
    <s v="RENT"/>
    <n v="0.47"/>
    <n v="0.94"/>
    <n v="30007.37"/>
    <n v="0"/>
    <n v="61"/>
    <n v="-4980.369999999999"/>
    <s v="Loss"/>
  </r>
  <r>
    <s v="L0017"/>
    <x v="16"/>
    <s v="B0017"/>
    <s v="TX"/>
    <n v="30373"/>
    <n v="18.2"/>
    <n v="60"/>
    <x v="1"/>
    <x v="0"/>
    <x v="1"/>
    <n v="71153"/>
    <s v="OWN"/>
    <n v="0.22"/>
    <n v="0.83"/>
    <n v="8244.83"/>
    <n v="0"/>
    <n v="54"/>
    <n v="22128.17"/>
    <s v="Profit"/>
  </r>
  <r>
    <s v="L0018"/>
    <x v="17"/>
    <s v="B0018"/>
    <s v="OH"/>
    <n v="37397"/>
    <n v="21"/>
    <n v="60"/>
    <x v="0"/>
    <x v="5"/>
    <x v="3"/>
    <n v="107535"/>
    <s v="MORTGAGE"/>
    <n v="0.2"/>
    <n v="0.81"/>
    <n v="45250.37"/>
    <n v="0"/>
    <n v="38"/>
    <n v="-7853.3700000000026"/>
    <s v="Loss"/>
  </r>
  <r>
    <s v="L0019"/>
    <x v="18"/>
    <s v="B0019"/>
    <s v="TX"/>
    <n v="21609"/>
    <n v="7.1"/>
    <n v="60"/>
    <x v="3"/>
    <x v="2"/>
    <x v="4"/>
    <n v="132023"/>
    <s v="OWN"/>
    <n v="0.36"/>
    <n v="0.88"/>
    <n v="2771.85"/>
    <n v="10111.4"/>
    <n v="34"/>
    <n v="18837.150000000001"/>
    <s v="Profit"/>
  </r>
  <r>
    <s v="L0020"/>
    <x v="19"/>
    <s v="B0020"/>
    <s v="MI"/>
    <n v="36835"/>
    <n v="5.7"/>
    <n v="60"/>
    <x v="3"/>
    <x v="6"/>
    <x v="0"/>
    <n v="32581"/>
    <s v="RENT"/>
    <n v="0.35"/>
    <n v="0.55000000000000004"/>
    <n v="5580.8"/>
    <n v="9880.57"/>
    <n v="47"/>
    <n v="31254.2"/>
    <s v="Profit"/>
  </r>
  <r>
    <s v="L0021"/>
    <x v="20"/>
    <s v="B0021"/>
    <s v="TX"/>
    <n v="39709"/>
    <n v="15.2"/>
    <n v="36"/>
    <x v="0"/>
    <x v="2"/>
    <x v="1"/>
    <n v="81717"/>
    <s v="RENT"/>
    <n v="0.23"/>
    <n v="0.82"/>
    <n v="45744.77"/>
    <n v="0"/>
    <n v="27"/>
    <n v="-6035.7699999999968"/>
    <s v="Loss"/>
  </r>
  <r>
    <s v="L0022"/>
    <x v="21"/>
    <s v="B0022"/>
    <s v="IL"/>
    <n v="20250"/>
    <n v="12.8"/>
    <n v="60"/>
    <x v="0"/>
    <x v="2"/>
    <x v="2"/>
    <n v="32763"/>
    <s v="OWN"/>
    <n v="0.47"/>
    <n v="0.73"/>
    <n v="22842"/>
    <n v="0"/>
    <n v="45"/>
    <n v="-2592"/>
    <s v="Loss"/>
  </r>
  <r>
    <s v="L0023"/>
    <x v="22"/>
    <s v="B0023"/>
    <s v="FL"/>
    <n v="22172"/>
    <n v="14.2"/>
    <n v="60"/>
    <x v="1"/>
    <x v="0"/>
    <x v="1"/>
    <n v="122910"/>
    <s v="RENT"/>
    <n v="0.44"/>
    <n v="0.87"/>
    <n v="2131.63"/>
    <n v="0"/>
    <n v="39"/>
    <n v="20040.37"/>
    <s v="Profit"/>
  </r>
  <r>
    <s v="L0024"/>
    <x v="23"/>
    <s v="B0024"/>
    <s v="GA"/>
    <n v="12555"/>
    <n v="24.8"/>
    <n v="36"/>
    <x v="0"/>
    <x v="0"/>
    <x v="3"/>
    <n v="85480"/>
    <s v="OWN"/>
    <n v="0.19"/>
    <n v="0.73"/>
    <n v="15668.64"/>
    <n v="0"/>
    <n v="30"/>
    <n v="-3113.6399999999994"/>
    <s v="Loss"/>
  </r>
  <r>
    <s v="L0025"/>
    <x v="24"/>
    <s v="B0025"/>
    <s v="FL"/>
    <n v="22874"/>
    <n v="24.4"/>
    <n v="60"/>
    <x v="0"/>
    <x v="5"/>
    <x v="4"/>
    <n v="68759"/>
    <s v="RENT"/>
    <n v="0.2"/>
    <n v="0.78"/>
    <n v="28455.26"/>
    <n v="0"/>
    <n v="56"/>
    <n v="-5581.2599999999984"/>
    <s v="Loss"/>
  </r>
  <r>
    <s v="L0026"/>
    <x v="25"/>
    <s v="B0026"/>
    <s v="PA"/>
    <n v="14081"/>
    <n v="23.8"/>
    <n v="36"/>
    <x v="1"/>
    <x v="2"/>
    <x v="3"/>
    <n v="106067"/>
    <s v="RENT"/>
    <n v="0.3"/>
    <n v="0.71"/>
    <n v="4585.71"/>
    <n v="0"/>
    <n v="31"/>
    <n v="9495.2900000000009"/>
    <s v="Profit"/>
  </r>
  <r>
    <s v="L0027"/>
    <x v="26"/>
    <s v="B0027"/>
    <s v="IL"/>
    <n v="25063"/>
    <n v="20.7"/>
    <n v="36"/>
    <x v="0"/>
    <x v="3"/>
    <x v="2"/>
    <n v="148094"/>
    <s v="MORTGAGE"/>
    <n v="0.41"/>
    <n v="0.72"/>
    <n v="30251.040000000001"/>
    <n v="0"/>
    <n v="40"/>
    <n v="-5188.0400000000009"/>
    <s v="Loss"/>
  </r>
  <r>
    <s v="L0028"/>
    <x v="25"/>
    <s v="B0028"/>
    <s v="TX"/>
    <n v="7819"/>
    <n v="12.1"/>
    <n v="36"/>
    <x v="1"/>
    <x v="0"/>
    <x v="2"/>
    <n v="55307"/>
    <s v="OWN"/>
    <n v="0.12"/>
    <n v="0.85"/>
    <n v="722.43"/>
    <n v="0"/>
    <n v="31"/>
    <n v="7096.57"/>
    <s v="Profit"/>
  </r>
  <r>
    <s v="L0029"/>
    <x v="27"/>
    <s v="B0029"/>
    <s v="GA"/>
    <n v="26712"/>
    <n v="13.2"/>
    <n v="60"/>
    <x v="1"/>
    <x v="4"/>
    <x v="2"/>
    <n v="126371"/>
    <s v="RENT"/>
    <n v="0.38"/>
    <n v="0.78"/>
    <n v="10402.379999999999"/>
    <n v="0"/>
    <n v="44"/>
    <n v="16309.62"/>
    <s v="Profit"/>
  </r>
  <r>
    <s v="L0030"/>
    <x v="28"/>
    <s v="B0030"/>
    <s v="TX"/>
    <n v="25762"/>
    <n v="16"/>
    <n v="36"/>
    <x v="0"/>
    <x v="0"/>
    <x v="2"/>
    <n v="41064"/>
    <s v="OWN"/>
    <n v="0.36"/>
    <n v="0.78"/>
    <n v="29883.919999999998"/>
    <n v="0"/>
    <n v="35"/>
    <n v="-4121.9199999999983"/>
    <s v="Loss"/>
  </r>
  <r>
    <s v="L0031"/>
    <x v="29"/>
    <s v="B0031"/>
    <s v="NC"/>
    <n v="12046"/>
    <n v="21.6"/>
    <n v="36"/>
    <x v="0"/>
    <x v="1"/>
    <x v="1"/>
    <n v="106848"/>
    <s v="MORTGAGE"/>
    <n v="0.19"/>
    <n v="0.7"/>
    <n v="14647.94"/>
    <n v="0"/>
    <n v="41"/>
    <n v="-2601.9400000000005"/>
    <s v="Loss"/>
  </r>
  <r>
    <s v="L0032"/>
    <x v="30"/>
    <s v="B0032"/>
    <s v="NC"/>
    <n v="32463"/>
    <n v="6.4"/>
    <n v="36"/>
    <x v="0"/>
    <x v="1"/>
    <x v="2"/>
    <n v="67548"/>
    <s v="OWN"/>
    <n v="0.37"/>
    <n v="0.74"/>
    <n v="34540.629999999997"/>
    <n v="0"/>
    <n v="61"/>
    <n v="-2077.6299999999974"/>
    <s v="Loss"/>
  </r>
  <r>
    <s v="L0033"/>
    <x v="31"/>
    <s v="B0033"/>
    <s v="NY"/>
    <n v="29769"/>
    <n v="13.5"/>
    <n v="60"/>
    <x v="1"/>
    <x v="0"/>
    <x v="2"/>
    <n v="66945"/>
    <s v="MORTGAGE"/>
    <n v="0.48"/>
    <n v="0.84"/>
    <n v="1763.22"/>
    <n v="0"/>
    <n v="34"/>
    <n v="28005.78"/>
    <s v="Profit"/>
  </r>
  <r>
    <s v="L0034"/>
    <x v="32"/>
    <s v="B0034"/>
    <s v="FL"/>
    <n v="24150"/>
    <n v="6.7"/>
    <n v="60"/>
    <x v="0"/>
    <x v="5"/>
    <x v="1"/>
    <n v="77937"/>
    <s v="OWN"/>
    <n v="0.12"/>
    <n v="0.87"/>
    <n v="25768.05"/>
    <n v="0"/>
    <n v="57"/>
    <n v="-1618.0499999999993"/>
    <s v="Loss"/>
  </r>
  <r>
    <s v="L0035"/>
    <x v="33"/>
    <s v="B0035"/>
    <s v="GA"/>
    <n v="3711"/>
    <n v="15.3"/>
    <n v="60"/>
    <x v="3"/>
    <x v="1"/>
    <x v="2"/>
    <n v="36476"/>
    <s v="OWN"/>
    <n v="0.23"/>
    <n v="0.81"/>
    <n v="648.73"/>
    <n v="938.22"/>
    <n v="49"/>
    <n v="3062.27"/>
    <s v="Profit"/>
  </r>
  <r>
    <s v="L0036"/>
    <x v="34"/>
    <s v="B0036"/>
    <s v="NC"/>
    <n v="5853"/>
    <n v="23"/>
    <n v="60"/>
    <x v="0"/>
    <x v="1"/>
    <x v="3"/>
    <n v="81756"/>
    <s v="MORTGAGE"/>
    <n v="0.28000000000000003"/>
    <n v="0.92"/>
    <n v="7199.19"/>
    <n v="0"/>
    <n v="42"/>
    <n v="-1346.1899999999996"/>
    <s v="Loss"/>
  </r>
  <r>
    <s v="L0037"/>
    <x v="35"/>
    <s v="B0037"/>
    <s v="NY"/>
    <n v="30077"/>
    <n v="20.6"/>
    <n v="60"/>
    <x v="0"/>
    <x v="0"/>
    <x v="3"/>
    <n v="120101"/>
    <s v="RENT"/>
    <n v="0.46"/>
    <n v="0.87"/>
    <n v="36272.86"/>
    <n v="0"/>
    <n v="52"/>
    <n v="-6195.8600000000006"/>
    <s v="Loss"/>
  </r>
  <r>
    <s v="L0038"/>
    <x v="36"/>
    <s v="B0038"/>
    <s v="IL"/>
    <n v="24863"/>
    <n v="9.6"/>
    <n v="60"/>
    <x v="0"/>
    <x v="2"/>
    <x v="0"/>
    <n v="32382"/>
    <s v="RENT"/>
    <n v="0.48"/>
    <n v="0.75"/>
    <n v="27249.85"/>
    <n v="0"/>
    <n v="62"/>
    <n v="-2386.8499999999985"/>
    <s v="Loss"/>
  </r>
  <r>
    <s v="L0039"/>
    <x v="37"/>
    <s v="B0039"/>
    <s v="GA"/>
    <n v="22792"/>
    <n v="24.5"/>
    <n v="60"/>
    <x v="0"/>
    <x v="5"/>
    <x v="3"/>
    <n v="79683"/>
    <s v="RENT"/>
    <n v="0.28000000000000003"/>
    <n v="0.8"/>
    <n v="28376.04"/>
    <n v="0"/>
    <n v="54"/>
    <n v="-5584.0400000000009"/>
    <s v="Loss"/>
  </r>
  <r>
    <s v="L0040"/>
    <x v="38"/>
    <s v="B0040"/>
    <s v="NY"/>
    <n v="9942"/>
    <n v="18.3"/>
    <n v="36"/>
    <x v="0"/>
    <x v="6"/>
    <x v="4"/>
    <n v="117999"/>
    <s v="OWN"/>
    <n v="0.4"/>
    <n v="0.92"/>
    <n v="11761.39"/>
    <n v="0"/>
    <n v="37"/>
    <n v="-1819.3899999999994"/>
    <s v="Loss"/>
  </r>
  <r>
    <s v="L0041"/>
    <x v="39"/>
    <s v="B0041"/>
    <s v="OH"/>
    <n v="2762"/>
    <n v="5.2"/>
    <n v="36"/>
    <x v="1"/>
    <x v="6"/>
    <x v="4"/>
    <n v="75276"/>
    <s v="OWN"/>
    <n v="0.31"/>
    <n v="0.78"/>
    <n v="1245.1099999999999"/>
    <n v="0"/>
    <n v="44"/>
    <n v="1516.89"/>
    <s v="Profit"/>
  </r>
  <r>
    <s v="L0042"/>
    <x v="40"/>
    <s v="B0042"/>
    <s v="GA"/>
    <n v="32987"/>
    <n v="10.1"/>
    <n v="36"/>
    <x v="0"/>
    <x v="0"/>
    <x v="4"/>
    <n v="63402"/>
    <s v="RENT"/>
    <n v="0.32"/>
    <n v="0.87"/>
    <n v="36318.69"/>
    <n v="0"/>
    <n v="33"/>
    <n v="-3331.6900000000023"/>
    <s v="Loss"/>
  </r>
  <r>
    <s v="L0043"/>
    <x v="41"/>
    <s v="B0043"/>
    <s v="MI"/>
    <n v="16850"/>
    <n v="10.199999999999999"/>
    <n v="36"/>
    <x v="0"/>
    <x v="0"/>
    <x v="1"/>
    <n v="121881"/>
    <s v="OWN"/>
    <n v="0.21"/>
    <n v="0.81"/>
    <n v="18568.7"/>
    <n v="0"/>
    <n v="59"/>
    <n v="-1718.7000000000007"/>
    <s v="Loss"/>
  </r>
  <r>
    <s v="L0044"/>
    <x v="12"/>
    <s v="B0044"/>
    <s v="NY"/>
    <n v="13112"/>
    <n v="6.4"/>
    <n v="60"/>
    <x v="0"/>
    <x v="1"/>
    <x v="3"/>
    <n v="140300"/>
    <s v="OWN"/>
    <n v="0.19"/>
    <n v="0.75"/>
    <n v="13951.17"/>
    <n v="0"/>
    <n v="31"/>
    <n v="-839.17000000000007"/>
    <s v="Loss"/>
  </r>
  <r>
    <s v="L0045"/>
    <x v="42"/>
    <s v="B0045"/>
    <s v="TX"/>
    <n v="25058"/>
    <n v="24.2"/>
    <n v="36"/>
    <x v="1"/>
    <x v="0"/>
    <x v="4"/>
    <n v="56946"/>
    <s v="RENT"/>
    <n v="0.22"/>
    <n v="0.61"/>
    <n v="9355.1299999999992"/>
    <n v="0"/>
    <n v="45"/>
    <n v="15702.87"/>
    <s v="Profit"/>
  </r>
  <r>
    <s v="L0046"/>
    <x v="43"/>
    <s v="B0046"/>
    <s v="MI"/>
    <n v="39890"/>
    <n v="14.6"/>
    <n v="36"/>
    <x v="1"/>
    <x v="6"/>
    <x v="0"/>
    <n v="109698"/>
    <s v="MORTGAGE"/>
    <n v="0.32"/>
    <n v="0.69"/>
    <n v="3304.32"/>
    <n v="0"/>
    <n v="37"/>
    <n v="36585.68"/>
    <s v="Profit"/>
  </r>
  <r>
    <s v="L0047"/>
    <x v="44"/>
    <s v="B0047"/>
    <s v="OH"/>
    <n v="1481"/>
    <n v="22.9"/>
    <n v="36"/>
    <x v="0"/>
    <x v="1"/>
    <x v="1"/>
    <n v="144690"/>
    <s v="OWN"/>
    <n v="0.11"/>
    <n v="0.94"/>
    <n v="1820.15"/>
    <n v="0"/>
    <n v="61"/>
    <n v="-339.15000000000009"/>
    <s v="Loss"/>
  </r>
  <r>
    <s v="L0048"/>
    <x v="45"/>
    <s v="B0048"/>
    <s v="NC"/>
    <n v="33921"/>
    <n v="11.4"/>
    <n v="36"/>
    <x v="1"/>
    <x v="6"/>
    <x v="0"/>
    <n v="142309"/>
    <s v="OWN"/>
    <n v="0.46"/>
    <n v="0.8"/>
    <n v="14230.09"/>
    <n v="0"/>
    <n v="55"/>
    <n v="19690.91"/>
    <s v="Profit"/>
  </r>
  <r>
    <s v="L0049"/>
    <x v="46"/>
    <s v="B0049"/>
    <s v="CA"/>
    <n v="2524"/>
    <n v="7.5"/>
    <n v="60"/>
    <x v="0"/>
    <x v="4"/>
    <x v="3"/>
    <n v="103933"/>
    <s v="OWN"/>
    <n v="0.16"/>
    <n v="0.75"/>
    <n v="2713.3"/>
    <n v="0"/>
    <n v="28"/>
    <n v="-189.30000000000018"/>
    <s v="Loss"/>
  </r>
  <r>
    <s v="L0050"/>
    <x v="47"/>
    <s v="B0050"/>
    <s v="NY"/>
    <n v="35888"/>
    <n v="14.5"/>
    <n v="60"/>
    <x v="1"/>
    <x v="4"/>
    <x v="2"/>
    <n v="52335"/>
    <s v="OWN"/>
    <n v="0.19"/>
    <n v="0.92"/>
    <n v="9756.7199999999993"/>
    <n v="0"/>
    <n v="29"/>
    <n v="26131.279999999999"/>
    <s v="Profit"/>
  </r>
  <r>
    <s v="L0051"/>
    <x v="48"/>
    <s v="B0051"/>
    <s v="IL"/>
    <n v="16048"/>
    <n v="7.3"/>
    <n v="60"/>
    <x v="0"/>
    <x v="1"/>
    <x v="0"/>
    <n v="75095"/>
    <s v="MORTGAGE"/>
    <n v="0.31"/>
    <n v="0.76"/>
    <n v="17219.5"/>
    <n v="0"/>
    <n v="44"/>
    <n v="-1171.5"/>
    <s v="Loss"/>
  </r>
  <r>
    <s v="L0052"/>
    <x v="49"/>
    <s v="B0052"/>
    <s v="NY"/>
    <n v="36111"/>
    <n v="14.7"/>
    <n v="36"/>
    <x v="0"/>
    <x v="0"/>
    <x v="2"/>
    <n v="109930"/>
    <s v="RENT"/>
    <n v="0.38"/>
    <n v="0.74"/>
    <n v="41419.32"/>
    <n v="0"/>
    <n v="39"/>
    <n v="-5308.32"/>
    <s v="Loss"/>
  </r>
  <r>
    <s v="L0053"/>
    <x v="50"/>
    <s v="B0053"/>
    <s v="CA"/>
    <n v="38904"/>
    <n v="23.4"/>
    <n v="60"/>
    <x v="3"/>
    <x v="1"/>
    <x v="1"/>
    <n v="57197"/>
    <s v="OWN"/>
    <n v="0.14000000000000001"/>
    <n v="0.84"/>
    <n v="13773.37"/>
    <n v="12116.05"/>
    <n v="49"/>
    <n v="25130.629999999997"/>
    <s v="Profit"/>
  </r>
  <r>
    <s v="L0054"/>
    <x v="51"/>
    <s v="B0054"/>
    <s v="OH"/>
    <n v="35008"/>
    <n v="15.4"/>
    <n v="36"/>
    <x v="0"/>
    <x v="6"/>
    <x v="0"/>
    <n v="52010"/>
    <s v="RENT"/>
    <n v="0.23"/>
    <n v="0.82"/>
    <n v="40399.230000000003"/>
    <n v="0"/>
    <n v="38"/>
    <n v="-5391.2300000000032"/>
    <s v="Loss"/>
  </r>
  <r>
    <s v="L0055"/>
    <x v="52"/>
    <s v="B0055"/>
    <s v="OH"/>
    <n v="1060"/>
    <n v="17.3"/>
    <n v="60"/>
    <x v="1"/>
    <x v="4"/>
    <x v="0"/>
    <n v="54123"/>
    <s v="OWN"/>
    <n v="0.49"/>
    <n v="0.59"/>
    <n v="339.55"/>
    <n v="0"/>
    <n v="57"/>
    <n v="720.45"/>
    <s v="Profit"/>
  </r>
  <r>
    <s v="L0056"/>
    <x v="53"/>
    <s v="B0056"/>
    <s v="MI"/>
    <n v="10130"/>
    <n v="8.1"/>
    <n v="60"/>
    <x v="0"/>
    <x v="1"/>
    <x v="1"/>
    <n v="117923"/>
    <s v="MORTGAGE"/>
    <n v="0.2"/>
    <n v="0.71"/>
    <n v="10950.53"/>
    <n v="0"/>
    <n v="55"/>
    <n v="-820.53000000000065"/>
    <s v="Loss"/>
  </r>
  <r>
    <s v="L0057"/>
    <x v="54"/>
    <s v="B0057"/>
    <s v="GA"/>
    <n v="19023"/>
    <n v="5.9"/>
    <n v="60"/>
    <x v="1"/>
    <x v="0"/>
    <x v="1"/>
    <n v="32890"/>
    <s v="RENT"/>
    <n v="0.23"/>
    <n v="0.71"/>
    <n v="6787.88"/>
    <n v="0"/>
    <n v="29"/>
    <n v="12235.119999999999"/>
    <s v="Profit"/>
  </r>
  <r>
    <s v="L0058"/>
    <x v="55"/>
    <s v="B0058"/>
    <s v="IL"/>
    <n v="14350"/>
    <n v="7.2"/>
    <n v="60"/>
    <x v="3"/>
    <x v="4"/>
    <x v="4"/>
    <n v="123305"/>
    <s v="MORTGAGE"/>
    <n v="0.43"/>
    <n v="0.67"/>
    <n v="5712.02"/>
    <n v="3379.84"/>
    <n v="53"/>
    <n v="8637.98"/>
    <s v="Profit"/>
  </r>
  <r>
    <s v="L0059"/>
    <x v="56"/>
    <s v="B0059"/>
    <s v="MI"/>
    <n v="25354"/>
    <n v="17"/>
    <n v="60"/>
    <x v="0"/>
    <x v="3"/>
    <x v="3"/>
    <n v="139162"/>
    <s v="OWN"/>
    <n v="0.12"/>
    <n v="0.73"/>
    <n v="29664.18"/>
    <n v="0"/>
    <n v="35"/>
    <n v="-4310.18"/>
    <s v="Loss"/>
  </r>
  <r>
    <s v="L0060"/>
    <x v="57"/>
    <s v="B0060"/>
    <s v="IL"/>
    <n v="29145"/>
    <n v="6.9"/>
    <n v="36"/>
    <x v="1"/>
    <x v="3"/>
    <x v="0"/>
    <n v="38026"/>
    <s v="MORTGAGE"/>
    <n v="0.28999999999999998"/>
    <n v="0.69"/>
    <n v="4504.3900000000003"/>
    <n v="0"/>
    <n v="47"/>
    <n v="24640.61"/>
    <s v="Profit"/>
  </r>
  <r>
    <s v="L0061"/>
    <x v="58"/>
    <s v="B0061"/>
    <s v="IL"/>
    <n v="35020"/>
    <n v="12.5"/>
    <n v="60"/>
    <x v="1"/>
    <x v="5"/>
    <x v="0"/>
    <n v="94925"/>
    <s v="MORTGAGE"/>
    <n v="0.25"/>
    <n v="0.59"/>
    <n v="11583.76"/>
    <n v="0"/>
    <n v="29"/>
    <n v="23436.239999999998"/>
    <s v="Profit"/>
  </r>
  <r>
    <s v="L0062"/>
    <x v="59"/>
    <s v="B0062"/>
    <s v="CA"/>
    <n v="21587"/>
    <n v="16"/>
    <n v="36"/>
    <x v="1"/>
    <x v="2"/>
    <x v="1"/>
    <n v="98842"/>
    <s v="OWN"/>
    <n v="0.23"/>
    <n v="0.69"/>
    <n v="5550.98"/>
    <n v="0"/>
    <n v="52"/>
    <n v="16036.02"/>
    <s v="Profit"/>
  </r>
  <r>
    <s v="L0063"/>
    <x v="60"/>
    <s v="B0063"/>
    <s v="MI"/>
    <n v="10650"/>
    <n v="12.8"/>
    <n v="36"/>
    <x v="0"/>
    <x v="5"/>
    <x v="1"/>
    <n v="63665"/>
    <s v="OWN"/>
    <n v="0.21"/>
    <n v="0.53"/>
    <n v="12013.2"/>
    <n v="0"/>
    <n v="38"/>
    <n v="-1363.2000000000007"/>
    <s v="Loss"/>
  </r>
  <r>
    <s v="L0064"/>
    <x v="61"/>
    <s v="B0064"/>
    <s v="IL"/>
    <n v="20933"/>
    <n v="8.3000000000000007"/>
    <n v="36"/>
    <x v="3"/>
    <x v="4"/>
    <x v="3"/>
    <n v="39277"/>
    <s v="RENT"/>
    <n v="0.14000000000000001"/>
    <n v="0.76"/>
    <n v="2341.0500000000002"/>
    <n v="2519.27"/>
    <n v="51"/>
    <n v="18591.95"/>
    <s v="Profit"/>
  </r>
  <r>
    <s v="L0065"/>
    <x v="62"/>
    <s v="B0065"/>
    <s v="PA"/>
    <n v="21581"/>
    <n v="10.5"/>
    <n v="36"/>
    <x v="0"/>
    <x v="4"/>
    <x v="1"/>
    <n v="72239"/>
    <s v="OWN"/>
    <n v="0.23"/>
    <n v="0.88"/>
    <n v="23847"/>
    <n v="0"/>
    <n v="33"/>
    <n v="-2266"/>
    <s v="Loss"/>
  </r>
  <r>
    <s v="L0066"/>
    <x v="63"/>
    <s v="B0066"/>
    <s v="CA"/>
    <n v="24393"/>
    <n v="23.6"/>
    <n v="36"/>
    <x v="0"/>
    <x v="2"/>
    <x v="2"/>
    <n v="77664"/>
    <s v="RENT"/>
    <n v="0.12"/>
    <n v="0.83"/>
    <n v="30149.75"/>
    <n v="0"/>
    <n v="27"/>
    <n v="-5756.75"/>
    <s v="Loss"/>
  </r>
  <r>
    <s v="L0067"/>
    <x v="64"/>
    <s v="B0067"/>
    <s v="OH"/>
    <n v="24051"/>
    <n v="18.5"/>
    <n v="60"/>
    <x v="3"/>
    <x v="0"/>
    <x v="2"/>
    <n v="78008"/>
    <s v="MORTGAGE"/>
    <n v="0.41"/>
    <n v="0.66"/>
    <n v="2509.5100000000002"/>
    <n v="11762.86"/>
    <n v="36"/>
    <n v="21541.489999999998"/>
    <s v="Profit"/>
  </r>
  <r>
    <s v="L0068"/>
    <x v="65"/>
    <s v="B0068"/>
    <s v="CA"/>
    <n v="27212"/>
    <n v="14.9"/>
    <n v="60"/>
    <x v="1"/>
    <x v="5"/>
    <x v="2"/>
    <n v="44683"/>
    <s v="MORTGAGE"/>
    <n v="0.26"/>
    <n v="0.54"/>
    <n v="2820.6"/>
    <n v="0"/>
    <n v="55"/>
    <n v="24391.4"/>
    <s v="Profit"/>
  </r>
  <r>
    <s v="L0069"/>
    <x v="66"/>
    <s v="B0069"/>
    <s v="TX"/>
    <n v="5090"/>
    <n v="5.3"/>
    <n v="60"/>
    <x v="0"/>
    <x v="5"/>
    <x v="2"/>
    <n v="30670"/>
    <s v="RENT"/>
    <n v="0.28000000000000003"/>
    <n v="0.59"/>
    <n v="5359.77"/>
    <n v="0"/>
    <n v="37"/>
    <n v="-269.77000000000044"/>
    <s v="Loss"/>
  </r>
  <r>
    <s v="L0070"/>
    <x v="67"/>
    <s v="B0070"/>
    <s v="TX"/>
    <n v="7960"/>
    <n v="24.8"/>
    <n v="60"/>
    <x v="0"/>
    <x v="1"/>
    <x v="3"/>
    <n v="119211"/>
    <s v="OWN"/>
    <n v="0.46"/>
    <n v="0.75"/>
    <n v="9934.08"/>
    <n v="0"/>
    <n v="56"/>
    <n v="-1974.08"/>
    <s v="Loss"/>
  </r>
  <r>
    <s v="L0071"/>
    <x v="68"/>
    <s v="B0071"/>
    <s v="IL"/>
    <n v="36772"/>
    <n v="18.399999999999999"/>
    <n v="36"/>
    <x v="0"/>
    <x v="5"/>
    <x v="0"/>
    <n v="47889"/>
    <s v="OWN"/>
    <n v="0.36"/>
    <n v="0.59"/>
    <n v="43538.05"/>
    <n v="0"/>
    <n v="50"/>
    <n v="-6766.0500000000029"/>
    <s v="Loss"/>
  </r>
  <r>
    <s v="L0072"/>
    <x v="69"/>
    <s v="B0072"/>
    <s v="MI"/>
    <n v="22520"/>
    <n v="11.3"/>
    <n v="60"/>
    <x v="0"/>
    <x v="4"/>
    <x v="2"/>
    <n v="85612"/>
    <s v="MORTGAGE"/>
    <n v="0.1"/>
    <n v="0.74"/>
    <n v="25064.76"/>
    <n v="0"/>
    <n v="46"/>
    <n v="-2544.7599999999984"/>
    <s v="Loss"/>
  </r>
  <r>
    <s v="L0073"/>
    <x v="70"/>
    <s v="B0073"/>
    <s v="OH"/>
    <n v="37408"/>
    <n v="22.6"/>
    <n v="60"/>
    <x v="0"/>
    <x v="0"/>
    <x v="1"/>
    <n v="74535"/>
    <s v="RENT"/>
    <n v="0.48"/>
    <n v="0.6"/>
    <n v="45862.21"/>
    <n v="0"/>
    <n v="27"/>
    <n v="-8454.2099999999991"/>
    <s v="Loss"/>
  </r>
  <r>
    <s v="L0074"/>
    <x v="71"/>
    <s v="B0074"/>
    <s v="CA"/>
    <n v="29470"/>
    <n v="10.199999999999999"/>
    <n v="36"/>
    <x v="1"/>
    <x v="5"/>
    <x v="2"/>
    <n v="108542"/>
    <s v="MORTGAGE"/>
    <n v="0.19"/>
    <n v="0.88"/>
    <n v="10081.43"/>
    <n v="0"/>
    <n v="62"/>
    <n v="19388.57"/>
    <s v="Profit"/>
  </r>
  <r>
    <s v="L0075"/>
    <x v="72"/>
    <s v="B0075"/>
    <s v="MI"/>
    <n v="21491"/>
    <n v="15.9"/>
    <n v="36"/>
    <x v="0"/>
    <x v="1"/>
    <x v="3"/>
    <n v="84319"/>
    <s v="MORTGAGE"/>
    <n v="0.14000000000000001"/>
    <n v="0.68"/>
    <n v="24908.07"/>
    <n v="0"/>
    <n v="60"/>
    <n v="-3417.0699999999997"/>
    <s v="Loss"/>
  </r>
  <r>
    <s v="L0076"/>
    <x v="73"/>
    <s v="B0076"/>
    <s v="CA"/>
    <n v="2341"/>
    <n v="17.7"/>
    <n v="60"/>
    <x v="1"/>
    <x v="5"/>
    <x v="1"/>
    <n v="144072"/>
    <s v="OWN"/>
    <n v="0.41"/>
    <n v="0.61"/>
    <n v="714.53"/>
    <n v="0"/>
    <n v="45"/>
    <n v="1626.47"/>
    <s v="Profit"/>
  </r>
  <r>
    <s v="L0077"/>
    <x v="74"/>
    <s v="B0077"/>
    <s v="CA"/>
    <n v="25791"/>
    <n v="9.4"/>
    <n v="60"/>
    <x v="1"/>
    <x v="1"/>
    <x v="2"/>
    <n v="122067"/>
    <s v="RENT"/>
    <n v="0.3"/>
    <n v="0.87"/>
    <n v="7712.63"/>
    <n v="0"/>
    <n v="41"/>
    <n v="18078.37"/>
    <s v="Profit"/>
  </r>
  <r>
    <s v="L0078"/>
    <x v="75"/>
    <s v="B0078"/>
    <s v="PA"/>
    <n v="1338"/>
    <n v="24.6"/>
    <n v="36"/>
    <x v="0"/>
    <x v="0"/>
    <x v="0"/>
    <n v="51639"/>
    <s v="MORTGAGE"/>
    <n v="0.27"/>
    <n v="0.65"/>
    <n v="1667.15"/>
    <n v="0"/>
    <n v="26"/>
    <n v="-329.15000000000009"/>
    <s v="Loss"/>
  </r>
  <r>
    <s v="L0079"/>
    <x v="76"/>
    <s v="B0079"/>
    <s v="TX"/>
    <n v="6895"/>
    <n v="20"/>
    <n v="60"/>
    <x v="0"/>
    <x v="2"/>
    <x v="1"/>
    <n v="94712"/>
    <s v="OWN"/>
    <n v="0.2"/>
    <n v="0.55000000000000004"/>
    <n v="8274"/>
    <n v="0"/>
    <n v="43"/>
    <n v="-1379"/>
    <s v="Loss"/>
  </r>
  <r>
    <s v="L0080"/>
    <x v="77"/>
    <s v="B0080"/>
    <s v="CA"/>
    <n v="13254"/>
    <n v="16.2"/>
    <n v="60"/>
    <x v="0"/>
    <x v="5"/>
    <x v="1"/>
    <n v="46633"/>
    <s v="MORTGAGE"/>
    <n v="0.32"/>
    <n v="0.76"/>
    <n v="15401.15"/>
    <n v="0"/>
    <n v="49"/>
    <n v="-2147.1499999999996"/>
    <s v="Loss"/>
  </r>
  <r>
    <s v="L0081"/>
    <x v="78"/>
    <s v="B0081"/>
    <s v="PA"/>
    <n v="12344"/>
    <n v="8.6"/>
    <n v="60"/>
    <x v="0"/>
    <x v="0"/>
    <x v="0"/>
    <n v="64660"/>
    <s v="MORTGAGE"/>
    <n v="0.21"/>
    <n v="0.76"/>
    <n v="13405.58"/>
    <n v="0"/>
    <n v="48"/>
    <n v="-1061.58"/>
    <s v="Loss"/>
  </r>
  <r>
    <s v="L0082"/>
    <x v="79"/>
    <s v="B0082"/>
    <s v="TX"/>
    <n v="2750"/>
    <n v="6.1"/>
    <n v="60"/>
    <x v="1"/>
    <x v="5"/>
    <x v="1"/>
    <n v="98975"/>
    <s v="OWN"/>
    <n v="0.46"/>
    <n v="0.82"/>
    <n v="176.92"/>
    <n v="0"/>
    <n v="53"/>
    <n v="2573.08"/>
    <s v="Profit"/>
  </r>
  <r>
    <s v="L0083"/>
    <x v="80"/>
    <s v="B0083"/>
    <s v="PA"/>
    <n v="3421"/>
    <n v="11.4"/>
    <n v="36"/>
    <x v="0"/>
    <x v="6"/>
    <x v="2"/>
    <n v="62172"/>
    <s v="OWN"/>
    <n v="0.19"/>
    <n v="0.61"/>
    <n v="3810.99"/>
    <n v="0"/>
    <n v="50"/>
    <n v="-389.98999999999978"/>
    <s v="Loss"/>
  </r>
  <r>
    <s v="L0084"/>
    <x v="81"/>
    <s v="B0084"/>
    <s v="MI"/>
    <n v="6319"/>
    <n v="20.100000000000001"/>
    <n v="36"/>
    <x v="1"/>
    <x v="2"/>
    <x v="1"/>
    <n v="89197"/>
    <s v="RENT"/>
    <n v="0.45"/>
    <n v="0.7"/>
    <n v="1650.44"/>
    <n v="0"/>
    <n v="55"/>
    <n v="4668.5599999999995"/>
    <s v="Profit"/>
  </r>
  <r>
    <s v="L0085"/>
    <x v="82"/>
    <s v="B0085"/>
    <s v="GA"/>
    <n v="16896"/>
    <n v="10.4"/>
    <n v="36"/>
    <x v="0"/>
    <x v="4"/>
    <x v="2"/>
    <n v="131158"/>
    <s v="MORTGAGE"/>
    <n v="0.32"/>
    <n v="0.63"/>
    <n v="18653.18"/>
    <n v="0"/>
    <n v="29"/>
    <n v="-1757.1800000000003"/>
    <s v="Loss"/>
  </r>
  <r>
    <s v="L0086"/>
    <x v="83"/>
    <s v="B0086"/>
    <s v="TX"/>
    <n v="12918"/>
    <n v="15.8"/>
    <n v="60"/>
    <x v="0"/>
    <x v="1"/>
    <x v="0"/>
    <n v="88847"/>
    <s v="RENT"/>
    <n v="0.43"/>
    <n v="0.54"/>
    <n v="14959.04"/>
    <n v="0"/>
    <n v="61"/>
    <n v="-2041.0400000000009"/>
    <s v="Loss"/>
  </r>
  <r>
    <s v="L0087"/>
    <x v="84"/>
    <s v="B0087"/>
    <s v="NC"/>
    <n v="26064"/>
    <n v="19.600000000000001"/>
    <n v="60"/>
    <x v="0"/>
    <x v="0"/>
    <x v="4"/>
    <n v="41577"/>
    <s v="OWN"/>
    <n v="0.39"/>
    <n v="0.89"/>
    <n v="31172.54"/>
    <n v="0"/>
    <n v="28"/>
    <n v="-5108.5400000000009"/>
    <s v="Loss"/>
  </r>
  <r>
    <s v="L0088"/>
    <x v="85"/>
    <s v="B0088"/>
    <s v="GA"/>
    <n v="28935"/>
    <n v="7.2"/>
    <n v="60"/>
    <x v="0"/>
    <x v="0"/>
    <x v="0"/>
    <n v="107299"/>
    <s v="OWN"/>
    <n v="0.38"/>
    <n v="0.83"/>
    <n v="31018.32"/>
    <n v="0"/>
    <n v="58"/>
    <n v="-2083.3199999999997"/>
    <s v="Loss"/>
  </r>
  <r>
    <s v="L0089"/>
    <x v="86"/>
    <s v="B0089"/>
    <s v="MI"/>
    <n v="38641"/>
    <n v="18.7"/>
    <n v="60"/>
    <x v="0"/>
    <x v="5"/>
    <x v="2"/>
    <n v="50176"/>
    <s v="MORTGAGE"/>
    <n v="0.23"/>
    <n v="0.64"/>
    <n v="45866.87"/>
    <n v="0"/>
    <n v="56"/>
    <n v="-7225.8700000000026"/>
    <s v="Loss"/>
  </r>
  <r>
    <s v="L0090"/>
    <x v="87"/>
    <s v="B0090"/>
    <s v="CA"/>
    <n v="30711"/>
    <n v="6.8"/>
    <n v="60"/>
    <x v="0"/>
    <x v="1"/>
    <x v="3"/>
    <n v="74386"/>
    <s v="RENT"/>
    <n v="0.19"/>
    <n v="0.77"/>
    <n v="32799.35"/>
    <n v="0"/>
    <n v="37"/>
    <n v="-2088.3499999999985"/>
    <s v="Loss"/>
  </r>
  <r>
    <s v="L0091"/>
    <x v="88"/>
    <s v="B0091"/>
    <s v="OH"/>
    <n v="5806"/>
    <n v="24.3"/>
    <n v="36"/>
    <x v="3"/>
    <x v="6"/>
    <x v="0"/>
    <n v="93972"/>
    <s v="RENT"/>
    <n v="0.18"/>
    <n v="0.59"/>
    <n v="2191.11"/>
    <n v="417.13"/>
    <n v="32"/>
    <n v="3614.89"/>
    <s v="Profit"/>
  </r>
  <r>
    <s v="L0092"/>
    <x v="89"/>
    <s v="B0092"/>
    <s v="MI"/>
    <n v="13182"/>
    <n v="14.8"/>
    <n v="60"/>
    <x v="1"/>
    <x v="4"/>
    <x v="3"/>
    <n v="119791"/>
    <s v="MORTGAGE"/>
    <n v="0.44"/>
    <n v="0.9"/>
    <n v="3017.58"/>
    <n v="0"/>
    <n v="27"/>
    <n v="10164.42"/>
    <s v="Profit"/>
  </r>
  <r>
    <s v="L0093"/>
    <x v="90"/>
    <s v="B0093"/>
    <s v="PA"/>
    <n v="23297"/>
    <n v="8"/>
    <n v="60"/>
    <x v="0"/>
    <x v="0"/>
    <x v="3"/>
    <n v="71003"/>
    <s v="MORTGAGE"/>
    <n v="0.43"/>
    <n v="0.55000000000000004"/>
    <n v="25160.76"/>
    <n v="0"/>
    <n v="27"/>
    <n v="-1863.7599999999984"/>
    <s v="Loss"/>
  </r>
  <r>
    <s v="L0094"/>
    <x v="91"/>
    <s v="B0094"/>
    <s v="PA"/>
    <n v="20541"/>
    <n v="11.8"/>
    <n v="36"/>
    <x v="0"/>
    <x v="5"/>
    <x v="2"/>
    <n v="49996"/>
    <s v="RENT"/>
    <n v="0.28000000000000003"/>
    <n v="0.5"/>
    <n v="22964.84"/>
    <n v="0"/>
    <n v="46"/>
    <n v="-2423.84"/>
    <s v="Loss"/>
  </r>
  <r>
    <s v="L0095"/>
    <x v="92"/>
    <s v="B0095"/>
    <s v="PA"/>
    <n v="29921"/>
    <n v="13.3"/>
    <n v="60"/>
    <x v="0"/>
    <x v="0"/>
    <x v="2"/>
    <n v="130922"/>
    <s v="OWN"/>
    <n v="0.15"/>
    <n v="0.73"/>
    <n v="33900.49"/>
    <n v="0"/>
    <n v="49"/>
    <n v="-3979.489999999998"/>
    <s v="Loss"/>
  </r>
  <r>
    <s v="L0096"/>
    <x v="93"/>
    <s v="B0096"/>
    <s v="PA"/>
    <n v="17774"/>
    <n v="20.2"/>
    <n v="36"/>
    <x v="0"/>
    <x v="0"/>
    <x v="4"/>
    <n v="116598"/>
    <s v="OWN"/>
    <n v="0.25"/>
    <n v="0.76"/>
    <n v="21364.35"/>
    <n v="0"/>
    <n v="36"/>
    <n v="-3590.3499999999985"/>
    <s v="Loss"/>
  </r>
  <r>
    <s v="L0097"/>
    <x v="94"/>
    <s v="B0097"/>
    <s v="MI"/>
    <n v="38198"/>
    <n v="19.899999999999999"/>
    <n v="36"/>
    <x v="0"/>
    <x v="4"/>
    <x v="1"/>
    <n v="65931"/>
    <s v="MORTGAGE"/>
    <n v="0.35"/>
    <n v="0.76"/>
    <n v="45799.4"/>
    <n v="0"/>
    <n v="59"/>
    <n v="-7601.4000000000015"/>
    <s v="Loss"/>
  </r>
  <r>
    <s v="L0098"/>
    <x v="95"/>
    <s v="B0098"/>
    <s v="OH"/>
    <n v="9820"/>
    <n v="17.2"/>
    <n v="36"/>
    <x v="0"/>
    <x v="4"/>
    <x v="0"/>
    <n v="65710"/>
    <s v="RENT"/>
    <n v="0.28000000000000003"/>
    <n v="0.52"/>
    <n v="11509.04"/>
    <n v="0"/>
    <n v="40"/>
    <n v="-1689.0400000000009"/>
    <s v="Loss"/>
  </r>
  <r>
    <s v="L0099"/>
    <x v="96"/>
    <s v="B0099"/>
    <s v="NY"/>
    <n v="25070"/>
    <n v="7.1"/>
    <n v="36"/>
    <x v="0"/>
    <x v="4"/>
    <x v="2"/>
    <n v="64693"/>
    <s v="RENT"/>
    <n v="0.41"/>
    <n v="0.64"/>
    <n v="26849.97"/>
    <n v="0"/>
    <n v="38"/>
    <n v="-1779.9700000000012"/>
    <s v="Loss"/>
  </r>
  <r>
    <s v="L0100"/>
    <x v="97"/>
    <s v="B0100"/>
    <s v="PA"/>
    <n v="5232"/>
    <n v="8"/>
    <n v="36"/>
    <x v="0"/>
    <x v="5"/>
    <x v="0"/>
    <n v="65740"/>
    <s v="RENT"/>
    <n v="0.5"/>
    <n v="0.72"/>
    <n v="5650.56"/>
    <n v="0"/>
    <n v="31"/>
    <n v="-418.5600000000004"/>
    <s v="Loss"/>
  </r>
  <r>
    <s v="L0101"/>
    <x v="98"/>
    <s v="B0101"/>
    <s v="NY"/>
    <n v="12122"/>
    <n v="6.9"/>
    <n v="60"/>
    <x v="0"/>
    <x v="0"/>
    <x v="3"/>
    <n v="107241"/>
    <s v="OWN"/>
    <n v="0.18"/>
    <n v="0.6"/>
    <n v="12958.42"/>
    <n v="0"/>
    <n v="42"/>
    <n v="-836.42000000000007"/>
    <s v="Loss"/>
  </r>
  <r>
    <s v="L0102"/>
    <x v="99"/>
    <s v="B0102"/>
    <s v="OH"/>
    <n v="16023"/>
    <n v="16.5"/>
    <n v="36"/>
    <x v="0"/>
    <x v="0"/>
    <x v="1"/>
    <n v="138944"/>
    <s v="OWN"/>
    <n v="0.28000000000000003"/>
    <n v="0.89"/>
    <n v="18666.8"/>
    <n v="0"/>
    <n v="41"/>
    <n v="-2643.7999999999993"/>
    <s v="Loss"/>
  </r>
  <r>
    <s v="L0103"/>
    <x v="100"/>
    <s v="B0103"/>
    <s v="OH"/>
    <n v="9007"/>
    <n v="22.5"/>
    <n v="36"/>
    <x v="1"/>
    <x v="1"/>
    <x v="4"/>
    <n v="123583"/>
    <s v="RENT"/>
    <n v="0.27"/>
    <n v="0.54"/>
    <n v="2983.25"/>
    <n v="0"/>
    <n v="28"/>
    <n v="6023.75"/>
    <s v="Profit"/>
  </r>
  <r>
    <s v="L0104"/>
    <x v="91"/>
    <s v="B0104"/>
    <s v="GA"/>
    <n v="18905"/>
    <n v="13.7"/>
    <n v="60"/>
    <x v="0"/>
    <x v="0"/>
    <x v="0"/>
    <n v="106502"/>
    <s v="RENT"/>
    <n v="0.22"/>
    <n v="0.72"/>
    <n v="21494.98"/>
    <n v="0"/>
    <n v="46"/>
    <n v="-2589.9799999999996"/>
    <s v="Loss"/>
  </r>
  <r>
    <s v="L0105"/>
    <x v="101"/>
    <s v="B0105"/>
    <s v="TX"/>
    <n v="30398"/>
    <n v="8.1999999999999993"/>
    <n v="60"/>
    <x v="0"/>
    <x v="1"/>
    <x v="1"/>
    <n v="47374"/>
    <s v="MORTGAGE"/>
    <n v="0.18"/>
    <n v="0.81"/>
    <n v="32890.639999999999"/>
    <n v="0"/>
    <n v="37"/>
    <n v="-2492.6399999999994"/>
    <s v="Loss"/>
  </r>
  <r>
    <s v="L0106"/>
    <x v="102"/>
    <s v="B0106"/>
    <s v="NC"/>
    <n v="35268"/>
    <n v="16.2"/>
    <n v="36"/>
    <x v="1"/>
    <x v="0"/>
    <x v="4"/>
    <n v="106674"/>
    <s v="MORTGAGE"/>
    <n v="0.13"/>
    <n v="0.62"/>
    <n v="14139.59"/>
    <n v="0"/>
    <n v="49"/>
    <n v="21128.41"/>
    <s v="Profit"/>
  </r>
  <r>
    <s v="L0107"/>
    <x v="103"/>
    <s v="B0107"/>
    <s v="IL"/>
    <n v="7737"/>
    <n v="21.2"/>
    <n v="60"/>
    <x v="3"/>
    <x v="4"/>
    <x v="0"/>
    <n v="146500"/>
    <s v="RENT"/>
    <n v="0.45"/>
    <n v="0.78"/>
    <n v="2593.27"/>
    <n v="2439.15"/>
    <n v="33"/>
    <n v="5143.7299999999996"/>
    <s v="Profit"/>
  </r>
  <r>
    <s v="L0108"/>
    <x v="104"/>
    <s v="B0108"/>
    <s v="NC"/>
    <n v="37062"/>
    <n v="19.8"/>
    <n v="60"/>
    <x v="3"/>
    <x v="0"/>
    <x v="1"/>
    <n v="111471"/>
    <s v="RENT"/>
    <n v="0.27"/>
    <n v="0.87"/>
    <n v="9479.8700000000008"/>
    <n v="13222.79"/>
    <n v="36"/>
    <n v="27582.129999999997"/>
    <s v="Profit"/>
  </r>
  <r>
    <s v="L0109"/>
    <x v="105"/>
    <s v="B0109"/>
    <s v="MI"/>
    <n v="26510"/>
    <n v="22.6"/>
    <n v="36"/>
    <x v="1"/>
    <x v="0"/>
    <x v="2"/>
    <n v="75913"/>
    <s v="OWN"/>
    <n v="0.3"/>
    <n v="0.59"/>
    <n v="11560.44"/>
    <n v="0"/>
    <n v="49"/>
    <n v="14949.56"/>
    <s v="Profit"/>
  </r>
  <r>
    <s v="L0110"/>
    <x v="106"/>
    <s v="B0110"/>
    <s v="IL"/>
    <n v="20426"/>
    <n v="10.6"/>
    <n v="36"/>
    <x v="0"/>
    <x v="5"/>
    <x v="0"/>
    <n v="96025"/>
    <s v="RENT"/>
    <n v="0.47"/>
    <n v="0.91"/>
    <n v="22591.16"/>
    <n v="0"/>
    <n v="55"/>
    <n v="-2165.16"/>
    <s v="Loss"/>
  </r>
  <r>
    <s v="L0111"/>
    <x v="107"/>
    <s v="B0111"/>
    <s v="OH"/>
    <n v="38265"/>
    <n v="8.9"/>
    <n v="60"/>
    <x v="1"/>
    <x v="2"/>
    <x v="1"/>
    <n v="74516"/>
    <s v="MORTGAGE"/>
    <n v="0.41"/>
    <n v="0.75"/>
    <n v="8652.49"/>
    <n v="0"/>
    <n v="28"/>
    <n v="29612.510000000002"/>
    <s v="Profit"/>
  </r>
  <r>
    <s v="L0112"/>
    <x v="108"/>
    <s v="B0112"/>
    <s v="NC"/>
    <n v="18850"/>
    <n v="22.6"/>
    <n v="36"/>
    <x v="1"/>
    <x v="0"/>
    <x v="4"/>
    <n v="117796"/>
    <s v="OWN"/>
    <n v="0.15"/>
    <n v="0.63"/>
    <n v="8480.84"/>
    <n v="0"/>
    <n v="33"/>
    <n v="10369.16"/>
    <s v="Profit"/>
  </r>
  <r>
    <s v="L0113"/>
    <x v="109"/>
    <s v="B0113"/>
    <s v="FL"/>
    <n v="1614"/>
    <n v="18.2"/>
    <n v="36"/>
    <x v="0"/>
    <x v="4"/>
    <x v="1"/>
    <n v="56069"/>
    <s v="MORTGAGE"/>
    <n v="0.33"/>
    <n v="0.69"/>
    <n v="1907.75"/>
    <n v="0"/>
    <n v="34"/>
    <n v="-293.75"/>
    <s v="Loss"/>
  </r>
  <r>
    <s v="L0114"/>
    <x v="110"/>
    <s v="B0114"/>
    <s v="TX"/>
    <n v="22776"/>
    <n v="11.2"/>
    <n v="60"/>
    <x v="0"/>
    <x v="1"/>
    <x v="2"/>
    <n v="148333"/>
    <s v="MORTGAGE"/>
    <n v="0.28000000000000003"/>
    <n v="0.64"/>
    <n v="25326.91"/>
    <n v="0"/>
    <n v="38"/>
    <n v="-2550.91"/>
    <s v="Loss"/>
  </r>
  <r>
    <s v="L0115"/>
    <x v="111"/>
    <s v="B0115"/>
    <s v="NC"/>
    <n v="25077"/>
    <n v="19.8"/>
    <n v="36"/>
    <x v="3"/>
    <x v="5"/>
    <x v="0"/>
    <n v="86233"/>
    <s v="OWN"/>
    <n v="0.42"/>
    <n v="0.83"/>
    <n v="4314.95"/>
    <n v="11970.48"/>
    <n v="44"/>
    <n v="20762.05"/>
    <s v="Profit"/>
  </r>
  <r>
    <s v="L0116"/>
    <x v="112"/>
    <s v="B0116"/>
    <s v="TX"/>
    <n v="10374"/>
    <n v="21.3"/>
    <n v="36"/>
    <x v="0"/>
    <x v="6"/>
    <x v="0"/>
    <n v="114811"/>
    <s v="MORTGAGE"/>
    <n v="0.39"/>
    <n v="0.86"/>
    <n v="12583.66"/>
    <n v="0"/>
    <n v="29"/>
    <n v="-2209.66"/>
    <s v="Loss"/>
  </r>
  <r>
    <s v="L0117"/>
    <x v="113"/>
    <s v="B0117"/>
    <s v="NY"/>
    <n v="36435"/>
    <n v="17.3"/>
    <n v="36"/>
    <x v="0"/>
    <x v="0"/>
    <x v="0"/>
    <n v="89049"/>
    <s v="RENT"/>
    <n v="0.38"/>
    <n v="0.87"/>
    <n v="42738.26"/>
    <n v="0"/>
    <n v="59"/>
    <n v="-6303.260000000002"/>
    <s v="Loss"/>
  </r>
  <r>
    <s v="L0118"/>
    <x v="114"/>
    <s v="B0118"/>
    <s v="MI"/>
    <n v="31907"/>
    <n v="18.8"/>
    <n v="36"/>
    <x v="0"/>
    <x v="2"/>
    <x v="2"/>
    <n v="131820"/>
    <s v="MORTGAGE"/>
    <n v="0.24"/>
    <n v="0.94"/>
    <n v="37905.519999999997"/>
    <n v="0"/>
    <n v="46"/>
    <n v="-5998.5199999999968"/>
    <s v="Loss"/>
  </r>
  <r>
    <s v="L0119"/>
    <x v="81"/>
    <s v="B0119"/>
    <s v="TX"/>
    <n v="14409"/>
    <n v="12.5"/>
    <n v="36"/>
    <x v="0"/>
    <x v="4"/>
    <x v="4"/>
    <n v="148028"/>
    <s v="OWN"/>
    <n v="0.42"/>
    <n v="0.86"/>
    <n v="16210.12"/>
    <n v="0"/>
    <n v="55"/>
    <n v="-1801.1200000000008"/>
    <s v="Loss"/>
  </r>
  <r>
    <s v="L0120"/>
    <x v="115"/>
    <s v="B0120"/>
    <s v="NY"/>
    <n v="17514"/>
    <n v="15.8"/>
    <n v="60"/>
    <x v="0"/>
    <x v="4"/>
    <x v="0"/>
    <n v="69178"/>
    <s v="OWN"/>
    <n v="0.12"/>
    <n v="0.77"/>
    <n v="20281.21"/>
    <n v="0"/>
    <n v="38"/>
    <n v="-2767.2099999999991"/>
    <s v="Loss"/>
  </r>
  <r>
    <s v="L0121"/>
    <x v="116"/>
    <s v="B0121"/>
    <s v="PA"/>
    <n v="30866"/>
    <n v="15.5"/>
    <n v="60"/>
    <x v="1"/>
    <x v="6"/>
    <x v="4"/>
    <n v="62821"/>
    <s v="OWN"/>
    <n v="0.16"/>
    <n v="0.65"/>
    <n v="5435.42"/>
    <n v="0"/>
    <n v="44"/>
    <n v="25430.58"/>
    <s v="Profit"/>
  </r>
  <r>
    <s v="L0122"/>
    <x v="117"/>
    <s v="B0122"/>
    <s v="NY"/>
    <n v="3983"/>
    <n v="22"/>
    <n v="36"/>
    <x v="1"/>
    <x v="5"/>
    <x v="1"/>
    <n v="81727"/>
    <s v="MORTGAGE"/>
    <n v="0.23"/>
    <n v="0.75"/>
    <n v="294.36"/>
    <n v="0"/>
    <n v="27"/>
    <n v="3688.64"/>
    <s v="Profit"/>
  </r>
  <r>
    <s v="L0123"/>
    <x v="118"/>
    <s v="B0123"/>
    <s v="MI"/>
    <n v="32705"/>
    <n v="21.8"/>
    <n v="60"/>
    <x v="0"/>
    <x v="5"/>
    <x v="4"/>
    <n v="90935"/>
    <s v="RENT"/>
    <n v="0.13"/>
    <n v="0.52"/>
    <n v="39834.69"/>
    <n v="0"/>
    <n v="45"/>
    <n v="-7129.6900000000023"/>
    <s v="Loss"/>
  </r>
  <r>
    <s v="L0124"/>
    <x v="119"/>
    <s v="B0124"/>
    <s v="GA"/>
    <n v="21662"/>
    <n v="21.7"/>
    <n v="36"/>
    <x v="3"/>
    <x v="1"/>
    <x v="4"/>
    <n v="46999"/>
    <s v="OWN"/>
    <n v="0.19"/>
    <n v="0.84"/>
    <n v="7336.37"/>
    <n v="1820.32"/>
    <n v="43"/>
    <n v="14325.630000000001"/>
    <s v="Profit"/>
  </r>
  <r>
    <s v="L0125"/>
    <x v="120"/>
    <s v="B0125"/>
    <s v="PA"/>
    <n v="24510"/>
    <n v="5.2"/>
    <n v="36"/>
    <x v="0"/>
    <x v="5"/>
    <x v="0"/>
    <n v="92522"/>
    <s v="RENT"/>
    <n v="0.43"/>
    <n v="0.7"/>
    <n v="25784.52"/>
    <n v="0"/>
    <n v="40"/>
    <n v="-1274.5200000000004"/>
    <s v="Loss"/>
  </r>
  <r>
    <s v="L0126"/>
    <x v="121"/>
    <s v="B0126"/>
    <s v="OH"/>
    <n v="13651"/>
    <n v="20"/>
    <n v="36"/>
    <x v="0"/>
    <x v="0"/>
    <x v="3"/>
    <n v="68712"/>
    <s v="OWN"/>
    <n v="0.48"/>
    <n v="0.51"/>
    <n v="16381.2"/>
    <n v="0"/>
    <n v="44"/>
    <n v="-2730.2000000000007"/>
    <s v="Loss"/>
  </r>
  <r>
    <s v="L0127"/>
    <x v="122"/>
    <s v="B0127"/>
    <s v="CA"/>
    <n v="29535"/>
    <n v="20.2"/>
    <n v="36"/>
    <x v="1"/>
    <x v="1"/>
    <x v="3"/>
    <n v="94551"/>
    <s v="RENT"/>
    <n v="0.22"/>
    <n v="0.53"/>
    <n v="7019.73"/>
    <n v="0"/>
    <n v="29"/>
    <n v="22515.27"/>
    <s v="Profit"/>
  </r>
  <r>
    <s v="L0128"/>
    <x v="123"/>
    <s v="B0128"/>
    <s v="NY"/>
    <n v="7640"/>
    <n v="18.600000000000001"/>
    <n v="36"/>
    <x v="1"/>
    <x v="0"/>
    <x v="2"/>
    <n v="70172"/>
    <s v="RENT"/>
    <n v="0.21"/>
    <n v="0.67"/>
    <n v="1169.7"/>
    <n v="0"/>
    <n v="41"/>
    <n v="6470.3"/>
    <s v="Profit"/>
  </r>
  <r>
    <s v="L0129"/>
    <x v="124"/>
    <s v="B0129"/>
    <s v="NY"/>
    <n v="16317"/>
    <n v="20.100000000000001"/>
    <n v="60"/>
    <x v="1"/>
    <x v="6"/>
    <x v="2"/>
    <n v="63722"/>
    <s v="RENT"/>
    <n v="0.21"/>
    <n v="0.76"/>
    <n v="2517.8000000000002"/>
    <n v="0"/>
    <n v="36"/>
    <n v="13799.2"/>
    <s v="Profit"/>
  </r>
  <r>
    <s v="L0130"/>
    <x v="84"/>
    <s v="B0130"/>
    <s v="TX"/>
    <n v="8564"/>
    <n v="21.8"/>
    <n v="60"/>
    <x v="3"/>
    <x v="3"/>
    <x v="3"/>
    <n v="40625"/>
    <s v="OWN"/>
    <n v="0.21"/>
    <n v="0.71"/>
    <n v="3172.28"/>
    <n v="2148.21"/>
    <n v="28"/>
    <n v="5391.7199999999993"/>
    <s v="Profit"/>
  </r>
  <r>
    <s v="L0131"/>
    <x v="24"/>
    <s v="B0131"/>
    <s v="OH"/>
    <n v="28345"/>
    <n v="14.4"/>
    <n v="36"/>
    <x v="1"/>
    <x v="4"/>
    <x v="1"/>
    <n v="97165"/>
    <s v="MORTGAGE"/>
    <n v="0.11"/>
    <n v="0.78"/>
    <n v="12054.06"/>
    <n v="0"/>
    <n v="56"/>
    <n v="16290.94"/>
    <s v="Profit"/>
  </r>
  <r>
    <s v="L0132"/>
    <x v="125"/>
    <s v="B0132"/>
    <s v="NC"/>
    <n v="29687"/>
    <n v="15"/>
    <n v="60"/>
    <x v="3"/>
    <x v="4"/>
    <x v="0"/>
    <n v="106509"/>
    <s v="MORTGAGE"/>
    <n v="0.47"/>
    <n v="0.72"/>
    <n v="7898.5"/>
    <n v="6839.85"/>
    <n v="41"/>
    <n v="21788.5"/>
    <s v="Profit"/>
  </r>
  <r>
    <s v="L0133"/>
    <x v="126"/>
    <s v="B0133"/>
    <s v="FL"/>
    <n v="14737"/>
    <n v="7.5"/>
    <n v="36"/>
    <x v="0"/>
    <x v="0"/>
    <x v="0"/>
    <n v="36859"/>
    <s v="MORTGAGE"/>
    <n v="0.19"/>
    <n v="0.8"/>
    <n v="15842.28"/>
    <n v="0"/>
    <n v="42"/>
    <n v="-1105.2800000000007"/>
    <s v="Loss"/>
  </r>
  <r>
    <s v="L0134"/>
    <x v="127"/>
    <s v="B0134"/>
    <s v="IL"/>
    <n v="10323"/>
    <n v="12.7"/>
    <n v="60"/>
    <x v="1"/>
    <x v="0"/>
    <x v="1"/>
    <n v="71609"/>
    <s v="RENT"/>
    <n v="0.27"/>
    <n v="0.6"/>
    <n v="3378.2"/>
    <n v="0"/>
    <n v="30"/>
    <n v="6944.8"/>
    <s v="Profit"/>
  </r>
  <r>
    <s v="L0135"/>
    <x v="128"/>
    <s v="B0135"/>
    <s v="NY"/>
    <n v="16229"/>
    <n v="17.899999999999999"/>
    <n v="36"/>
    <x v="4"/>
    <x v="2"/>
    <x v="1"/>
    <n v="73307"/>
    <s v="OWN"/>
    <n v="0.1"/>
    <n v="0.55000000000000004"/>
    <n v="0"/>
    <n v="0"/>
    <n v="39"/>
    <n v="16229"/>
    <s v="Profit"/>
  </r>
  <r>
    <s v="L0136"/>
    <x v="129"/>
    <s v="B0136"/>
    <s v="NC"/>
    <n v="9502"/>
    <n v="20.6"/>
    <n v="60"/>
    <x v="1"/>
    <x v="0"/>
    <x v="3"/>
    <n v="140986"/>
    <s v="RENT"/>
    <n v="0.44"/>
    <n v="0.77"/>
    <n v="2503.27"/>
    <n v="0"/>
    <n v="41"/>
    <n v="6998.73"/>
    <s v="Profit"/>
  </r>
  <r>
    <s v="L0137"/>
    <x v="130"/>
    <s v="B0137"/>
    <s v="FL"/>
    <n v="1545"/>
    <n v="9.3000000000000007"/>
    <n v="36"/>
    <x v="0"/>
    <x v="4"/>
    <x v="2"/>
    <n v="131582"/>
    <s v="OWN"/>
    <n v="0.39"/>
    <n v="0.72"/>
    <n v="1688.68"/>
    <n v="0"/>
    <n v="52"/>
    <n v="-143.68000000000006"/>
    <s v="Loss"/>
  </r>
  <r>
    <s v="L0138"/>
    <x v="95"/>
    <s v="B0138"/>
    <s v="IL"/>
    <n v="38114"/>
    <n v="7.8"/>
    <n v="36"/>
    <x v="0"/>
    <x v="6"/>
    <x v="1"/>
    <n v="51839"/>
    <s v="RENT"/>
    <n v="0.48"/>
    <n v="0.51"/>
    <n v="41086.89"/>
    <n v="0"/>
    <n v="40"/>
    <n v="-2972.8899999999994"/>
    <s v="Loss"/>
  </r>
  <r>
    <s v="L0139"/>
    <x v="131"/>
    <s v="B0139"/>
    <s v="CA"/>
    <n v="30430"/>
    <n v="18.3"/>
    <n v="60"/>
    <x v="1"/>
    <x v="2"/>
    <x v="2"/>
    <n v="57216"/>
    <s v="OWN"/>
    <n v="0.41"/>
    <n v="0.67"/>
    <n v="6884.79"/>
    <n v="0"/>
    <n v="40"/>
    <n v="23545.21"/>
    <s v="Profit"/>
  </r>
  <r>
    <s v="L0140"/>
    <x v="132"/>
    <s v="B0140"/>
    <s v="TX"/>
    <n v="10996"/>
    <n v="5"/>
    <n v="60"/>
    <x v="0"/>
    <x v="5"/>
    <x v="4"/>
    <n v="82953"/>
    <s v="OWN"/>
    <n v="0.23"/>
    <n v="0.55000000000000004"/>
    <n v="11545.8"/>
    <n v="0"/>
    <n v="48"/>
    <n v="-549.79999999999927"/>
    <s v="Loss"/>
  </r>
  <r>
    <s v="L0141"/>
    <x v="111"/>
    <s v="B0141"/>
    <s v="NC"/>
    <n v="28788"/>
    <n v="8.6"/>
    <n v="36"/>
    <x v="2"/>
    <x v="5"/>
    <x v="0"/>
    <n v="114481"/>
    <s v="OWN"/>
    <n v="0.2"/>
    <n v="0.74"/>
    <n v="0"/>
    <n v="0"/>
    <n v="44"/>
    <n v="28788"/>
    <s v="Profit"/>
  </r>
  <r>
    <s v="L0142"/>
    <x v="133"/>
    <s v="B0142"/>
    <s v="TX"/>
    <n v="30969"/>
    <n v="5.6"/>
    <n v="60"/>
    <x v="0"/>
    <x v="1"/>
    <x v="3"/>
    <n v="90593"/>
    <s v="RENT"/>
    <n v="0.38"/>
    <n v="0.68"/>
    <n v="32703.26"/>
    <n v="0"/>
    <n v="31"/>
    <n v="-1734.2599999999984"/>
    <s v="Loss"/>
  </r>
  <r>
    <s v="L0143"/>
    <x v="134"/>
    <s v="B0143"/>
    <s v="IL"/>
    <n v="14919"/>
    <n v="8.3000000000000007"/>
    <n v="36"/>
    <x v="0"/>
    <x v="3"/>
    <x v="0"/>
    <n v="102075"/>
    <s v="MORTGAGE"/>
    <n v="0.25"/>
    <n v="0.78"/>
    <n v="16157.28"/>
    <n v="0"/>
    <n v="39"/>
    <n v="-1238.2800000000007"/>
    <s v="Loss"/>
  </r>
  <r>
    <s v="L0144"/>
    <x v="135"/>
    <s v="B0144"/>
    <s v="GA"/>
    <n v="4810"/>
    <n v="8.6"/>
    <n v="60"/>
    <x v="3"/>
    <x v="5"/>
    <x v="3"/>
    <n v="79522"/>
    <s v="RENT"/>
    <n v="0.33"/>
    <n v="0.86"/>
    <n v="1802.03"/>
    <n v="798.06"/>
    <n v="58"/>
    <n v="3007.9700000000003"/>
    <s v="Profit"/>
  </r>
  <r>
    <s v="L0145"/>
    <x v="136"/>
    <s v="B0145"/>
    <s v="NY"/>
    <n v="31586"/>
    <n v="12.8"/>
    <n v="60"/>
    <x v="0"/>
    <x v="5"/>
    <x v="4"/>
    <n v="129161"/>
    <s v="RENT"/>
    <n v="0.1"/>
    <n v="0.63"/>
    <n v="35629.01"/>
    <n v="0"/>
    <n v="62"/>
    <n v="-4043.010000000002"/>
    <s v="Loss"/>
  </r>
  <r>
    <s v="L0146"/>
    <x v="137"/>
    <s v="B0146"/>
    <s v="PA"/>
    <n v="17371"/>
    <n v="13"/>
    <n v="36"/>
    <x v="0"/>
    <x v="0"/>
    <x v="0"/>
    <n v="34886"/>
    <s v="OWN"/>
    <n v="0.12"/>
    <n v="0.93"/>
    <n v="19629.23"/>
    <n v="0"/>
    <n v="41"/>
    <n v="-2258.2299999999996"/>
    <s v="Loss"/>
  </r>
  <r>
    <s v="L0147"/>
    <x v="138"/>
    <s v="B0147"/>
    <s v="FL"/>
    <n v="30629"/>
    <n v="22.5"/>
    <n v="60"/>
    <x v="1"/>
    <x v="0"/>
    <x v="4"/>
    <n v="141249"/>
    <s v="OWN"/>
    <n v="0.31"/>
    <n v="0.74"/>
    <n v="3262.78"/>
    <n v="0"/>
    <n v="55"/>
    <n v="27366.22"/>
    <s v="Profit"/>
  </r>
  <r>
    <s v="L0148"/>
    <x v="139"/>
    <s v="B0148"/>
    <s v="OH"/>
    <n v="9436"/>
    <n v="15.2"/>
    <n v="60"/>
    <x v="1"/>
    <x v="5"/>
    <x v="3"/>
    <n v="37485"/>
    <s v="MORTGAGE"/>
    <n v="0.33"/>
    <n v="0.78"/>
    <n v="2248.61"/>
    <n v="0"/>
    <n v="34"/>
    <n v="7187.3899999999994"/>
    <s v="Profit"/>
  </r>
  <r>
    <s v="L0149"/>
    <x v="140"/>
    <s v="B0149"/>
    <s v="MI"/>
    <n v="13984"/>
    <n v="19.5"/>
    <n v="36"/>
    <x v="0"/>
    <x v="2"/>
    <x v="1"/>
    <n v="61455"/>
    <s v="MORTGAGE"/>
    <n v="0.4"/>
    <n v="0.81"/>
    <n v="16710.88"/>
    <n v="0"/>
    <n v="50"/>
    <n v="-2726.880000000001"/>
    <s v="Loss"/>
  </r>
  <r>
    <s v="L0150"/>
    <x v="63"/>
    <s v="B0150"/>
    <s v="NY"/>
    <n v="34039"/>
    <n v="7.1"/>
    <n v="60"/>
    <x v="2"/>
    <x v="6"/>
    <x v="0"/>
    <n v="141984"/>
    <s v="OWN"/>
    <n v="0.15"/>
    <n v="0.8"/>
    <n v="0"/>
    <n v="0"/>
    <n v="27"/>
    <n v="34039"/>
    <s v="Profit"/>
  </r>
  <r>
    <s v="L0151"/>
    <x v="51"/>
    <s v="B0151"/>
    <s v="PA"/>
    <n v="20895"/>
    <n v="9.5"/>
    <n v="36"/>
    <x v="0"/>
    <x v="3"/>
    <x v="4"/>
    <n v="46767"/>
    <s v="MORTGAGE"/>
    <n v="0.31"/>
    <n v="0.73"/>
    <n v="22880.02"/>
    <n v="0"/>
    <n v="38"/>
    <n v="-1985.0200000000004"/>
    <s v="Loss"/>
  </r>
  <r>
    <s v="L0152"/>
    <x v="141"/>
    <s v="B0152"/>
    <s v="MI"/>
    <n v="19155"/>
    <n v="19.100000000000001"/>
    <n v="36"/>
    <x v="1"/>
    <x v="5"/>
    <x v="0"/>
    <n v="142701"/>
    <s v="MORTGAGE"/>
    <n v="0.18"/>
    <n v="0.69"/>
    <n v="3927.79"/>
    <n v="0"/>
    <n v="54"/>
    <n v="15227.21"/>
    <s v="Profit"/>
  </r>
  <r>
    <s v="L0153"/>
    <x v="142"/>
    <s v="B0153"/>
    <s v="NC"/>
    <n v="11616"/>
    <n v="6.1"/>
    <n v="36"/>
    <x v="0"/>
    <x v="6"/>
    <x v="0"/>
    <n v="58453"/>
    <s v="OWN"/>
    <n v="0.14000000000000001"/>
    <n v="0.52"/>
    <n v="12324.58"/>
    <n v="0"/>
    <n v="35"/>
    <n v="-708.57999999999993"/>
    <s v="Loss"/>
  </r>
  <r>
    <s v="L0154"/>
    <x v="143"/>
    <s v="B0154"/>
    <s v="MI"/>
    <n v="38129"/>
    <n v="14.7"/>
    <n v="36"/>
    <x v="1"/>
    <x v="6"/>
    <x v="0"/>
    <n v="106280"/>
    <s v="RENT"/>
    <n v="0.26"/>
    <n v="0.51"/>
    <n v="10453.74"/>
    <n v="0"/>
    <n v="55"/>
    <n v="27675.260000000002"/>
    <s v="Profit"/>
  </r>
  <r>
    <s v="L0155"/>
    <x v="144"/>
    <s v="B0155"/>
    <s v="CA"/>
    <n v="25574"/>
    <n v="17"/>
    <n v="36"/>
    <x v="0"/>
    <x v="1"/>
    <x v="2"/>
    <n v="132638"/>
    <s v="MORTGAGE"/>
    <n v="0.17"/>
    <n v="0.66"/>
    <n v="29921.58"/>
    <n v="0"/>
    <n v="58"/>
    <n v="-4347.5800000000017"/>
    <s v="Loss"/>
  </r>
  <r>
    <s v="L0156"/>
    <x v="145"/>
    <s v="B0156"/>
    <s v="NY"/>
    <n v="4430"/>
    <n v="17"/>
    <n v="60"/>
    <x v="0"/>
    <x v="4"/>
    <x v="4"/>
    <n v="83442"/>
    <s v="OWN"/>
    <n v="0.19"/>
    <n v="0.65"/>
    <n v="5183.1000000000004"/>
    <n v="0"/>
    <n v="49"/>
    <n v="-753.10000000000036"/>
    <s v="Loss"/>
  </r>
  <r>
    <s v="L0157"/>
    <x v="101"/>
    <s v="B0157"/>
    <s v="TX"/>
    <n v="13676"/>
    <n v="5.5"/>
    <n v="36"/>
    <x v="0"/>
    <x v="5"/>
    <x v="4"/>
    <n v="81877"/>
    <s v="MORTGAGE"/>
    <n v="0.23"/>
    <n v="0.67"/>
    <n v="14428.18"/>
    <n v="0"/>
    <n v="37"/>
    <n v="-752.18000000000029"/>
    <s v="Loss"/>
  </r>
  <r>
    <s v="L0158"/>
    <x v="146"/>
    <s v="B0158"/>
    <s v="GA"/>
    <n v="11816"/>
    <n v="11.4"/>
    <n v="36"/>
    <x v="1"/>
    <x v="6"/>
    <x v="0"/>
    <n v="42226"/>
    <s v="MORTGAGE"/>
    <n v="0.2"/>
    <n v="0.56000000000000005"/>
    <n v="3024.12"/>
    <n v="0"/>
    <n v="52"/>
    <n v="8791.880000000001"/>
    <s v="Profit"/>
  </r>
  <r>
    <s v="L0159"/>
    <x v="147"/>
    <s v="B0159"/>
    <s v="OH"/>
    <n v="33733"/>
    <n v="17.7"/>
    <n v="60"/>
    <x v="0"/>
    <x v="4"/>
    <x v="1"/>
    <n v="123405"/>
    <s v="OWN"/>
    <n v="0.14000000000000001"/>
    <n v="0.83"/>
    <n v="39703.74"/>
    <n v="0"/>
    <n v="53"/>
    <n v="-5970.739999999998"/>
    <s v="Loss"/>
  </r>
  <r>
    <s v="L0160"/>
    <x v="148"/>
    <s v="B0160"/>
    <s v="TX"/>
    <n v="21144"/>
    <n v="8"/>
    <n v="60"/>
    <x v="1"/>
    <x v="2"/>
    <x v="0"/>
    <n v="52588"/>
    <s v="MORTGAGE"/>
    <n v="0.14000000000000001"/>
    <n v="0.89"/>
    <n v="5994.33"/>
    <n v="0"/>
    <n v="33"/>
    <n v="15149.67"/>
    <s v="Profit"/>
  </r>
  <r>
    <s v="L0161"/>
    <x v="149"/>
    <s v="B0161"/>
    <s v="PA"/>
    <n v="3050"/>
    <n v="18.899999999999999"/>
    <n v="60"/>
    <x v="1"/>
    <x v="0"/>
    <x v="2"/>
    <n v="108976"/>
    <s v="MORTGAGE"/>
    <n v="0.18"/>
    <n v="0.92"/>
    <n v="344.54"/>
    <n v="0"/>
    <n v="56"/>
    <n v="2705.46"/>
    <s v="Profit"/>
  </r>
  <r>
    <s v="L0162"/>
    <x v="150"/>
    <s v="B0162"/>
    <s v="NY"/>
    <n v="34933"/>
    <n v="19.899999999999999"/>
    <n v="36"/>
    <x v="0"/>
    <x v="1"/>
    <x v="3"/>
    <n v="61709"/>
    <s v="MORTGAGE"/>
    <n v="0.12"/>
    <n v="0.72"/>
    <n v="41884.67"/>
    <n v="0"/>
    <n v="30"/>
    <n v="-6951.6699999999983"/>
    <s v="Loss"/>
  </r>
  <r>
    <s v="L0163"/>
    <x v="151"/>
    <s v="B0163"/>
    <s v="GA"/>
    <n v="25951"/>
    <n v="24.6"/>
    <n v="36"/>
    <x v="0"/>
    <x v="1"/>
    <x v="2"/>
    <n v="77788"/>
    <s v="RENT"/>
    <n v="0.35"/>
    <n v="0.82"/>
    <n v="32334.95"/>
    <n v="0"/>
    <n v="37"/>
    <n v="-6383.9500000000007"/>
    <s v="Loss"/>
  </r>
  <r>
    <s v="L0164"/>
    <x v="152"/>
    <s v="B0164"/>
    <s v="MI"/>
    <n v="33413"/>
    <n v="9.1999999999999993"/>
    <n v="36"/>
    <x v="0"/>
    <x v="1"/>
    <x v="1"/>
    <n v="118031"/>
    <s v="RENT"/>
    <n v="0.21"/>
    <n v="0.88"/>
    <n v="36487"/>
    <n v="0"/>
    <n v="57"/>
    <n v="-3074"/>
    <s v="Loss"/>
  </r>
  <r>
    <s v="L0165"/>
    <x v="153"/>
    <s v="B0165"/>
    <s v="NY"/>
    <n v="35801"/>
    <n v="21.5"/>
    <n v="60"/>
    <x v="1"/>
    <x v="4"/>
    <x v="0"/>
    <n v="67019"/>
    <s v="MORTGAGE"/>
    <n v="0.21"/>
    <n v="0.69"/>
    <n v="10056.99"/>
    <n v="0"/>
    <n v="42"/>
    <n v="25744.010000000002"/>
    <s v="Profit"/>
  </r>
  <r>
    <s v="L0166"/>
    <x v="154"/>
    <s v="B0166"/>
    <s v="MI"/>
    <n v="33913"/>
    <n v="15.4"/>
    <n v="36"/>
    <x v="0"/>
    <x v="2"/>
    <x v="4"/>
    <n v="74948"/>
    <s v="OWN"/>
    <n v="0.23"/>
    <n v="0.64"/>
    <n v="39135.599999999999"/>
    <n v="0"/>
    <n v="56"/>
    <n v="-5222.5999999999985"/>
    <s v="Loss"/>
  </r>
  <r>
    <s v="L0167"/>
    <x v="155"/>
    <s v="B0167"/>
    <s v="NC"/>
    <n v="26280"/>
    <n v="12.5"/>
    <n v="60"/>
    <x v="0"/>
    <x v="1"/>
    <x v="0"/>
    <n v="95133"/>
    <s v="MORTGAGE"/>
    <n v="0.37"/>
    <n v="0.92"/>
    <n v="29565"/>
    <n v="0"/>
    <n v="47"/>
    <n v="-3285"/>
    <s v="Loss"/>
  </r>
  <r>
    <s v="L0168"/>
    <x v="156"/>
    <s v="B0168"/>
    <s v="CA"/>
    <n v="25557"/>
    <n v="7.4"/>
    <n v="36"/>
    <x v="1"/>
    <x v="4"/>
    <x v="1"/>
    <n v="144444"/>
    <s v="MORTGAGE"/>
    <n v="0.45"/>
    <n v="0.73"/>
    <n v="4065.82"/>
    <n v="0"/>
    <n v="40"/>
    <n v="21491.18"/>
    <s v="Profit"/>
  </r>
  <r>
    <s v="L0169"/>
    <x v="66"/>
    <s v="B0169"/>
    <s v="IL"/>
    <n v="36400"/>
    <n v="19.7"/>
    <n v="60"/>
    <x v="1"/>
    <x v="1"/>
    <x v="4"/>
    <n v="96458"/>
    <s v="RENT"/>
    <n v="0.4"/>
    <n v="0.72"/>
    <n v="4839.3500000000004"/>
    <n v="0"/>
    <n v="37"/>
    <n v="31560.65"/>
    <s v="Profit"/>
  </r>
  <r>
    <s v="L0170"/>
    <x v="157"/>
    <s v="B0170"/>
    <s v="NY"/>
    <n v="5494"/>
    <n v="9.6999999999999993"/>
    <n v="36"/>
    <x v="0"/>
    <x v="4"/>
    <x v="2"/>
    <n v="147603"/>
    <s v="RENT"/>
    <n v="0.39"/>
    <n v="0.57999999999999996"/>
    <n v="6026.92"/>
    <n v="0"/>
    <n v="31"/>
    <n v="-532.92000000000007"/>
    <s v="Loss"/>
  </r>
  <r>
    <s v="L0171"/>
    <x v="158"/>
    <s v="B0171"/>
    <s v="PA"/>
    <n v="16152"/>
    <n v="12.4"/>
    <n v="36"/>
    <x v="0"/>
    <x v="4"/>
    <x v="3"/>
    <n v="57526"/>
    <s v="RENT"/>
    <n v="0.28999999999999998"/>
    <n v="0.55000000000000004"/>
    <n v="18154.849999999999"/>
    <n v="0"/>
    <n v="49"/>
    <n v="-2002.8499999999985"/>
    <s v="Loss"/>
  </r>
  <r>
    <s v="L0172"/>
    <x v="159"/>
    <s v="B0172"/>
    <s v="MI"/>
    <n v="24895"/>
    <n v="6.3"/>
    <n v="36"/>
    <x v="1"/>
    <x v="4"/>
    <x v="3"/>
    <n v="103493"/>
    <s v="MORTGAGE"/>
    <n v="0.38"/>
    <n v="0.88"/>
    <n v="1971.07"/>
    <n v="0"/>
    <n v="57"/>
    <n v="22923.93"/>
    <s v="Profit"/>
  </r>
  <r>
    <s v="L0173"/>
    <x v="109"/>
    <s v="B0173"/>
    <s v="TX"/>
    <n v="10155"/>
    <n v="21"/>
    <n v="60"/>
    <x v="3"/>
    <x v="6"/>
    <x v="0"/>
    <n v="82198"/>
    <s v="MORTGAGE"/>
    <n v="0.32"/>
    <n v="0.78"/>
    <n v="3338.92"/>
    <n v="989.42"/>
    <n v="34"/>
    <n v="6816.08"/>
    <s v="Profit"/>
  </r>
  <r>
    <s v="L0174"/>
    <x v="160"/>
    <s v="B0174"/>
    <s v="NC"/>
    <n v="32883"/>
    <n v="20.3"/>
    <n v="60"/>
    <x v="3"/>
    <x v="5"/>
    <x v="2"/>
    <n v="144100"/>
    <s v="OWN"/>
    <n v="0.19"/>
    <n v="0.65"/>
    <n v="7504.97"/>
    <n v="9677.33"/>
    <n v="46"/>
    <n v="25378.03"/>
    <s v="Profit"/>
  </r>
  <r>
    <s v="L0175"/>
    <x v="161"/>
    <s v="B0175"/>
    <s v="PA"/>
    <n v="2828"/>
    <n v="19.7"/>
    <n v="36"/>
    <x v="1"/>
    <x v="1"/>
    <x v="1"/>
    <n v="129534"/>
    <s v="MORTGAGE"/>
    <n v="0.18"/>
    <n v="0.59"/>
    <n v="938.87"/>
    <n v="0"/>
    <n v="32"/>
    <n v="1889.13"/>
    <s v="Profit"/>
  </r>
  <r>
    <s v="L0176"/>
    <x v="162"/>
    <s v="B0176"/>
    <s v="OH"/>
    <n v="33123"/>
    <n v="11"/>
    <n v="36"/>
    <x v="0"/>
    <x v="4"/>
    <x v="3"/>
    <n v="73395"/>
    <s v="MORTGAGE"/>
    <n v="0.22"/>
    <n v="0.75"/>
    <n v="36766.53"/>
    <n v="0"/>
    <n v="44"/>
    <n v="-3643.5299999999988"/>
    <s v="Loss"/>
  </r>
  <r>
    <s v="L0177"/>
    <x v="61"/>
    <s v="B0177"/>
    <s v="IL"/>
    <n v="38573"/>
    <n v="8.5"/>
    <n v="36"/>
    <x v="0"/>
    <x v="4"/>
    <x v="2"/>
    <n v="54031"/>
    <s v="RENT"/>
    <n v="0.46"/>
    <n v="0.76"/>
    <n v="41851.699999999997"/>
    <n v="0"/>
    <n v="51"/>
    <n v="-3278.6999999999971"/>
    <s v="Loss"/>
  </r>
  <r>
    <s v="L0178"/>
    <x v="6"/>
    <s v="B0178"/>
    <s v="NC"/>
    <n v="1806"/>
    <n v="17.8"/>
    <n v="60"/>
    <x v="0"/>
    <x v="2"/>
    <x v="0"/>
    <n v="105542"/>
    <s v="RENT"/>
    <n v="0.32"/>
    <n v="0.59"/>
    <n v="2127.4699999999998"/>
    <n v="0"/>
    <n v="33"/>
    <n v="-321.4699999999998"/>
    <s v="Loss"/>
  </r>
  <r>
    <s v="L0179"/>
    <x v="163"/>
    <s v="B0179"/>
    <s v="CA"/>
    <n v="30757"/>
    <n v="14.9"/>
    <n v="36"/>
    <x v="0"/>
    <x v="5"/>
    <x v="4"/>
    <n v="67701"/>
    <s v="RENT"/>
    <n v="0.39"/>
    <n v="0.88"/>
    <n v="35339.79"/>
    <n v="0"/>
    <n v="41"/>
    <n v="-4582.7900000000009"/>
    <s v="Loss"/>
  </r>
  <r>
    <s v="L0180"/>
    <x v="164"/>
    <s v="B0180"/>
    <s v="IL"/>
    <n v="35636"/>
    <n v="8.6"/>
    <n v="36"/>
    <x v="1"/>
    <x v="2"/>
    <x v="0"/>
    <n v="142599"/>
    <s v="RENT"/>
    <n v="0.24"/>
    <n v="0.54"/>
    <n v="13449.63"/>
    <n v="0"/>
    <n v="47"/>
    <n v="22186.370000000003"/>
    <s v="Profit"/>
  </r>
  <r>
    <s v="L0181"/>
    <x v="165"/>
    <s v="B0181"/>
    <s v="MI"/>
    <n v="15561"/>
    <n v="18.7"/>
    <n v="36"/>
    <x v="0"/>
    <x v="0"/>
    <x v="0"/>
    <n v="55939"/>
    <s v="RENT"/>
    <n v="0.26"/>
    <n v="0.66"/>
    <n v="18470.91"/>
    <n v="0"/>
    <n v="57"/>
    <n v="-2909.91"/>
    <s v="Loss"/>
  </r>
  <r>
    <s v="L0182"/>
    <x v="166"/>
    <s v="B0182"/>
    <s v="PA"/>
    <n v="25262"/>
    <n v="24.8"/>
    <n v="36"/>
    <x v="0"/>
    <x v="0"/>
    <x v="2"/>
    <n v="79145"/>
    <s v="OWN"/>
    <n v="0.15"/>
    <n v="0.81"/>
    <n v="31526.98"/>
    <n v="0"/>
    <n v="54"/>
    <n v="-6264.98"/>
    <s v="Loss"/>
  </r>
  <r>
    <s v="L0183"/>
    <x v="152"/>
    <s v="B0183"/>
    <s v="OH"/>
    <n v="15899"/>
    <n v="19.899999999999999"/>
    <n v="60"/>
    <x v="4"/>
    <x v="6"/>
    <x v="3"/>
    <n v="50324"/>
    <s v="OWN"/>
    <n v="0.17"/>
    <n v="0.62"/>
    <n v="0"/>
    <n v="0"/>
    <n v="57"/>
    <n v="15899"/>
    <s v="Profit"/>
  </r>
  <r>
    <s v="L0184"/>
    <x v="167"/>
    <s v="B0184"/>
    <s v="FL"/>
    <n v="16934"/>
    <n v="19.8"/>
    <n v="60"/>
    <x v="0"/>
    <x v="1"/>
    <x v="2"/>
    <n v="52867"/>
    <s v="OWN"/>
    <n v="0.43"/>
    <n v="0.87"/>
    <n v="20286.93"/>
    <n v="0"/>
    <n v="51"/>
    <n v="-3352.9300000000003"/>
    <s v="Loss"/>
  </r>
  <r>
    <s v="L0185"/>
    <x v="168"/>
    <s v="B0185"/>
    <s v="CA"/>
    <n v="39197"/>
    <n v="24"/>
    <n v="36"/>
    <x v="0"/>
    <x v="0"/>
    <x v="4"/>
    <n v="30203"/>
    <s v="RENT"/>
    <n v="0.33"/>
    <n v="0.83"/>
    <n v="48604.28"/>
    <n v="0"/>
    <n v="42"/>
    <n v="-9407.2799999999988"/>
    <s v="Loss"/>
  </r>
  <r>
    <s v="L0186"/>
    <x v="58"/>
    <s v="B0186"/>
    <s v="GA"/>
    <n v="37332"/>
    <n v="9.1"/>
    <n v="36"/>
    <x v="0"/>
    <x v="4"/>
    <x v="2"/>
    <n v="46544"/>
    <s v="RENT"/>
    <n v="0.24"/>
    <n v="0.86"/>
    <n v="40729.21"/>
    <n v="0"/>
    <n v="29"/>
    <n v="-3397.2099999999991"/>
    <s v="Loss"/>
  </r>
  <r>
    <s v="L0187"/>
    <x v="169"/>
    <s v="B0187"/>
    <s v="MI"/>
    <n v="35157"/>
    <n v="16.3"/>
    <n v="60"/>
    <x v="1"/>
    <x v="6"/>
    <x v="1"/>
    <n v="45899"/>
    <s v="RENT"/>
    <n v="0.42"/>
    <n v="0.55000000000000004"/>
    <n v="12505.08"/>
    <n v="0"/>
    <n v="33"/>
    <n v="22651.919999999998"/>
    <s v="Profit"/>
  </r>
  <r>
    <s v="L0188"/>
    <x v="136"/>
    <s v="B0188"/>
    <s v="FL"/>
    <n v="12593"/>
    <n v="24.6"/>
    <n v="60"/>
    <x v="1"/>
    <x v="5"/>
    <x v="0"/>
    <n v="59063"/>
    <s v="OWN"/>
    <n v="0.2"/>
    <n v="0.56000000000000005"/>
    <n v="3295.91"/>
    <n v="0"/>
    <n v="62"/>
    <n v="9297.09"/>
    <s v="Profit"/>
  </r>
  <r>
    <s v="L0189"/>
    <x v="170"/>
    <s v="B0189"/>
    <s v="NY"/>
    <n v="18320"/>
    <n v="8.3000000000000007"/>
    <n v="36"/>
    <x v="0"/>
    <x v="1"/>
    <x v="3"/>
    <n v="120880"/>
    <s v="RENT"/>
    <n v="0.49"/>
    <n v="0.63"/>
    <n v="19840.560000000001"/>
    <n v="0"/>
    <n v="33"/>
    <n v="-1520.5600000000013"/>
    <s v="Loss"/>
  </r>
  <r>
    <s v="L0190"/>
    <x v="171"/>
    <s v="B0190"/>
    <s v="OH"/>
    <n v="28376"/>
    <n v="19"/>
    <n v="60"/>
    <x v="0"/>
    <x v="4"/>
    <x v="4"/>
    <n v="33748"/>
    <s v="OWN"/>
    <n v="0.24"/>
    <n v="0.73"/>
    <n v="33767.440000000002"/>
    <n v="0"/>
    <n v="54"/>
    <n v="-5391.4400000000023"/>
    <s v="Loss"/>
  </r>
  <r>
    <s v="L0191"/>
    <x v="172"/>
    <s v="B0191"/>
    <s v="TX"/>
    <n v="15199"/>
    <n v="16.7"/>
    <n v="60"/>
    <x v="1"/>
    <x v="4"/>
    <x v="0"/>
    <n v="135022"/>
    <s v="RENT"/>
    <n v="0.23"/>
    <n v="0.84"/>
    <n v="3413"/>
    <n v="0"/>
    <n v="47"/>
    <n v="11786"/>
    <s v="Profit"/>
  </r>
  <r>
    <s v="L0192"/>
    <x v="173"/>
    <s v="B0192"/>
    <s v="GA"/>
    <n v="16876"/>
    <n v="16.7"/>
    <n v="36"/>
    <x v="1"/>
    <x v="3"/>
    <x v="2"/>
    <n v="147269"/>
    <s v="MORTGAGE"/>
    <n v="0.22"/>
    <n v="0.88"/>
    <n v="3698.91"/>
    <n v="0"/>
    <n v="27"/>
    <n v="13177.09"/>
    <s v="Profit"/>
  </r>
  <r>
    <s v="L0193"/>
    <x v="174"/>
    <s v="B0193"/>
    <s v="PA"/>
    <n v="9245"/>
    <n v="19"/>
    <n v="60"/>
    <x v="2"/>
    <x v="0"/>
    <x v="1"/>
    <n v="96629"/>
    <s v="OWN"/>
    <n v="0.15"/>
    <n v="0.82"/>
    <n v="0"/>
    <n v="0"/>
    <n v="29"/>
    <n v="9245"/>
    <s v="Profit"/>
  </r>
  <r>
    <s v="L0194"/>
    <x v="175"/>
    <s v="B0194"/>
    <s v="OH"/>
    <n v="8214"/>
    <n v="23.6"/>
    <n v="60"/>
    <x v="1"/>
    <x v="5"/>
    <x v="2"/>
    <n v="110764"/>
    <s v="MORTGAGE"/>
    <n v="0.14000000000000001"/>
    <n v="0.92"/>
    <n v="2776.51"/>
    <n v="0"/>
    <n v="62"/>
    <n v="5437.49"/>
    <s v="Profit"/>
  </r>
  <r>
    <s v="L0195"/>
    <x v="56"/>
    <s v="B0195"/>
    <s v="IL"/>
    <n v="1726"/>
    <n v="20.7"/>
    <n v="36"/>
    <x v="1"/>
    <x v="6"/>
    <x v="0"/>
    <n v="50884"/>
    <s v="OWN"/>
    <n v="0.36"/>
    <n v="0.83"/>
    <n v="470.61"/>
    <n v="0"/>
    <n v="35"/>
    <n v="1255.3899999999999"/>
    <s v="Profit"/>
  </r>
  <r>
    <s v="L0196"/>
    <x v="176"/>
    <s v="B0196"/>
    <s v="NC"/>
    <n v="12362"/>
    <n v="6.1"/>
    <n v="36"/>
    <x v="0"/>
    <x v="0"/>
    <x v="4"/>
    <n v="55183"/>
    <s v="RENT"/>
    <n v="0.45"/>
    <n v="0.64"/>
    <n v="13116.08"/>
    <n v="0"/>
    <n v="55"/>
    <n v="-754.07999999999993"/>
    <s v="Loss"/>
  </r>
  <r>
    <s v="L0197"/>
    <x v="177"/>
    <s v="B0197"/>
    <s v="IL"/>
    <n v="19297"/>
    <n v="22.1"/>
    <n v="60"/>
    <x v="0"/>
    <x v="4"/>
    <x v="3"/>
    <n v="111570"/>
    <s v="RENT"/>
    <n v="0.42"/>
    <n v="0.62"/>
    <n v="23561.64"/>
    <n v="0"/>
    <n v="49"/>
    <n v="-4264.6399999999994"/>
    <s v="Loss"/>
  </r>
  <r>
    <s v="L0198"/>
    <x v="178"/>
    <s v="B0198"/>
    <s v="IL"/>
    <n v="31448"/>
    <n v="9.5"/>
    <n v="36"/>
    <x v="0"/>
    <x v="5"/>
    <x v="0"/>
    <n v="101246"/>
    <s v="MORTGAGE"/>
    <n v="0.16"/>
    <n v="0.81"/>
    <n v="34435.56"/>
    <n v="0"/>
    <n v="57"/>
    <n v="-2987.5599999999977"/>
    <s v="Loss"/>
  </r>
  <r>
    <s v="L0199"/>
    <x v="179"/>
    <s v="B0199"/>
    <s v="NY"/>
    <n v="27172"/>
    <n v="12.5"/>
    <n v="60"/>
    <x v="1"/>
    <x v="5"/>
    <x v="4"/>
    <n v="138036"/>
    <s v="RENT"/>
    <n v="0.32"/>
    <n v="0.59"/>
    <n v="11741.28"/>
    <n v="0"/>
    <n v="60"/>
    <n v="15430.72"/>
    <s v="Profit"/>
  </r>
  <r>
    <s v="L0200"/>
    <x v="126"/>
    <s v="B0200"/>
    <s v="CA"/>
    <n v="8657"/>
    <n v="14.2"/>
    <n v="36"/>
    <x v="1"/>
    <x v="5"/>
    <x v="0"/>
    <n v="49259"/>
    <s v="OWN"/>
    <n v="0.14000000000000001"/>
    <n v="0.54"/>
    <n v="3840.38"/>
    <n v="0"/>
    <n v="42"/>
    <n v="4816.62"/>
    <s v="Profit"/>
  </r>
  <r>
    <s v="L0201"/>
    <x v="180"/>
    <s v="B0201"/>
    <s v="TX"/>
    <n v="19850"/>
    <n v="14.6"/>
    <n v="60"/>
    <x v="0"/>
    <x v="4"/>
    <x v="1"/>
    <n v="65959"/>
    <s v="RENT"/>
    <n v="0.12"/>
    <n v="0.74"/>
    <n v="22748.1"/>
    <n v="0"/>
    <n v="43"/>
    <n v="-2898.0999999999985"/>
    <s v="Loss"/>
  </r>
  <r>
    <s v="L0202"/>
    <x v="181"/>
    <s v="B0202"/>
    <s v="GA"/>
    <n v="26425"/>
    <n v="13.7"/>
    <n v="36"/>
    <x v="0"/>
    <x v="5"/>
    <x v="2"/>
    <n v="146525"/>
    <s v="RENT"/>
    <n v="0.36"/>
    <n v="0.87"/>
    <n v="30045.22"/>
    <n v="0"/>
    <n v="59"/>
    <n v="-3620.2200000000012"/>
    <s v="Loss"/>
  </r>
  <r>
    <s v="L0203"/>
    <x v="171"/>
    <s v="B0203"/>
    <s v="CA"/>
    <n v="27685"/>
    <n v="23.7"/>
    <n v="60"/>
    <x v="0"/>
    <x v="5"/>
    <x v="3"/>
    <n v="63457"/>
    <s v="OWN"/>
    <n v="0.31"/>
    <n v="0.55000000000000004"/>
    <n v="34246.339999999997"/>
    <n v="0"/>
    <n v="54"/>
    <n v="-6561.3399999999965"/>
    <s v="Loss"/>
  </r>
  <r>
    <s v="L0204"/>
    <x v="182"/>
    <s v="B0204"/>
    <s v="OH"/>
    <n v="25578"/>
    <n v="19.100000000000001"/>
    <n v="60"/>
    <x v="3"/>
    <x v="1"/>
    <x v="4"/>
    <n v="115679"/>
    <s v="MORTGAGE"/>
    <n v="0.13"/>
    <n v="0.86"/>
    <n v="3866.58"/>
    <n v="7371.47"/>
    <n v="45"/>
    <n v="21711.42"/>
    <s v="Profit"/>
  </r>
  <r>
    <s v="L0205"/>
    <x v="94"/>
    <s v="B0205"/>
    <s v="IL"/>
    <n v="29831"/>
    <n v="17.600000000000001"/>
    <n v="60"/>
    <x v="1"/>
    <x v="0"/>
    <x v="3"/>
    <n v="32103"/>
    <s v="MORTGAGE"/>
    <n v="0.11"/>
    <n v="0.87"/>
    <n v="3320.34"/>
    <n v="0"/>
    <n v="59"/>
    <n v="26510.66"/>
    <s v="Profit"/>
  </r>
  <r>
    <s v="L0206"/>
    <x v="183"/>
    <s v="B0206"/>
    <s v="NY"/>
    <n v="8906"/>
    <n v="6"/>
    <n v="36"/>
    <x v="1"/>
    <x v="1"/>
    <x v="3"/>
    <n v="95901"/>
    <s v="RENT"/>
    <n v="0.5"/>
    <n v="0.72"/>
    <n v="2971.76"/>
    <n v="0"/>
    <n v="57"/>
    <n v="5934.24"/>
    <s v="Profit"/>
  </r>
  <r>
    <s v="L0207"/>
    <x v="184"/>
    <s v="B0207"/>
    <s v="OH"/>
    <n v="8287"/>
    <n v="23.1"/>
    <n v="36"/>
    <x v="1"/>
    <x v="2"/>
    <x v="3"/>
    <n v="142314"/>
    <s v="OWN"/>
    <n v="0.11"/>
    <n v="0.53"/>
    <n v="1537.67"/>
    <n v="0"/>
    <n v="32"/>
    <n v="6749.33"/>
    <s v="Profit"/>
  </r>
  <r>
    <s v="L0208"/>
    <x v="185"/>
    <s v="B0208"/>
    <s v="NC"/>
    <n v="34660"/>
    <n v="23.2"/>
    <n v="60"/>
    <x v="3"/>
    <x v="5"/>
    <x v="4"/>
    <n v="74535"/>
    <s v="MORTGAGE"/>
    <n v="0.28000000000000003"/>
    <n v="0.57999999999999996"/>
    <n v="3659.1"/>
    <n v="4720.7299999999996"/>
    <n v="33"/>
    <n v="31000.9"/>
    <s v="Profit"/>
  </r>
  <r>
    <s v="L0209"/>
    <x v="61"/>
    <s v="B0209"/>
    <s v="TX"/>
    <n v="11222"/>
    <n v="20.6"/>
    <n v="60"/>
    <x v="1"/>
    <x v="1"/>
    <x v="4"/>
    <n v="46103"/>
    <s v="MORTGAGE"/>
    <n v="0.3"/>
    <n v="0.82"/>
    <n v="5048.66"/>
    <n v="0"/>
    <n v="51"/>
    <n v="6173.34"/>
    <s v="Profit"/>
  </r>
  <r>
    <s v="L0210"/>
    <x v="186"/>
    <s v="B0210"/>
    <s v="GA"/>
    <n v="38443"/>
    <n v="5.0999999999999996"/>
    <n v="36"/>
    <x v="1"/>
    <x v="5"/>
    <x v="3"/>
    <n v="128046"/>
    <s v="RENT"/>
    <n v="0.15"/>
    <n v="0.82"/>
    <n v="5847.39"/>
    <n v="0"/>
    <n v="35"/>
    <n v="32595.61"/>
    <s v="Profit"/>
  </r>
  <r>
    <s v="L0211"/>
    <x v="187"/>
    <s v="B0211"/>
    <s v="NC"/>
    <n v="35701"/>
    <n v="6.1"/>
    <n v="36"/>
    <x v="0"/>
    <x v="6"/>
    <x v="2"/>
    <n v="120012"/>
    <s v="OWN"/>
    <n v="0.17"/>
    <n v="0.9"/>
    <n v="37878.76"/>
    <n v="0"/>
    <n v="31"/>
    <n v="-2177.760000000002"/>
    <s v="Loss"/>
  </r>
  <r>
    <s v="L0212"/>
    <x v="188"/>
    <s v="B0212"/>
    <s v="NY"/>
    <n v="18764"/>
    <n v="9.5"/>
    <n v="36"/>
    <x v="0"/>
    <x v="2"/>
    <x v="0"/>
    <n v="108278"/>
    <s v="MORTGAGE"/>
    <n v="0.24"/>
    <n v="0.76"/>
    <n v="20546.580000000002"/>
    <n v="0"/>
    <n v="57"/>
    <n v="-1782.5800000000017"/>
    <s v="Loss"/>
  </r>
  <r>
    <s v="L0213"/>
    <x v="189"/>
    <s v="B0213"/>
    <s v="TX"/>
    <n v="18674"/>
    <n v="7.6"/>
    <n v="36"/>
    <x v="0"/>
    <x v="0"/>
    <x v="3"/>
    <n v="42391"/>
    <s v="RENT"/>
    <n v="0.4"/>
    <n v="0.56000000000000005"/>
    <n v="20093.22"/>
    <n v="0"/>
    <n v="36"/>
    <n v="-1419.2200000000012"/>
    <s v="Loss"/>
  </r>
  <r>
    <s v="L0214"/>
    <x v="102"/>
    <s v="B0214"/>
    <s v="OH"/>
    <n v="19024"/>
    <n v="13"/>
    <n v="36"/>
    <x v="0"/>
    <x v="4"/>
    <x v="1"/>
    <n v="132476"/>
    <s v="RENT"/>
    <n v="0.3"/>
    <n v="0.55000000000000004"/>
    <n v="21497.119999999999"/>
    <n v="0"/>
    <n v="49"/>
    <n v="-2473.119999999999"/>
    <s v="Loss"/>
  </r>
  <r>
    <s v="L0215"/>
    <x v="56"/>
    <s v="B0215"/>
    <s v="IL"/>
    <n v="24874"/>
    <n v="23.5"/>
    <n v="36"/>
    <x v="2"/>
    <x v="4"/>
    <x v="3"/>
    <n v="58901"/>
    <s v="RENT"/>
    <n v="0.36"/>
    <n v="0.82"/>
    <n v="0"/>
    <n v="0"/>
    <n v="35"/>
    <n v="24874"/>
    <s v="Profit"/>
  </r>
  <r>
    <s v="L0216"/>
    <x v="145"/>
    <s v="B0216"/>
    <s v="IL"/>
    <n v="33284"/>
    <n v="14.4"/>
    <n v="60"/>
    <x v="0"/>
    <x v="4"/>
    <x v="4"/>
    <n v="127537"/>
    <s v="RENT"/>
    <n v="0.49"/>
    <n v="0.57999999999999996"/>
    <n v="38076.9"/>
    <n v="0"/>
    <n v="49"/>
    <n v="-4792.9000000000015"/>
    <s v="Loss"/>
  </r>
  <r>
    <s v="L0217"/>
    <x v="190"/>
    <s v="B0217"/>
    <s v="MI"/>
    <n v="18602"/>
    <n v="5.3"/>
    <n v="36"/>
    <x v="3"/>
    <x v="0"/>
    <x v="0"/>
    <n v="111159"/>
    <s v="MORTGAGE"/>
    <n v="0.41"/>
    <n v="0.65"/>
    <n v="7046.14"/>
    <n v="4694.51"/>
    <n v="41"/>
    <n v="11555.86"/>
    <s v="Profit"/>
  </r>
  <r>
    <s v="L0218"/>
    <x v="89"/>
    <s v="B0218"/>
    <s v="IL"/>
    <n v="38784"/>
    <n v="10.7"/>
    <n v="60"/>
    <x v="0"/>
    <x v="6"/>
    <x v="1"/>
    <n v="97914"/>
    <s v="OWN"/>
    <n v="0.27"/>
    <n v="0.72"/>
    <n v="42933.89"/>
    <n v="0"/>
    <n v="27"/>
    <n v="-4149.8899999999994"/>
    <s v="Loss"/>
  </r>
  <r>
    <s v="L0219"/>
    <x v="191"/>
    <s v="B0219"/>
    <s v="FL"/>
    <n v="24265"/>
    <n v="5.9"/>
    <n v="36"/>
    <x v="0"/>
    <x v="0"/>
    <x v="0"/>
    <n v="80357"/>
    <s v="RENT"/>
    <n v="0.28000000000000003"/>
    <n v="0.51"/>
    <n v="25696.639999999999"/>
    <n v="0"/>
    <n v="40"/>
    <n v="-1431.6399999999994"/>
    <s v="Loss"/>
  </r>
  <r>
    <s v="L0220"/>
    <x v="14"/>
    <s v="B0220"/>
    <s v="IL"/>
    <n v="26931"/>
    <n v="5.7"/>
    <n v="36"/>
    <x v="3"/>
    <x v="5"/>
    <x v="0"/>
    <n v="116908"/>
    <s v="RENT"/>
    <n v="0.35"/>
    <n v="0.61"/>
    <n v="8489.4699999999993"/>
    <n v="8648.65"/>
    <n v="47"/>
    <n v="18441.53"/>
    <s v="Profit"/>
  </r>
  <r>
    <s v="L0221"/>
    <x v="157"/>
    <s v="B0221"/>
    <s v="FL"/>
    <n v="29841"/>
    <n v="10.5"/>
    <n v="60"/>
    <x v="0"/>
    <x v="1"/>
    <x v="1"/>
    <n v="140335"/>
    <s v="MORTGAGE"/>
    <n v="0.37"/>
    <n v="0.68"/>
    <n v="32974.300000000003"/>
    <n v="0"/>
    <n v="31"/>
    <n v="-3133.3000000000029"/>
    <s v="Loss"/>
  </r>
  <r>
    <s v="L0222"/>
    <x v="192"/>
    <s v="B0222"/>
    <s v="PA"/>
    <n v="30192"/>
    <n v="10.5"/>
    <n v="60"/>
    <x v="0"/>
    <x v="0"/>
    <x v="3"/>
    <n v="68437"/>
    <s v="RENT"/>
    <n v="0.3"/>
    <n v="0.63"/>
    <n v="33362.160000000003"/>
    <n v="0"/>
    <n v="47"/>
    <n v="-3170.1600000000035"/>
    <s v="Loss"/>
  </r>
  <r>
    <s v="L0223"/>
    <x v="193"/>
    <s v="B0223"/>
    <s v="FL"/>
    <n v="16585"/>
    <n v="20.7"/>
    <n v="36"/>
    <x v="0"/>
    <x v="2"/>
    <x v="3"/>
    <n v="65503"/>
    <s v="RENT"/>
    <n v="0.36"/>
    <n v="0.56000000000000005"/>
    <n v="20018.099999999999"/>
    <n v="0"/>
    <n v="28"/>
    <n v="-3433.0999999999985"/>
    <s v="Loss"/>
  </r>
  <r>
    <s v="L0224"/>
    <x v="194"/>
    <s v="B0224"/>
    <s v="TX"/>
    <n v="26559"/>
    <n v="24.5"/>
    <n v="60"/>
    <x v="1"/>
    <x v="6"/>
    <x v="3"/>
    <n v="126282"/>
    <s v="OWN"/>
    <n v="0.11"/>
    <n v="0.83"/>
    <n v="10442.84"/>
    <n v="0"/>
    <n v="38"/>
    <n v="16116.16"/>
    <s v="Profit"/>
  </r>
  <r>
    <s v="L0225"/>
    <x v="195"/>
    <s v="B0225"/>
    <s v="NC"/>
    <n v="34742"/>
    <n v="12.4"/>
    <n v="60"/>
    <x v="0"/>
    <x v="5"/>
    <x v="2"/>
    <n v="123459"/>
    <s v="RENT"/>
    <n v="0.27"/>
    <n v="0.87"/>
    <n v="39050.01"/>
    <n v="0"/>
    <n v="61"/>
    <n v="-4308.010000000002"/>
    <s v="Loss"/>
  </r>
  <r>
    <s v="L0226"/>
    <x v="196"/>
    <s v="B0226"/>
    <s v="TX"/>
    <n v="5133"/>
    <n v="13.6"/>
    <n v="60"/>
    <x v="1"/>
    <x v="4"/>
    <x v="3"/>
    <n v="105403"/>
    <s v="MORTGAGE"/>
    <n v="0.21"/>
    <n v="0.62"/>
    <n v="722"/>
    <n v="0"/>
    <n v="55"/>
    <n v="4411"/>
    <s v="Profit"/>
  </r>
  <r>
    <s v="L0227"/>
    <x v="27"/>
    <s v="B0227"/>
    <s v="NC"/>
    <n v="15663"/>
    <n v="21.9"/>
    <n v="60"/>
    <x v="1"/>
    <x v="0"/>
    <x v="1"/>
    <n v="71258"/>
    <s v="OWN"/>
    <n v="0.15"/>
    <n v="0.85"/>
    <n v="2433.83"/>
    <n v="0"/>
    <n v="44"/>
    <n v="13229.17"/>
    <s v="Profit"/>
  </r>
  <r>
    <s v="L0228"/>
    <x v="197"/>
    <s v="B0228"/>
    <s v="MI"/>
    <n v="22754"/>
    <n v="10.4"/>
    <n v="36"/>
    <x v="1"/>
    <x v="1"/>
    <x v="2"/>
    <n v="63724"/>
    <s v="MORTGAGE"/>
    <n v="0.14000000000000001"/>
    <n v="0.67"/>
    <n v="6475.12"/>
    <n v="0"/>
    <n v="48"/>
    <n v="16278.880000000001"/>
    <s v="Profit"/>
  </r>
  <r>
    <s v="L0229"/>
    <x v="198"/>
    <s v="B0229"/>
    <s v="PA"/>
    <n v="4972"/>
    <n v="8.1"/>
    <n v="60"/>
    <x v="1"/>
    <x v="0"/>
    <x v="3"/>
    <n v="94286"/>
    <s v="OWN"/>
    <n v="0.34"/>
    <n v="0.73"/>
    <n v="633.66"/>
    <n v="0"/>
    <n v="61"/>
    <n v="4338.34"/>
    <s v="Profit"/>
  </r>
  <r>
    <s v="L0230"/>
    <x v="199"/>
    <s v="B0230"/>
    <s v="NC"/>
    <n v="6295"/>
    <n v="22.1"/>
    <n v="36"/>
    <x v="0"/>
    <x v="1"/>
    <x v="2"/>
    <n v="104842"/>
    <s v="OWN"/>
    <n v="0.31"/>
    <n v="0.89"/>
    <n v="7686.2"/>
    <n v="0"/>
    <n v="55"/>
    <n v="-1391.1999999999998"/>
    <s v="Loss"/>
  </r>
  <r>
    <s v="L0231"/>
    <x v="200"/>
    <s v="B0231"/>
    <s v="NC"/>
    <n v="30125"/>
    <n v="5.9"/>
    <n v="36"/>
    <x v="0"/>
    <x v="6"/>
    <x v="1"/>
    <n v="134927"/>
    <s v="RENT"/>
    <n v="0.2"/>
    <n v="0.84"/>
    <n v="31902.38"/>
    <n v="0"/>
    <n v="36"/>
    <n v="-1777.380000000001"/>
    <s v="Loss"/>
  </r>
  <r>
    <s v="L0232"/>
    <x v="201"/>
    <s v="B0232"/>
    <s v="NY"/>
    <n v="10903"/>
    <n v="17.399999999999999"/>
    <n v="36"/>
    <x v="1"/>
    <x v="0"/>
    <x v="3"/>
    <n v="44908"/>
    <s v="RENT"/>
    <n v="0.28999999999999998"/>
    <n v="0.86"/>
    <n v="2043.7"/>
    <n v="0"/>
    <n v="53"/>
    <n v="8859.2999999999993"/>
    <s v="Profit"/>
  </r>
  <r>
    <s v="L0233"/>
    <x v="62"/>
    <s v="B0233"/>
    <s v="CA"/>
    <n v="4020"/>
    <n v="16.2"/>
    <n v="36"/>
    <x v="0"/>
    <x v="6"/>
    <x v="4"/>
    <n v="122617"/>
    <s v="RENT"/>
    <n v="0.3"/>
    <n v="0.56000000000000005"/>
    <n v="4671.24"/>
    <n v="0"/>
    <n v="33"/>
    <n v="-651.23999999999978"/>
    <s v="Loss"/>
  </r>
  <r>
    <s v="L0234"/>
    <x v="202"/>
    <s v="B0234"/>
    <s v="CA"/>
    <n v="21420"/>
    <n v="11.9"/>
    <n v="60"/>
    <x v="0"/>
    <x v="0"/>
    <x v="1"/>
    <n v="80626"/>
    <s v="MORTGAGE"/>
    <n v="0.18"/>
    <n v="0.53"/>
    <n v="23968.98"/>
    <n v="0"/>
    <n v="31"/>
    <n v="-2548.9799999999996"/>
    <s v="Loss"/>
  </r>
  <r>
    <s v="L0235"/>
    <x v="172"/>
    <s v="B0235"/>
    <s v="NY"/>
    <n v="22452"/>
    <n v="11.3"/>
    <n v="60"/>
    <x v="0"/>
    <x v="2"/>
    <x v="0"/>
    <n v="67228"/>
    <s v="RENT"/>
    <n v="0.36"/>
    <n v="0.9"/>
    <n v="24989.08"/>
    <n v="0"/>
    <n v="47"/>
    <n v="-2537.0800000000017"/>
    <s v="Loss"/>
  </r>
  <r>
    <s v="L0236"/>
    <x v="203"/>
    <s v="B0236"/>
    <s v="IL"/>
    <n v="39001"/>
    <n v="20.399999999999999"/>
    <n v="36"/>
    <x v="3"/>
    <x v="0"/>
    <x v="0"/>
    <n v="53386"/>
    <s v="RENT"/>
    <n v="0.41"/>
    <n v="0.67"/>
    <n v="7661.31"/>
    <n v="15157.1"/>
    <n v="29"/>
    <n v="31339.69"/>
    <s v="Profit"/>
  </r>
  <r>
    <s v="L0237"/>
    <x v="56"/>
    <s v="B0237"/>
    <s v="NY"/>
    <n v="10516"/>
    <n v="6.7"/>
    <n v="36"/>
    <x v="0"/>
    <x v="1"/>
    <x v="1"/>
    <n v="76754"/>
    <s v="OWN"/>
    <n v="0.42"/>
    <n v="0.63"/>
    <n v="11220.57"/>
    <n v="0"/>
    <n v="35"/>
    <n v="-704.56999999999971"/>
    <s v="Loss"/>
  </r>
  <r>
    <s v="L0238"/>
    <x v="204"/>
    <s v="B0238"/>
    <s v="NC"/>
    <n v="3396"/>
    <n v="9.6999999999999993"/>
    <n v="36"/>
    <x v="0"/>
    <x v="4"/>
    <x v="0"/>
    <n v="140942"/>
    <s v="RENT"/>
    <n v="0.34"/>
    <n v="0.83"/>
    <n v="3725.41"/>
    <n v="0"/>
    <n v="40"/>
    <n v="-329.40999999999985"/>
    <s v="Loss"/>
  </r>
  <r>
    <s v="L0239"/>
    <x v="205"/>
    <s v="B0239"/>
    <s v="NC"/>
    <n v="19546"/>
    <n v="19.600000000000001"/>
    <n v="36"/>
    <x v="1"/>
    <x v="6"/>
    <x v="1"/>
    <n v="58302"/>
    <s v="RENT"/>
    <n v="0.3"/>
    <n v="0.88"/>
    <n v="2381.36"/>
    <n v="0"/>
    <n v="44"/>
    <n v="17164.64"/>
    <s v="Profit"/>
  </r>
  <r>
    <s v="L0240"/>
    <x v="206"/>
    <s v="B0240"/>
    <s v="NY"/>
    <n v="20129"/>
    <n v="16"/>
    <n v="60"/>
    <x v="1"/>
    <x v="5"/>
    <x v="4"/>
    <n v="90815"/>
    <s v="RENT"/>
    <n v="0.12"/>
    <n v="0.89"/>
    <n v="2865.01"/>
    <n v="0"/>
    <n v="27"/>
    <n v="17263.989999999998"/>
    <s v="Profit"/>
  </r>
  <r>
    <s v="L0241"/>
    <x v="207"/>
    <s v="B0241"/>
    <s v="NY"/>
    <n v="2591"/>
    <n v="7.6"/>
    <n v="36"/>
    <x v="0"/>
    <x v="0"/>
    <x v="1"/>
    <n v="114748"/>
    <s v="RENT"/>
    <n v="0.22"/>
    <n v="0.64"/>
    <n v="2787.92"/>
    <n v="0"/>
    <n v="62"/>
    <n v="-196.92000000000007"/>
    <s v="Loss"/>
  </r>
  <r>
    <s v="L0242"/>
    <x v="208"/>
    <s v="B0242"/>
    <s v="IL"/>
    <n v="12303"/>
    <n v="22.6"/>
    <n v="60"/>
    <x v="0"/>
    <x v="5"/>
    <x v="3"/>
    <n v="93344"/>
    <s v="OWN"/>
    <n v="0.14000000000000001"/>
    <n v="0.88"/>
    <n v="15083.48"/>
    <n v="0"/>
    <n v="57"/>
    <n v="-2780.4799999999996"/>
    <s v="Loss"/>
  </r>
  <r>
    <s v="L0243"/>
    <x v="209"/>
    <s v="B0243"/>
    <s v="TX"/>
    <n v="31561"/>
    <n v="12.9"/>
    <n v="36"/>
    <x v="1"/>
    <x v="4"/>
    <x v="3"/>
    <n v="65618"/>
    <s v="RENT"/>
    <n v="0.49"/>
    <n v="0.52"/>
    <n v="12777.42"/>
    <n v="0"/>
    <n v="46"/>
    <n v="18783.580000000002"/>
    <s v="Profit"/>
  </r>
  <r>
    <s v="L0244"/>
    <x v="210"/>
    <s v="B0244"/>
    <s v="PA"/>
    <n v="7183"/>
    <n v="21.6"/>
    <n v="36"/>
    <x v="4"/>
    <x v="1"/>
    <x v="2"/>
    <n v="141603"/>
    <s v="OWN"/>
    <n v="0.15"/>
    <n v="0.52"/>
    <n v="0"/>
    <n v="0"/>
    <n v="27"/>
    <n v="7183"/>
    <s v="Profit"/>
  </r>
  <r>
    <s v="L0245"/>
    <x v="211"/>
    <s v="B0245"/>
    <s v="OH"/>
    <n v="27572"/>
    <n v="20.8"/>
    <n v="36"/>
    <x v="1"/>
    <x v="2"/>
    <x v="0"/>
    <n v="106234"/>
    <s v="MORTGAGE"/>
    <n v="0.16"/>
    <n v="0.78"/>
    <n v="3453.07"/>
    <n v="0"/>
    <n v="45"/>
    <n v="24118.93"/>
    <s v="Profit"/>
  </r>
  <r>
    <s v="L0246"/>
    <x v="94"/>
    <s v="B0246"/>
    <s v="NC"/>
    <n v="35080"/>
    <n v="17.5"/>
    <n v="36"/>
    <x v="0"/>
    <x v="4"/>
    <x v="0"/>
    <n v="91114"/>
    <s v="RENT"/>
    <n v="0.46"/>
    <n v="0.53"/>
    <n v="41219"/>
    <n v="0"/>
    <n v="59"/>
    <n v="-6139"/>
    <s v="Loss"/>
  </r>
  <r>
    <s v="L0247"/>
    <x v="173"/>
    <s v="B0247"/>
    <s v="PA"/>
    <n v="21695"/>
    <n v="14.9"/>
    <n v="60"/>
    <x v="0"/>
    <x v="4"/>
    <x v="1"/>
    <n v="147652"/>
    <s v="RENT"/>
    <n v="0.48"/>
    <n v="0.65"/>
    <n v="24927.56"/>
    <n v="0"/>
    <n v="27"/>
    <n v="-3232.5600000000013"/>
    <s v="Loss"/>
  </r>
  <r>
    <s v="L0248"/>
    <x v="147"/>
    <s v="B0248"/>
    <s v="NY"/>
    <n v="8314"/>
    <n v="24.6"/>
    <n v="60"/>
    <x v="3"/>
    <x v="0"/>
    <x v="0"/>
    <n v="100130"/>
    <s v="RENT"/>
    <n v="0.41"/>
    <n v="0.8"/>
    <n v="902.38"/>
    <n v="4096.3"/>
    <n v="53"/>
    <n v="7411.62"/>
    <s v="Profit"/>
  </r>
  <r>
    <s v="L0249"/>
    <x v="212"/>
    <s v="B0249"/>
    <s v="IL"/>
    <n v="20623"/>
    <n v="7.9"/>
    <n v="60"/>
    <x v="1"/>
    <x v="5"/>
    <x v="3"/>
    <n v="55525"/>
    <s v="OWN"/>
    <n v="0.1"/>
    <n v="0.65"/>
    <n v="6871.78"/>
    <n v="0"/>
    <n v="46"/>
    <n v="13751.220000000001"/>
    <s v="Profit"/>
  </r>
  <r>
    <s v="L0250"/>
    <x v="213"/>
    <s v="B0250"/>
    <s v="FL"/>
    <n v="3139"/>
    <n v="19.5"/>
    <n v="36"/>
    <x v="0"/>
    <x v="4"/>
    <x v="4"/>
    <n v="109818"/>
    <s v="RENT"/>
    <n v="0.1"/>
    <n v="0.57999999999999996"/>
    <n v="3751.1"/>
    <n v="0"/>
    <n v="52"/>
    <n v="-612.09999999999991"/>
    <s v="Loss"/>
  </r>
  <r>
    <s v="L0251"/>
    <x v="214"/>
    <s v="B0251"/>
    <s v="IL"/>
    <n v="32290"/>
    <n v="8.8000000000000007"/>
    <n v="36"/>
    <x v="0"/>
    <x v="4"/>
    <x v="1"/>
    <n v="144589"/>
    <s v="RENT"/>
    <n v="0.25"/>
    <n v="0.63"/>
    <n v="35131.519999999997"/>
    <n v="0"/>
    <n v="56"/>
    <n v="-2841.5199999999968"/>
    <s v="Loss"/>
  </r>
  <r>
    <s v="L0252"/>
    <x v="215"/>
    <s v="B0252"/>
    <s v="GA"/>
    <n v="19088"/>
    <n v="11.8"/>
    <n v="60"/>
    <x v="1"/>
    <x v="0"/>
    <x v="0"/>
    <n v="44334"/>
    <s v="MORTGAGE"/>
    <n v="0.16"/>
    <n v="0.71"/>
    <n v="9337.7000000000007"/>
    <n v="0"/>
    <n v="42"/>
    <n v="9750.2999999999993"/>
    <s v="Profit"/>
  </r>
  <r>
    <s v="L0253"/>
    <x v="22"/>
    <s v="B0253"/>
    <s v="GA"/>
    <n v="34130"/>
    <n v="11.2"/>
    <n v="60"/>
    <x v="0"/>
    <x v="4"/>
    <x v="3"/>
    <n v="124715"/>
    <s v="OWN"/>
    <n v="0.11"/>
    <n v="0.71"/>
    <n v="37952.559999999998"/>
    <n v="0"/>
    <n v="39"/>
    <n v="-3822.5599999999977"/>
    <s v="Loss"/>
  </r>
  <r>
    <s v="L0254"/>
    <x v="216"/>
    <s v="B0254"/>
    <s v="PA"/>
    <n v="33088"/>
    <n v="23.9"/>
    <n v="36"/>
    <x v="0"/>
    <x v="3"/>
    <x v="2"/>
    <n v="92767"/>
    <s v="OWN"/>
    <n v="0.28999999999999998"/>
    <n v="0.85"/>
    <n v="40996.03"/>
    <n v="0"/>
    <n v="30"/>
    <n v="-7908.0299999999988"/>
    <s v="Loss"/>
  </r>
  <r>
    <s v="L0255"/>
    <x v="217"/>
    <s v="B0255"/>
    <s v="CA"/>
    <n v="27292"/>
    <n v="24.3"/>
    <n v="36"/>
    <x v="0"/>
    <x v="4"/>
    <x v="0"/>
    <n v="36644"/>
    <s v="MORTGAGE"/>
    <n v="0.48"/>
    <n v="0.84"/>
    <n v="33923.96"/>
    <n v="0"/>
    <n v="56"/>
    <n v="-6631.9599999999991"/>
    <s v="Loss"/>
  </r>
  <r>
    <s v="L0256"/>
    <x v="16"/>
    <s v="B0256"/>
    <s v="GA"/>
    <n v="21670"/>
    <n v="8.6999999999999993"/>
    <n v="60"/>
    <x v="0"/>
    <x v="5"/>
    <x v="4"/>
    <n v="131154"/>
    <s v="OWN"/>
    <n v="0.23"/>
    <n v="0.71"/>
    <n v="23555.29"/>
    <n v="0"/>
    <n v="54"/>
    <n v="-1885.2900000000009"/>
    <s v="Loss"/>
  </r>
  <r>
    <s v="L0257"/>
    <x v="218"/>
    <s v="B0257"/>
    <s v="GA"/>
    <n v="4738"/>
    <n v="5.4"/>
    <n v="36"/>
    <x v="0"/>
    <x v="1"/>
    <x v="4"/>
    <n v="143237"/>
    <s v="RENT"/>
    <n v="0.36"/>
    <n v="0.88"/>
    <n v="4993.8500000000004"/>
    <n v="0"/>
    <n v="30"/>
    <n v="-255.85000000000036"/>
    <s v="Loss"/>
  </r>
  <r>
    <s v="L0258"/>
    <x v="219"/>
    <s v="B0258"/>
    <s v="TX"/>
    <n v="3469"/>
    <n v="19.399999999999999"/>
    <n v="36"/>
    <x v="1"/>
    <x v="1"/>
    <x v="0"/>
    <n v="62933"/>
    <s v="RENT"/>
    <n v="0.36"/>
    <n v="0.55000000000000004"/>
    <n v="690.49"/>
    <n v="0"/>
    <n v="32"/>
    <n v="2778.51"/>
    <s v="Profit"/>
  </r>
  <r>
    <s v="L0259"/>
    <x v="220"/>
    <s v="B0259"/>
    <s v="FL"/>
    <n v="23534"/>
    <n v="13.4"/>
    <n v="60"/>
    <x v="0"/>
    <x v="4"/>
    <x v="0"/>
    <n v="73469"/>
    <s v="MORTGAGE"/>
    <n v="0.2"/>
    <n v="0.61"/>
    <n v="26687.56"/>
    <n v="0"/>
    <n v="58"/>
    <n v="-3153.5600000000013"/>
    <s v="Loss"/>
  </r>
  <r>
    <s v="L0260"/>
    <x v="221"/>
    <s v="B0260"/>
    <s v="TX"/>
    <n v="10017"/>
    <n v="6.8"/>
    <n v="36"/>
    <x v="0"/>
    <x v="5"/>
    <x v="3"/>
    <n v="63687"/>
    <s v="OWN"/>
    <n v="0.36"/>
    <n v="0.87"/>
    <n v="10698.16"/>
    <n v="0"/>
    <n v="62"/>
    <n v="-681.15999999999985"/>
    <s v="Loss"/>
  </r>
  <r>
    <s v="L0261"/>
    <x v="48"/>
    <s v="B0261"/>
    <s v="FL"/>
    <n v="3808"/>
    <n v="18.7"/>
    <n v="60"/>
    <x v="0"/>
    <x v="6"/>
    <x v="0"/>
    <n v="136609"/>
    <s v="OWN"/>
    <n v="0.18"/>
    <n v="0.67"/>
    <n v="4520.1000000000004"/>
    <n v="0"/>
    <n v="44"/>
    <n v="-712.10000000000036"/>
    <s v="Loss"/>
  </r>
  <r>
    <s v="L0262"/>
    <x v="222"/>
    <s v="B0262"/>
    <s v="MI"/>
    <n v="13713"/>
    <n v="15.9"/>
    <n v="36"/>
    <x v="0"/>
    <x v="0"/>
    <x v="2"/>
    <n v="82656"/>
    <s v="OWN"/>
    <n v="0.15"/>
    <n v="0.94"/>
    <n v="15893.37"/>
    <n v="0"/>
    <n v="43"/>
    <n v="-2180.3700000000008"/>
    <s v="Loss"/>
  </r>
  <r>
    <s v="L0263"/>
    <x v="223"/>
    <s v="B0263"/>
    <s v="OH"/>
    <n v="3719"/>
    <n v="24.6"/>
    <n v="60"/>
    <x v="0"/>
    <x v="4"/>
    <x v="3"/>
    <n v="47375"/>
    <s v="MORTGAGE"/>
    <n v="0.38"/>
    <n v="0.71"/>
    <n v="4633.87"/>
    <n v="0"/>
    <n v="40"/>
    <n v="-914.86999999999989"/>
    <s v="Loss"/>
  </r>
  <r>
    <s v="L0264"/>
    <x v="224"/>
    <s v="B0264"/>
    <s v="NC"/>
    <n v="23890"/>
    <n v="9.5"/>
    <n v="36"/>
    <x v="0"/>
    <x v="0"/>
    <x v="1"/>
    <n v="144019"/>
    <s v="RENT"/>
    <n v="0.15"/>
    <n v="0.86"/>
    <n v="26159.55"/>
    <n v="0"/>
    <n v="42"/>
    <n v="-2269.5499999999993"/>
    <s v="Loss"/>
  </r>
  <r>
    <s v="L0265"/>
    <x v="225"/>
    <s v="B0265"/>
    <s v="GA"/>
    <n v="12700"/>
    <n v="13.1"/>
    <n v="60"/>
    <x v="1"/>
    <x v="4"/>
    <x v="2"/>
    <n v="95206"/>
    <s v="MORTGAGE"/>
    <n v="0.5"/>
    <n v="0.68"/>
    <n v="1313.12"/>
    <n v="0"/>
    <n v="34"/>
    <n v="11386.880000000001"/>
    <s v="Profit"/>
  </r>
  <r>
    <s v="L0266"/>
    <x v="226"/>
    <s v="B0266"/>
    <s v="NC"/>
    <n v="37509"/>
    <n v="15.9"/>
    <n v="60"/>
    <x v="0"/>
    <x v="4"/>
    <x v="3"/>
    <n v="126462"/>
    <s v="RENT"/>
    <n v="0.17"/>
    <n v="0.69"/>
    <n v="43472.93"/>
    <n v="0"/>
    <n v="31"/>
    <n v="-5963.93"/>
    <s v="Loss"/>
  </r>
  <r>
    <s v="L0267"/>
    <x v="227"/>
    <s v="B0267"/>
    <s v="GA"/>
    <n v="37766"/>
    <n v="20.8"/>
    <n v="60"/>
    <x v="0"/>
    <x v="1"/>
    <x v="3"/>
    <n v="66607"/>
    <s v="MORTGAGE"/>
    <n v="0.34"/>
    <n v="0.67"/>
    <n v="45621.33"/>
    <n v="0"/>
    <n v="57"/>
    <n v="-7855.3300000000017"/>
    <s v="Loss"/>
  </r>
  <r>
    <s v="L0268"/>
    <x v="228"/>
    <s v="B0268"/>
    <s v="TX"/>
    <n v="27705"/>
    <n v="16"/>
    <n v="60"/>
    <x v="0"/>
    <x v="0"/>
    <x v="4"/>
    <n v="113178"/>
    <s v="RENT"/>
    <n v="0.26"/>
    <n v="0.82"/>
    <n v="32137.8"/>
    <n v="0"/>
    <n v="46"/>
    <n v="-4432.7999999999993"/>
    <s v="Loss"/>
  </r>
  <r>
    <s v="L0269"/>
    <x v="229"/>
    <s v="B0269"/>
    <s v="OH"/>
    <n v="19787"/>
    <n v="17.3"/>
    <n v="36"/>
    <x v="0"/>
    <x v="5"/>
    <x v="3"/>
    <n v="53993"/>
    <s v="OWN"/>
    <n v="0.15"/>
    <n v="0.75"/>
    <n v="23210.15"/>
    <n v="0"/>
    <n v="36"/>
    <n v="-3423.1500000000015"/>
    <s v="Loss"/>
  </r>
  <r>
    <s v="L0270"/>
    <x v="230"/>
    <s v="B0270"/>
    <s v="TX"/>
    <n v="27588"/>
    <n v="9.5"/>
    <n v="36"/>
    <x v="3"/>
    <x v="5"/>
    <x v="2"/>
    <n v="74386"/>
    <s v="OWN"/>
    <n v="0.11"/>
    <n v="0.92"/>
    <n v="7479.55"/>
    <n v="6127.76"/>
    <n v="54"/>
    <n v="20108.45"/>
    <s v="Profit"/>
  </r>
  <r>
    <s v="L0271"/>
    <x v="231"/>
    <s v="B0271"/>
    <s v="TX"/>
    <n v="27123"/>
    <n v="21.9"/>
    <n v="60"/>
    <x v="0"/>
    <x v="5"/>
    <x v="0"/>
    <n v="76287"/>
    <s v="OWN"/>
    <n v="0.35"/>
    <n v="0.61"/>
    <n v="33062.94"/>
    <n v="0"/>
    <n v="27"/>
    <n v="-5939.9400000000023"/>
    <s v="Loss"/>
  </r>
  <r>
    <s v="L0272"/>
    <x v="232"/>
    <s v="B0272"/>
    <s v="FL"/>
    <n v="34062"/>
    <n v="13.6"/>
    <n v="36"/>
    <x v="3"/>
    <x v="1"/>
    <x v="2"/>
    <n v="116724"/>
    <s v="MORTGAGE"/>
    <n v="0.42"/>
    <n v="0.55000000000000004"/>
    <n v="12667.87"/>
    <n v="12334.49"/>
    <n v="37"/>
    <n v="21394.129999999997"/>
    <s v="Profit"/>
  </r>
  <r>
    <s v="L0273"/>
    <x v="233"/>
    <s v="B0273"/>
    <s v="CA"/>
    <n v="11177"/>
    <n v="7.8"/>
    <n v="36"/>
    <x v="0"/>
    <x v="4"/>
    <x v="1"/>
    <n v="128132"/>
    <s v="MORTGAGE"/>
    <n v="0.44"/>
    <n v="0.68"/>
    <n v="12048.81"/>
    <n v="0"/>
    <n v="44"/>
    <n v="-871.80999999999949"/>
    <s v="Loss"/>
  </r>
  <r>
    <s v="L0274"/>
    <x v="234"/>
    <s v="B0274"/>
    <s v="IL"/>
    <n v="22727"/>
    <n v="18.3"/>
    <n v="36"/>
    <x v="1"/>
    <x v="2"/>
    <x v="3"/>
    <n v="123308"/>
    <s v="MORTGAGE"/>
    <n v="0.28999999999999998"/>
    <n v="0.78"/>
    <n v="9155.07"/>
    <n v="0"/>
    <n v="32"/>
    <n v="13571.93"/>
    <s v="Profit"/>
  </r>
  <r>
    <s v="L0275"/>
    <x v="235"/>
    <s v="B0275"/>
    <s v="PA"/>
    <n v="31220"/>
    <n v="9.3000000000000007"/>
    <n v="36"/>
    <x v="0"/>
    <x v="5"/>
    <x v="3"/>
    <n v="126393"/>
    <s v="OWN"/>
    <n v="0.41"/>
    <n v="0.89"/>
    <n v="34123.46"/>
    <n v="0"/>
    <n v="49"/>
    <n v="-2903.4599999999991"/>
    <s v="Loss"/>
  </r>
  <r>
    <s v="L0276"/>
    <x v="118"/>
    <s v="B0276"/>
    <s v="NC"/>
    <n v="10882"/>
    <n v="7"/>
    <n v="36"/>
    <x v="1"/>
    <x v="5"/>
    <x v="3"/>
    <n v="106312"/>
    <s v="RENT"/>
    <n v="0.37"/>
    <n v="0.66"/>
    <n v="3592.5"/>
    <n v="0"/>
    <n v="45"/>
    <n v="7289.5"/>
    <s v="Profit"/>
  </r>
  <r>
    <s v="L0277"/>
    <x v="236"/>
    <s v="B0277"/>
    <s v="MI"/>
    <n v="2136"/>
    <n v="22.2"/>
    <n v="60"/>
    <x v="0"/>
    <x v="6"/>
    <x v="3"/>
    <n v="128371"/>
    <s v="OWN"/>
    <n v="0.39"/>
    <n v="0.79"/>
    <n v="2610.19"/>
    <n v="0"/>
    <n v="35"/>
    <n v="-474.19000000000005"/>
    <s v="Loss"/>
  </r>
  <r>
    <s v="L0278"/>
    <x v="237"/>
    <s v="B0278"/>
    <s v="GA"/>
    <n v="35832"/>
    <n v="14.2"/>
    <n v="60"/>
    <x v="0"/>
    <x v="4"/>
    <x v="4"/>
    <n v="105324"/>
    <s v="OWN"/>
    <n v="0.3"/>
    <n v="0.66"/>
    <n v="40920.14"/>
    <n v="0"/>
    <n v="32"/>
    <n v="-5088.1399999999994"/>
    <s v="Loss"/>
  </r>
  <r>
    <s v="L0279"/>
    <x v="238"/>
    <s v="B0279"/>
    <s v="TX"/>
    <n v="32966"/>
    <n v="20"/>
    <n v="60"/>
    <x v="1"/>
    <x v="0"/>
    <x v="4"/>
    <n v="101196"/>
    <s v="RENT"/>
    <n v="0.35"/>
    <n v="0.78"/>
    <n v="6322.07"/>
    <n v="0"/>
    <n v="61"/>
    <n v="26643.93"/>
    <s v="Profit"/>
  </r>
  <r>
    <s v="L0280"/>
    <x v="239"/>
    <s v="B0280"/>
    <s v="CA"/>
    <n v="8009"/>
    <n v="10.8"/>
    <n v="60"/>
    <x v="1"/>
    <x v="1"/>
    <x v="0"/>
    <n v="100014"/>
    <s v="RENT"/>
    <n v="0.42"/>
    <n v="0.9"/>
    <n v="2353.41"/>
    <n v="0"/>
    <n v="40"/>
    <n v="5655.59"/>
    <s v="Profit"/>
  </r>
  <r>
    <s v="L0281"/>
    <x v="240"/>
    <s v="B0281"/>
    <s v="TX"/>
    <n v="13987"/>
    <n v="20.7"/>
    <n v="36"/>
    <x v="0"/>
    <x v="5"/>
    <x v="3"/>
    <n v="38210"/>
    <s v="RENT"/>
    <n v="0.26"/>
    <n v="0.6"/>
    <n v="16882.310000000001"/>
    <n v="0"/>
    <n v="62"/>
    <n v="-2895.3100000000013"/>
    <s v="Loss"/>
  </r>
  <r>
    <s v="L0282"/>
    <x v="241"/>
    <s v="B0282"/>
    <s v="OH"/>
    <n v="38311"/>
    <n v="7.2"/>
    <n v="36"/>
    <x v="0"/>
    <x v="2"/>
    <x v="1"/>
    <n v="40922"/>
    <s v="RENT"/>
    <n v="0.42"/>
    <n v="0.68"/>
    <n v="41069.39"/>
    <n v="0"/>
    <n v="52"/>
    <n v="-2758.3899999999994"/>
    <s v="Loss"/>
  </r>
  <r>
    <s v="L0283"/>
    <x v="242"/>
    <s v="B0283"/>
    <s v="FL"/>
    <n v="32575"/>
    <n v="12.1"/>
    <n v="60"/>
    <x v="0"/>
    <x v="3"/>
    <x v="0"/>
    <n v="66289"/>
    <s v="OWN"/>
    <n v="0.34"/>
    <n v="0.95"/>
    <n v="36516.57"/>
    <n v="0"/>
    <n v="45"/>
    <n v="-3941.5699999999997"/>
    <s v="Loss"/>
  </r>
  <r>
    <s v="L0284"/>
    <x v="243"/>
    <s v="B0284"/>
    <s v="MI"/>
    <n v="2007"/>
    <n v="24.6"/>
    <n v="36"/>
    <x v="1"/>
    <x v="4"/>
    <x v="3"/>
    <n v="63340"/>
    <s v="MORTGAGE"/>
    <n v="0.17"/>
    <n v="0.89"/>
    <n v="182.76"/>
    <n v="0"/>
    <n v="49"/>
    <n v="1824.24"/>
    <s v="Profit"/>
  </r>
  <r>
    <s v="L0285"/>
    <x v="244"/>
    <s v="B0285"/>
    <s v="IL"/>
    <n v="6445"/>
    <n v="20.9"/>
    <n v="36"/>
    <x v="0"/>
    <x v="4"/>
    <x v="4"/>
    <n v="69850"/>
    <s v="OWN"/>
    <n v="0.11"/>
    <n v="0.75"/>
    <n v="7792"/>
    <n v="0"/>
    <n v="41"/>
    <n v="-1347"/>
    <s v="Loss"/>
  </r>
  <r>
    <s v="L0286"/>
    <x v="245"/>
    <s v="B0286"/>
    <s v="OH"/>
    <n v="11706"/>
    <n v="14.9"/>
    <n v="60"/>
    <x v="0"/>
    <x v="4"/>
    <x v="1"/>
    <n v="86984"/>
    <s v="RENT"/>
    <n v="0.25"/>
    <n v="0.73"/>
    <n v="13450.19"/>
    <n v="0"/>
    <n v="30"/>
    <n v="-1744.1900000000005"/>
    <s v="Loss"/>
  </r>
  <r>
    <s v="L0287"/>
    <x v="246"/>
    <s v="B0287"/>
    <s v="NY"/>
    <n v="30257"/>
    <n v="11.8"/>
    <n v="36"/>
    <x v="1"/>
    <x v="4"/>
    <x v="0"/>
    <n v="133699"/>
    <s v="MORTGAGE"/>
    <n v="0.32"/>
    <n v="0.63"/>
    <n v="10757.13"/>
    <n v="0"/>
    <n v="47"/>
    <n v="19499.870000000003"/>
    <s v="Profit"/>
  </r>
  <r>
    <s v="L0288"/>
    <x v="247"/>
    <s v="B0288"/>
    <s v="MI"/>
    <n v="22736"/>
    <n v="22.4"/>
    <n v="60"/>
    <x v="3"/>
    <x v="6"/>
    <x v="1"/>
    <n v="143711"/>
    <s v="MORTGAGE"/>
    <n v="0.44"/>
    <n v="0.73"/>
    <n v="7219.33"/>
    <n v="8265.9599999999991"/>
    <n v="35"/>
    <n v="15516.67"/>
    <s v="Profit"/>
  </r>
  <r>
    <s v="L0289"/>
    <x v="248"/>
    <s v="B0289"/>
    <s v="TX"/>
    <n v="14281"/>
    <n v="15.9"/>
    <n v="60"/>
    <x v="1"/>
    <x v="1"/>
    <x v="3"/>
    <n v="114178"/>
    <s v="OWN"/>
    <n v="0.15"/>
    <n v="0.88"/>
    <n v="6915.78"/>
    <n v="0"/>
    <n v="38"/>
    <n v="7365.22"/>
    <s v="Profit"/>
  </r>
  <r>
    <s v="L0290"/>
    <x v="225"/>
    <s v="B0290"/>
    <s v="OH"/>
    <n v="2435"/>
    <n v="20.2"/>
    <n v="36"/>
    <x v="1"/>
    <x v="5"/>
    <x v="2"/>
    <n v="41094"/>
    <s v="OWN"/>
    <n v="0.42"/>
    <n v="0.81"/>
    <n v="407.08"/>
    <n v="0"/>
    <n v="34"/>
    <n v="2027.92"/>
    <s v="Profit"/>
  </r>
  <r>
    <s v="L0291"/>
    <x v="249"/>
    <s v="B0291"/>
    <s v="IL"/>
    <n v="34339"/>
    <n v="20.100000000000001"/>
    <n v="36"/>
    <x v="1"/>
    <x v="0"/>
    <x v="1"/>
    <n v="117959"/>
    <s v="OWN"/>
    <n v="0.45"/>
    <n v="0.63"/>
    <n v="2002.15"/>
    <n v="0"/>
    <n v="61"/>
    <n v="32336.85"/>
    <s v="Profit"/>
  </r>
  <r>
    <s v="L0292"/>
    <x v="250"/>
    <s v="B0292"/>
    <s v="CA"/>
    <n v="36150"/>
    <n v="5.4"/>
    <n v="60"/>
    <x v="0"/>
    <x v="4"/>
    <x v="1"/>
    <n v="63418"/>
    <s v="MORTGAGE"/>
    <n v="0.16"/>
    <n v="0.59"/>
    <n v="38102.1"/>
    <n v="0"/>
    <n v="43"/>
    <n v="-1952.0999999999985"/>
    <s v="Loss"/>
  </r>
  <r>
    <s v="L0293"/>
    <x v="251"/>
    <s v="B0293"/>
    <s v="CA"/>
    <n v="26821"/>
    <n v="7.5"/>
    <n v="60"/>
    <x v="0"/>
    <x v="4"/>
    <x v="4"/>
    <n v="35741"/>
    <s v="MORTGAGE"/>
    <n v="0.44"/>
    <n v="0.62"/>
    <n v="28832.57"/>
    <n v="0"/>
    <n v="57"/>
    <n v="-2011.5699999999997"/>
    <s v="Loss"/>
  </r>
  <r>
    <s v="L0294"/>
    <x v="252"/>
    <s v="B0294"/>
    <s v="NC"/>
    <n v="27660"/>
    <n v="18.2"/>
    <n v="36"/>
    <x v="1"/>
    <x v="6"/>
    <x v="3"/>
    <n v="141585"/>
    <s v="MORTGAGE"/>
    <n v="0.5"/>
    <n v="0.57999999999999996"/>
    <n v="8174.19"/>
    <n v="0"/>
    <n v="52"/>
    <n v="19485.810000000001"/>
    <s v="Profit"/>
  </r>
  <r>
    <s v="L0295"/>
    <x v="222"/>
    <s v="B0295"/>
    <s v="IL"/>
    <n v="6084"/>
    <n v="8.1999999999999993"/>
    <n v="60"/>
    <x v="0"/>
    <x v="0"/>
    <x v="1"/>
    <n v="102374"/>
    <s v="RENT"/>
    <n v="0.39"/>
    <n v="0.54"/>
    <n v="6582.89"/>
    <n v="0"/>
    <n v="43"/>
    <n v="-498.89000000000033"/>
    <s v="Loss"/>
  </r>
  <r>
    <s v="L0296"/>
    <x v="253"/>
    <s v="B0296"/>
    <s v="CA"/>
    <n v="17661"/>
    <n v="10.1"/>
    <n v="60"/>
    <x v="3"/>
    <x v="6"/>
    <x v="3"/>
    <n v="147275"/>
    <s v="RENT"/>
    <n v="0.41"/>
    <n v="0.69"/>
    <n v="5510.89"/>
    <n v="3016.27"/>
    <n v="52"/>
    <n v="12150.11"/>
    <s v="Profit"/>
  </r>
  <r>
    <s v="L0297"/>
    <x v="120"/>
    <s v="B0297"/>
    <s v="OH"/>
    <n v="14507"/>
    <n v="23.9"/>
    <n v="60"/>
    <x v="0"/>
    <x v="1"/>
    <x v="4"/>
    <n v="98798"/>
    <s v="OWN"/>
    <n v="0.5"/>
    <n v="0.55000000000000004"/>
    <n v="17974.169999999998"/>
    <n v="0"/>
    <n v="40"/>
    <n v="-3467.1699999999983"/>
    <s v="Loss"/>
  </r>
  <r>
    <s v="L0298"/>
    <x v="254"/>
    <s v="B0298"/>
    <s v="NC"/>
    <n v="8059"/>
    <n v="16.2"/>
    <n v="36"/>
    <x v="0"/>
    <x v="1"/>
    <x v="3"/>
    <n v="146026"/>
    <s v="MORTGAGE"/>
    <n v="0.34"/>
    <n v="0.57999999999999996"/>
    <n v="9364.56"/>
    <n v="0"/>
    <n v="35"/>
    <n v="-1305.5599999999995"/>
    <s v="Loss"/>
  </r>
  <r>
    <s v="L0299"/>
    <x v="255"/>
    <s v="B0299"/>
    <s v="CA"/>
    <n v="19271"/>
    <n v="20"/>
    <n v="60"/>
    <x v="3"/>
    <x v="4"/>
    <x v="4"/>
    <n v="100532"/>
    <s v="OWN"/>
    <n v="0.22"/>
    <n v="0.75"/>
    <n v="6496.68"/>
    <n v="2294.8000000000002"/>
    <n v="27"/>
    <n v="12774.32"/>
    <s v="Profit"/>
  </r>
  <r>
    <s v="L0300"/>
    <x v="256"/>
    <s v="B0300"/>
    <s v="MI"/>
    <n v="8491"/>
    <n v="16.2"/>
    <n v="36"/>
    <x v="1"/>
    <x v="1"/>
    <x v="4"/>
    <n v="140130"/>
    <s v="MORTGAGE"/>
    <n v="0.44"/>
    <n v="0.56999999999999995"/>
    <n v="1164.82"/>
    <n v="0"/>
    <n v="29"/>
    <n v="7326.18"/>
    <s v="Profit"/>
  </r>
  <r>
    <s v="L0301"/>
    <x v="257"/>
    <s v="B0301"/>
    <s v="FL"/>
    <n v="15859"/>
    <n v="16.100000000000001"/>
    <n v="60"/>
    <x v="0"/>
    <x v="5"/>
    <x v="0"/>
    <n v="52164"/>
    <s v="OWN"/>
    <n v="0.35"/>
    <n v="0.53"/>
    <n v="18412.3"/>
    <n v="0"/>
    <n v="48"/>
    <n v="-2553.2999999999993"/>
    <s v="Loss"/>
  </r>
  <r>
    <s v="L0302"/>
    <x v="98"/>
    <s v="B0302"/>
    <s v="NY"/>
    <n v="9073"/>
    <n v="6.9"/>
    <n v="36"/>
    <x v="1"/>
    <x v="1"/>
    <x v="3"/>
    <n v="65595"/>
    <s v="RENT"/>
    <n v="0.33"/>
    <n v="0.64"/>
    <n v="1522.35"/>
    <n v="0"/>
    <n v="42"/>
    <n v="7550.65"/>
    <s v="Profit"/>
  </r>
  <r>
    <s v="L0303"/>
    <x v="216"/>
    <s v="B0303"/>
    <s v="IL"/>
    <n v="10077"/>
    <n v="11.9"/>
    <n v="60"/>
    <x v="1"/>
    <x v="4"/>
    <x v="2"/>
    <n v="60257"/>
    <s v="MORTGAGE"/>
    <n v="0.2"/>
    <n v="0.6"/>
    <n v="2828.27"/>
    <n v="0"/>
    <n v="30"/>
    <n v="7248.73"/>
    <s v="Profit"/>
  </r>
  <r>
    <s v="L0304"/>
    <x v="258"/>
    <s v="B0304"/>
    <s v="OH"/>
    <n v="21953"/>
    <n v="10.6"/>
    <n v="36"/>
    <x v="0"/>
    <x v="5"/>
    <x v="0"/>
    <n v="44211"/>
    <s v="RENT"/>
    <n v="0.4"/>
    <n v="0.73"/>
    <n v="24280.02"/>
    <n v="0"/>
    <n v="53"/>
    <n v="-2327.0200000000004"/>
    <s v="Loss"/>
  </r>
  <r>
    <s v="L0305"/>
    <x v="63"/>
    <s v="B0305"/>
    <s v="GA"/>
    <n v="12383"/>
    <n v="12.8"/>
    <n v="36"/>
    <x v="0"/>
    <x v="1"/>
    <x v="4"/>
    <n v="125989"/>
    <s v="MORTGAGE"/>
    <n v="0.13"/>
    <n v="0.55000000000000004"/>
    <n v="13968.02"/>
    <n v="0"/>
    <n v="27"/>
    <n v="-1585.0200000000004"/>
    <s v="Loss"/>
  </r>
  <r>
    <s v="L0306"/>
    <x v="259"/>
    <s v="B0306"/>
    <s v="TX"/>
    <n v="3353"/>
    <n v="21"/>
    <n v="36"/>
    <x v="1"/>
    <x v="0"/>
    <x v="2"/>
    <n v="35232"/>
    <s v="OWN"/>
    <n v="0.47"/>
    <n v="0.84"/>
    <n v="666.48"/>
    <n v="0"/>
    <n v="29"/>
    <n v="2686.52"/>
    <s v="Profit"/>
  </r>
  <r>
    <s v="L0307"/>
    <x v="260"/>
    <s v="B0307"/>
    <s v="OH"/>
    <n v="24821"/>
    <n v="12.4"/>
    <n v="60"/>
    <x v="3"/>
    <x v="4"/>
    <x v="1"/>
    <n v="97753"/>
    <s v="MORTGAGE"/>
    <n v="0.23"/>
    <n v="0.91"/>
    <n v="8889.73"/>
    <n v="5061.28"/>
    <n v="62"/>
    <n v="15931.27"/>
    <s v="Profit"/>
  </r>
  <r>
    <s v="L0308"/>
    <x v="261"/>
    <s v="B0308"/>
    <s v="CA"/>
    <n v="38567"/>
    <n v="14"/>
    <n v="60"/>
    <x v="0"/>
    <x v="3"/>
    <x v="1"/>
    <n v="82691"/>
    <s v="RENT"/>
    <n v="0.15"/>
    <n v="0.83"/>
    <n v="43966.38"/>
    <n v="0"/>
    <n v="37"/>
    <n v="-5399.3799999999974"/>
    <s v="Loss"/>
  </r>
  <r>
    <s v="L0309"/>
    <x v="262"/>
    <s v="B0309"/>
    <s v="OH"/>
    <n v="25860"/>
    <n v="12.9"/>
    <n v="60"/>
    <x v="3"/>
    <x v="0"/>
    <x v="0"/>
    <n v="119765"/>
    <s v="MORTGAGE"/>
    <n v="0.28000000000000003"/>
    <n v="0.74"/>
    <n v="6261.43"/>
    <n v="5898.18"/>
    <n v="33"/>
    <n v="19598.57"/>
    <s v="Profit"/>
  </r>
  <r>
    <s v="L0310"/>
    <x v="263"/>
    <s v="B0310"/>
    <s v="GA"/>
    <n v="22195"/>
    <n v="6.9"/>
    <n v="36"/>
    <x v="3"/>
    <x v="4"/>
    <x v="2"/>
    <n v="109768"/>
    <s v="OWN"/>
    <n v="0.12"/>
    <n v="0.89"/>
    <n v="7543.49"/>
    <n v="5682.73"/>
    <n v="30"/>
    <n v="14651.51"/>
    <s v="Profit"/>
  </r>
  <r>
    <s v="L0311"/>
    <x v="148"/>
    <s v="B0311"/>
    <s v="TX"/>
    <n v="12939"/>
    <n v="13.8"/>
    <n v="60"/>
    <x v="0"/>
    <x v="4"/>
    <x v="3"/>
    <n v="55613"/>
    <s v="MORTGAGE"/>
    <n v="0.37"/>
    <n v="0.81"/>
    <n v="14724.58"/>
    <n v="0"/>
    <n v="33"/>
    <n v="-1785.58"/>
    <s v="Loss"/>
  </r>
  <r>
    <s v="L0312"/>
    <x v="264"/>
    <s v="B0312"/>
    <s v="NC"/>
    <n v="26338"/>
    <n v="8.9"/>
    <n v="36"/>
    <x v="1"/>
    <x v="1"/>
    <x v="2"/>
    <n v="44026"/>
    <s v="RENT"/>
    <n v="0.46"/>
    <n v="0.5"/>
    <n v="8198.4599999999991"/>
    <n v="0"/>
    <n v="61"/>
    <n v="18139.54"/>
    <s v="Profit"/>
  </r>
  <r>
    <s v="L0313"/>
    <x v="265"/>
    <s v="B0313"/>
    <s v="CA"/>
    <n v="22730"/>
    <n v="8.6999999999999993"/>
    <n v="60"/>
    <x v="0"/>
    <x v="0"/>
    <x v="0"/>
    <n v="83535"/>
    <s v="OWN"/>
    <n v="0.43"/>
    <n v="0.68"/>
    <n v="24707.51"/>
    <n v="0"/>
    <n v="34"/>
    <n v="-1977.5099999999984"/>
    <s v="Loss"/>
  </r>
  <r>
    <s v="L0314"/>
    <x v="266"/>
    <s v="B0314"/>
    <s v="PA"/>
    <n v="22427"/>
    <n v="6.9"/>
    <n v="36"/>
    <x v="0"/>
    <x v="5"/>
    <x v="3"/>
    <n v="124090"/>
    <s v="RENT"/>
    <n v="0.15"/>
    <n v="0.88"/>
    <n v="23974.46"/>
    <n v="0"/>
    <n v="35"/>
    <n v="-1547.4599999999991"/>
    <s v="Loss"/>
  </r>
  <r>
    <s v="L0315"/>
    <x v="267"/>
    <s v="B0315"/>
    <s v="CA"/>
    <n v="36196"/>
    <n v="12.1"/>
    <n v="36"/>
    <x v="1"/>
    <x v="0"/>
    <x v="3"/>
    <n v="60908"/>
    <s v="MORTGAGE"/>
    <n v="0.15"/>
    <n v="0.66"/>
    <n v="14402.05"/>
    <n v="0"/>
    <n v="31"/>
    <n v="21793.95"/>
    <s v="Profit"/>
  </r>
  <r>
    <s v="L0316"/>
    <x v="268"/>
    <s v="B0316"/>
    <s v="NY"/>
    <n v="28083"/>
    <n v="20.100000000000001"/>
    <n v="36"/>
    <x v="3"/>
    <x v="0"/>
    <x v="1"/>
    <n v="82113"/>
    <s v="RENT"/>
    <n v="0.43"/>
    <n v="0.52"/>
    <n v="5611.04"/>
    <n v="8802.11"/>
    <n v="41"/>
    <n v="22471.96"/>
    <s v="Profit"/>
  </r>
  <r>
    <s v="L0317"/>
    <x v="269"/>
    <s v="B0317"/>
    <s v="PA"/>
    <n v="22510"/>
    <n v="10.5"/>
    <n v="60"/>
    <x v="1"/>
    <x v="1"/>
    <x v="2"/>
    <n v="49610"/>
    <s v="MORTGAGE"/>
    <n v="0.47"/>
    <n v="0.84"/>
    <n v="9547.33"/>
    <n v="0"/>
    <n v="53"/>
    <n v="12962.67"/>
    <s v="Profit"/>
  </r>
  <r>
    <s v="L0318"/>
    <x v="270"/>
    <s v="B0318"/>
    <s v="NY"/>
    <n v="8813"/>
    <n v="11.2"/>
    <n v="60"/>
    <x v="0"/>
    <x v="4"/>
    <x v="3"/>
    <n v="76646"/>
    <s v="OWN"/>
    <n v="0.28000000000000003"/>
    <n v="0.86"/>
    <n v="9800.06"/>
    <n v="0"/>
    <n v="50"/>
    <n v="-987.05999999999949"/>
    <s v="Loss"/>
  </r>
  <r>
    <s v="L0319"/>
    <x v="271"/>
    <s v="B0319"/>
    <s v="GA"/>
    <n v="32598"/>
    <n v="17.899999999999999"/>
    <n v="60"/>
    <x v="0"/>
    <x v="3"/>
    <x v="0"/>
    <n v="135141"/>
    <s v="RENT"/>
    <n v="0.3"/>
    <n v="0.56999999999999995"/>
    <n v="38433.040000000001"/>
    <n v="0"/>
    <n v="41"/>
    <n v="-5835.0400000000009"/>
    <s v="Loss"/>
  </r>
  <r>
    <s v="L0320"/>
    <x v="272"/>
    <s v="B0320"/>
    <s v="IL"/>
    <n v="28570"/>
    <n v="8.9"/>
    <n v="36"/>
    <x v="0"/>
    <x v="0"/>
    <x v="1"/>
    <n v="93185"/>
    <s v="RENT"/>
    <n v="0.23"/>
    <n v="0.74"/>
    <n v="31112.73"/>
    <n v="0"/>
    <n v="41"/>
    <n v="-2542.7299999999996"/>
    <s v="Loss"/>
  </r>
  <r>
    <s v="L0321"/>
    <x v="273"/>
    <s v="B0321"/>
    <s v="TX"/>
    <n v="28082"/>
    <n v="22.9"/>
    <n v="36"/>
    <x v="0"/>
    <x v="4"/>
    <x v="3"/>
    <n v="102567"/>
    <s v="MORTGAGE"/>
    <n v="0.46"/>
    <n v="0.59"/>
    <n v="34512.78"/>
    <n v="0"/>
    <n v="58"/>
    <n v="-6430.7799999999988"/>
    <s v="Loss"/>
  </r>
  <r>
    <s v="L0322"/>
    <x v="274"/>
    <s v="B0322"/>
    <s v="FL"/>
    <n v="30241"/>
    <n v="15.4"/>
    <n v="60"/>
    <x v="0"/>
    <x v="0"/>
    <x v="2"/>
    <n v="77574"/>
    <s v="RENT"/>
    <n v="0.36"/>
    <n v="0.82"/>
    <n v="34898.11"/>
    <n v="0"/>
    <n v="35"/>
    <n v="-4657.1100000000006"/>
    <s v="Loss"/>
  </r>
  <r>
    <s v="L0323"/>
    <x v="275"/>
    <s v="B0323"/>
    <s v="NC"/>
    <n v="31678"/>
    <n v="14"/>
    <n v="60"/>
    <x v="1"/>
    <x v="4"/>
    <x v="1"/>
    <n v="121051"/>
    <s v="RENT"/>
    <n v="0.22"/>
    <n v="0.62"/>
    <n v="5497.96"/>
    <n v="0"/>
    <n v="27"/>
    <n v="26180.04"/>
    <s v="Profit"/>
  </r>
  <r>
    <s v="L0324"/>
    <x v="276"/>
    <s v="B0324"/>
    <s v="FL"/>
    <n v="12745"/>
    <n v="16.2"/>
    <n v="60"/>
    <x v="0"/>
    <x v="3"/>
    <x v="2"/>
    <n v="132020"/>
    <s v="OWN"/>
    <n v="0.22"/>
    <n v="0.64"/>
    <n v="14809.69"/>
    <n v="0"/>
    <n v="38"/>
    <n v="-2064.6900000000005"/>
    <s v="Loss"/>
  </r>
  <r>
    <s v="L0325"/>
    <x v="277"/>
    <s v="B0325"/>
    <s v="MI"/>
    <n v="27029"/>
    <n v="8.3000000000000007"/>
    <n v="36"/>
    <x v="1"/>
    <x v="2"/>
    <x v="2"/>
    <n v="66182"/>
    <s v="MORTGAGE"/>
    <n v="0.46"/>
    <n v="0.88"/>
    <n v="7993.68"/>
    <n v="0"/>
    <n v="58"/>
    <n v="19035.32"/>
    <s v="Profit"/>
  </r>
  <r>
    <s v="L0326"/>
    <x v="278"/>
    <s v="B0326"/>
    <s v="MI"/>
    <n v="14025"/>
    <n v="17.3"/>
    <n v="36"/>
    <x v="0"/>
    <x v="0"/>
    <x v="2"/>
    <n v="146136"/>
    <s v="MORTGAGE"/>
    <n v="0.11"/>
    <n v="0.71"/>
    <n v="16451.32"/>
    <n v="0"/>
    <n v="36"/>
    <n v="-2426.3199999999997"/>
    <s v="Loss"/>
  </r>
  <r>
    <s v="L0327"/>
    <x v="122"/>
    <s v="B0327"/>
    <s v="GA"/>
    <n v="37124"/>
    <n v="12.3"/>
    <n v="36"/>
    <x v="1"/>
    <x v="5"/>
    <x v="1"/>
    <n v="30570"/>
    <s v="OWN"/>
    <n v="0.23"/>
    <n v="0.8"/>
    <n v="5431.36"/>
    <n v="0"/>
    <n v="29"/>
    <n v="31692.639999999999"/>
    <s v="Profit"/>
  </r>
  <r>
    <s v="L0328"/>
    <x v="275"/>
    <s v="B0328"/>
    <s v="IL"/>
    <n v="15288"/>
    <n v="22.9"/>
    <n v="36"/>
    <x v="0"/>
    <x v="1"/>
    <x v="3"/>
    <n v="127790"/>
    <s v="OWN"/>
    <n v="0.32"/>
    <n v="0.68"/>
    <n v="18788.95"/>
    <n v="0"/>
    <n v="27"/>
    <n v="-3500.9500000000007"/>
    <s v="Loss"/>
  </r>
  <r>
    <s v="L0329"/>
    <x v="279"/>
    <s v="B0329"/>
    <s v="MI"/>
    <n v="24650"/>
    <n v="8.4"/>
    <n v="36"/>
    <x v="0"/>
    <x v="0"/>
    <x v="4"/>
    <n v="49288"/>
    <s v="MORTGAGE"/>
    <n v="0.16"/>
    <n v="0.63"/>
    <n v="26720.6"/>
    <n v="0"/>
    <n v="41"/>
    <n v="-2070.5999999999985"/>
    <s v="Loss"/>
  </r>
  <r>
    <s v="L0330"/>
    <x v="280"/>
    <s v="B0330"/>
    <s v="CA"/>
    <n v="7540"/>
    <n v="15.1"/>
    <n v="60"/>
    <x v="0"/>
    <x v="0"/>
    <x v="3"/>
    <n v="108824"/>
    <s v="OWN"/>
    <n v="0.14000000000000001"/>
    <n v="0.78"/>
    <n v="8678.5400000000009"/>
    <n v="0"/>
    <n v="45"/>
    <n v="-1138.5400000000009"/>
    <s v="Loss"/>
  </r>
  <r>
    <s v="L0331"/>
    <x v="281"/>
    <s v="B0331"/>
    <s v="OH"/>
    <n v="33232"/>
    <n v="17"/>
    <n v="36"/>
    <x v="0"/>
    <x v="2"/>
    <x v="1"/>
    <n v="59877"/>
    <s v="OWN"/>
    <n v="0.43"/>
    <n v="0.56999999999999995"/>
    <n v="38881.440000000002"/>
    <n v="0"/>
    <n v="36"/>
    <n v="-5649.4400000000023"/>
    <s v="Loss"/>
  </r>
  <r>
    <s v="L0332"/>
    <x v="282"/>
    <s v="B0332"/>
    <s v="NY"/>
    <n v="17422"/>
    <n v="5.7"/>
    <n v="36"/>
    <x v="3"/>
    <x v="3"/>
    <x v="4"/>
    <n v="114425"/>
    <s v="OWN"/>
    <n v="0.46"/>
    <n v="0.67"/>
    <n v="4227.59"/>
    <n v="6267.26"/>
    <n v="44"/>
    <n v="13194.41"/>
    <s v="Profit"/>
  </r>
  <r>
    <s v="L0333"/>
    <x v="283"/>
    <s v="B0333"/>
    <s v="MI"/>
    <n v="4342"/>
    <n v="12.3"/>
    <n v="36"/>
    <x v="0"/>
    <x v="3"/>
    <x v="4"/>
    <n v="30917"/>
    <s v="MORTGAGE"/>
    <n v="0.43"/>
    <n v="0.59"/>
    <n v="4876.07"/>
    <n v="0"/>
    <n v="46"/>
    <n v="-534.06999999999971"/>
    <s v="Loss"/>
  </r>
  <r>
    <s v="L0334"/>
    <x v="170"/>
    <s v="B0334"/>
    <s v="GA"/>
    <n v="36612"/>
    <n v="19.7"/>
    <n v="36"/>
    <x v="1"/>
    <x v="6"/>
    <x v="4"/>
    <n v="105602"/>
    <s v="OWN"/>
    <n v="0.46"/>
    <n v="0.81"/>
    <n v="7072.66"/>
    <n v="0"/>
    <n v="33"/>
    <n v="29539.34"/>
    <s v="Profit"/>
  </r>
  <r>
    <s v="L0335"/>
    <x v="284"/>
    <s v="B0335"/>
    <s v="NY"/>
    <n v="11396"/>
    <n v="21.4"/>
    <n v="36"/>
    <x v="2"/>
    <x v="1"/>
    <x v="0"/>
    <n v="125040"/>
    <s v="RENT"/>
    <n v="0.32"/>
    <n v="0.92"/>
    <n v="0"/>
    <n v="0"/>
    <n v="39"/>
    <n v="11396"/>
    <s v="Profit"/>
  </r>
  <r>
    <s v="L0336"/>
    <x v="285"/>
    <s v="B0336"/>
    <s v="CA"/>
    <n v="18482"/>
    <n v="11.3"/>
    <n v="60"/>
    <x v="1"/>
    <x v="4"/>
    <x v="1"/>
    <n v="94575"/>
    <s v="RENT"/>
    <n v="0.42"/>
    <n v="0.95"/>
    <n v="3142.25"/>
    <n v="0"/>
    <n v="43"/>
    <n v="15339.75"/>
    <s v="Profit"/>
  </r>
  <r>
    <s v="L0337"/>
    <x v="286"/>
    <s v="B0337"/>
    <s v="IL"/>
    <n v="24411"/>
    <n v="21"/>
    <n v="36"/>
    <x v="0"/>
    <x v="0"/>
    <x v="0"/>
    <n v="102518"/>
    <s v="MORTGAGE"/>
    <n v="0.25"/>
    <n v="0.7"/>
    <n v="29537.31"/>
    <n v="0"/>
    <n v="36"/>
    <n v="-5126.3100000000013"/>
    <s v="Loss"/>
  </r>
  <r>
    <s v="L0338"/>
    <x v="0"/>
    <s v="B0338"/>
    <s v="TX"/>
    <n v="14261"/>
    <n v="24.4"/>
    <n v="36"/>
    <x v="3"/>
    <x v="0"/>
    <x v="4"/>
    <n v="69104"/>
    <s v="OWN"/>
    <n v="0.37"/>
    <n v="0.61"/>
    <n v="5563.15"/>
    <n v="3087.26"/>
    <n v="34"/>
    <n v="8697.85"/>
    <s v="Profit"/>
  </r>
  <r>
    <s v="L0339"/>
    <x v="141"/>
    <s v="B0339"/>
    <s v="FL"/>
    <n v="4093"/>
    <n v="22.1"/>
    <n v="36"/>
    <x v="0"/>
    <x v="1"/>
    <x v="0"/>
    <n v="48062"/>
    <s v="RENT"/>
    <n v="0.5"/>
    <n v="0.7"/>
    <n v="4997.55"/>
    <n v="0"/>
    <n v="54"/>
    <n v="-904.55000000000018"/>
    <s v="Loss"/>
  </r>
  <r>
    <s v="L0340"/>
    <x v="287"/>
    <s v="B0340"/>
    <s v="CA"/>
    <n v="12722"/>
    <n v="7.4"/>
    <n v="60"/>
    <x v="0"/>
    <x v="6"/>
    <x v="0"/>
    <n v="46999"/>
    <s v="MORTGAGE"/>
    <n v="0.19"/>
    <n v="0.88"/>
    <n v="13663.43"/>
    <n v="0"/>
    <n v="57"/>
    <n v="-941.43000000000029"/>
    <s v="Loss"/>
  </r>
  <r>
    <s v="L0341"/>
    <x v="288"/>
    <s v="B0341"/>
    <s v="NC"/>
    <n v="23042"/>
    <n v="19.8"/>
    <n v="60"/>
    <x v="3"/>
    <x v="6"/>
    <x v="1"/>
    <n v="91845"/>
    <s v="RENT"/>
    <n v="0.26"/>
    <n v="0.59"/>
    <n v="3410.73"/>
    <n v="2992.03"/>
    <n v="29"/>
    <n v="19631.27"/>
    <s v="Profit"/>
  </r>
  <r>
    <s v="L0342"/>
    <x v="289"/>
    <s v="B0342"/>
    <s v="PA"/>
    <n v="29087"/>
    <n v="11.4"/>
    <n v="60"/>
    <x v="1"/>
    <x v="2"/>
    <x v="2"/>
    <n v="39941"/>
    <s v="OWN"/>
    <n v="0.28999999999999998"/>
    <n v="0.93"/>
    <n v="11759.78"/>
    <n v="0"/>
    <n v="39"/>
    <n v="17327.22"/>
    <s v="Profit"/>
  </r>
  <r>
    <s v="L0343"/>
    <x v="290"/>
    <s v="B0343"/>
    <s v="GA"/>
    <n v="33347"/>
    <n v="24.8"/>
    <n v="36"/>
    <x v="0"/>
    <x v="6"/>
    <x v="0"/>
    <n v="91169"/>
    <s v="MORTGAGE"/>
    <n v="0.16"/>
    <n v="0.65"/>
    <n v="41617.06"/>
    <n v="0"/>
    <n v="26"/>
    <n v="-8270.0599999999977"/>
    <s v="Loss"/>
  </r>
  <r>
    <s v="L0344"/>
    <x v="291"/>
    <s v="B0344"/>
    <s v="FL"/>
    <n v="34756"/>
    <n v="14.7"/>
    <n v="60"/>
    <x v="0"/>
    <x v="3"/>
    <x v="0"/>
    <n v="53470"/>
    <s v="RENT"/>
    <n v="0.13"/>
    <n v="0.94"/>
    <n v="39865.129999999997"/>
    <n v="0"/>
    <n v="27"/>
    <n v="-5109.1299999999974"/>
    <s v="Loss"/>
  </r>
  <r>
    <s v="L0345"/>
    <x v="292"/>
    <s v="B0345"/>
    <s v="NC"/>
    <n v="17335"/>
    <n v="7.4"/>
    <n v="36"/>
    <x v="0"/>
    <x v="0"/>
    <x v="4"/>
    <n v="140684"/>
    <s v="MORTGAGE"/>
    <n v="0.43"/>
    <n v="0.88"/>
    <n v="18617.79"/>
    <n v="0"/>
    <n v="29"/>
    <n v="-1282.7900000000009"/>
    <s v="Loss"/>
  </r>
  <r>
    <s v="L0346"/>
    <x v="293"/>
    <s v="B0346"/>
    <s v="TX"/>
    <n v="29602"/>
    <n v="19.5"/>
    <n v="36"/>
    <x v="0"/>
    <x v="1"/>
    <x v="4"/>
    <n v="89821"/>
    <s v="RENT"/>
    <n v="0.49"/>
    <n v="0.86"/>
    <n v="35374.39"/>
    <n v="0"/>
    <n v="59"/>
    <n v="-5772.3899999999994"/>
    <s v="Loss"/>
  </r>
  <r>
    <s v="L0347"/>
    <x v="25"/>
    <s v="B0347"/>
    <s v="NC"/>
    <n v="35450"/>
    <n v="11.5"/>
    <n v="60"/>
    <x v="0"/>
    <x v="5"/>
    <x v="4"/>
    <n v="116669"/>
    <s v="RENT"/>
    <n v="0.26"/>
    <n v="0.64"/>
    <n v="39526.75"/>
    <n v="0"/>
    <n v="31"/>
    <n v="-4076.75"/>
    <s v="Loss"/>
  </r>
  <r>
    <s v="L0348"/>
    <x v="294"/>
    <s v="B0348"/>
    <s v="IL"/>
    <n v="33196"/>
    <n v="24.9"/>
    <n v="36"/>
    <x v="2"/>
    <x v="4"/>
    <x v="3"/>
    <n v="148193"/>
    <s v="OWN"/>
    <n v="0.14000000000000001"/>
    <n v="0.5"/>
    <n v="0"/>
    <n v="0"/>
    <n v="29"/>
    <n v="33196"/>
    <s v="Profit"/>
  </r>
  <r>
    <s v="L0349"/>
    <x v="172"/>
    <s v="B0349"/>
    <s v="PA"/>
    <n v="6626"/>
    <n v="24.6"/>
    <n v="36"/>
    <x v="3"/>
    <x v="3"/>
    <x v="0"/>
    <n v="74435"/>
    <s v="OWN"/>
    <n v="0.13"/>
    <n v="0.67"/>
    <n v="2618.92"/>
    <n v="2120.33"/>
    <n v="47"/>
    <n v="4007.08"/>
    <s v="Profit"/>
  </r>
  <r>
    <s v="L0350"/>
    <x v="295"/>
    <s v="B0350"/>
    <s v="NY"/>
    <n v="8424"/>
    <n v="18.100000000000001"/>
    <n v="36"/>
    <x v="3"/>
    <x v="2"/>
    <x v="4"/>
    <n v="34529"/>
    <s v="RENT"/>
    <n v="0.46"/>
    <n v="0.64"/>
    <n v="892.7"/>
    <n v="1919.6"/>
    <n v="32"/>
    <n v="7531.3"/>
    <s v="Profit"/>
  </r>
  <r>
    <s v="L0351"/>
    <x v="296"/>
    <s v="B0351"/>
    <s v="FL"/>
    <n v="13857"/>
    <n v="7.6"/>
    <n v="60"/>
    <x v="0"/>
    <x v="0"/>
    <x v="1"/>
    <n v="113055"/>
    <s v="MORTGAGE"/>
    <n v="0.28999999999999998"/>
    <n v="0.52"/>
    <n v="14910.13"/>
    <n v="0"/>
    <n v="55"/>
    <n v="-1053.1299999999992"/>
    <s v="Loss"/>
  </r>
  <r>
    <s v="L0352"/>
    <x v="297"/>
    <s v="B0352"/>
    <s v="PA"/>
    <n v="20982"/>
    <n v="18.7"/>
    <n v="36"/>
    <x v="1"/>
    <x v="0"/>
    <x v="3"/>
    <n v="42192"/>
    <s v="MORTGAGE"/>
    <n v="0.23"/>
    <n v="0.73"/>
    <n v="7649.25"/>
    <n v="0"/>
    <n v="47"/>
    <n v="13332.75"/>
    <s v="Profit"/>
  </r>
  <r>
    <s v="L0353"/>
    <x v="298"/>
    <s v="B0353"/>
    <s v="OH"/>
    <n v="12425"/>
    <n v="6.9"/>
    <n v="36"/>
    <x v="3"/>
    <x v="1"/>
    <x v="2"/>
    <n v="104102"/>
    <s v="OWN"/>
    <n v="0.28999999999999998"/>
    <n v="0.68"/>
    <n v="2185.23"/>
    <n v="5996.91"/>
    <n v="48"/>
    <n v="10239.77"/>
    <s v="Profit"/>
  </r>
  <r>
    <s v="L0354"/>
    <x v="299"/>
    <s v="B0354"/>
    <s v="CA"/>
    <n v="2980"/>
    <n v="5.6"/>
    <n v="60"/>
    <x v="3"/>
    <x v="5"/>
    <x v="0"/>
    <n v="102762"/>
    <s v="RENT"/>
    <n v="0.23"/>
    <n v="0.79"/>
    <n v="334.2"/>
    <n v="420.5"/>
    <n v="51"/>
    <n v="2645.8"/>
    <s v="Profit"/>
  </r>
  <r>
    <s v="L0355"/>
    <x v="162"/>
    <s v="B0355"/>
    <s v="OH"/>
    <n v="27431"/>
    <n v="21.5"/>
    <n v="36"/>
    <x v="0"/>
    <x v="2"/>
    <x v="0"/>
    <n v="133466"/>
    <s v="OWN"/>
    <n v="0.3"/>
    <n v="0.78"/>
    <n v="33328.660000000003"/>
    <n v="0"/>
    <n v="44"/>
    <n v="-5897.6600000000035"/>
    <s v="Loss"/>
  </r>
  <r>
    <s v="L0356"/>
    <x v="300"/>
    <s v="B0356"/>
    <s v="CA"/>
    <n v="20440"/>
    <n v="9.1999999999999993"/>
    <n v="36"/>
    <x v="0"/>
    <x v="0"/>
    <x v="1"/>
    <n v="144894"/>
    <s v="RENT"/>
    <n v="0.44"/>
    <n v="0.55000000000000004"/>
    <n v="22320.48"/>
    <n v="0"/>
    <n v="50"/>
    <n v="-1880.4799999999996"/>
    <s v="Loss"/>
  </r>
  <r>
    <s v="L0357"/>
    <x v="301"/>
    <s v="B0357"/>
    <s v="IL"/>
    <n v="18175"/>
    <n v="12.6"/>
    <n v="60"/>
    <x v="0"/>
    <x v="0"/>
    <x v="2"/>
    <n v="116795"/>
    <s v="RENT"/>
    <n v="0.34"/>
    <n v="0.94"/>
    <n v="20465.05"/>
    <n v="0"/>
    <n v="61"/>
    <n v="-2290.0499999999993"/>
    <s v="Loss"/>
  </r>
  <r>
    <s v="L0358"/>
    <x v="302"/>
    <s v="B0358"/>
    <s v="PA"/>
    <n v="27385"/>
    <n v="24.5"/>
    <n v="36"/>
    <x v="1"/>
    <x v="4"/>
    <x v="2"/>
    <n v="64087"/>
    <s v="OWN"/>
    <n v="0.38"/>
    <n v="0.57999999999999996"/>
    <n v="6334.16"/>
    <n v="0"/>
    <n v="45"/>
    <n v="21050.84"/>
    <s v="Profit"/>
  </r>
  <r>
    <s v="L0359"/>
    <x v="281"/>
    <s v="B0359"/>
    <s v="TX"/>
    <n v="39158"/>
    <n v="11.7"/>
    <n v="36"/>
    <x v="1"/>
    <x v="0"/>
    <x v="3"/>
    <n v="96677"/>
    <s v="MORTGAGE"/>
    <n v="0.25"/>
    <n v="0.7"/>
    <n v="18437.47"/>
    <n v="0"/>
    <n v="36"/>
    <n v="20720.53"/>
    <s v="Profit"/>
  </r>
  <r>
    <s v="L0360"/>
    <x v="303"/>
    <s v="B0360"/>
    <s v="MI"/>
    <n v="24019"/>
    <n v="10.9"/>
    <n v="36"/>
    <x v="1"/>
    <x v="0"/>
    <x v="0"/>
    <n v="34627"/>
    <s v="OWN"/>
    <n v="0.4"/>
    <n v="0.72"/>
    <n v="1328.11"/>
    <n v="0"/>
    <n v="37"/>
    <n v="22690.89"/>
    <s v="Profit"/>
  </r>
  <r>
    <s v="L0361"/>
    <x v="132"/>
    <s v="B0361"/>
    <s v="NC"/>
    <n v="19639"/>
    <n v="23.4"/>
    <n v="36"/>
    <x v="0"/>
    <x v="2"/>
    <x v="4"/>
    <n v="86541"/>
    <s v="RENT"/>
    <n v="0.37"/>
    <n v="0.87"/>
    <n v="24234.53"/>
    <n v="0"/>
    <n v="48"/>
    <n v="-4595.5299999999988"/>
    <s v="Loss"/>
  </r>
  <r>
    <s v="L0362"/>
    <x v="304"/>
    <s v="B0362"/>
    <s v="MI"/>
    <n v="20994"/>
    <n v="7.2"/>
    <n v="36"/>
    <x v="0"/>
    <x v="4"/>
    <x v="1"/>
    <n v="142805"/>
    <s v="OWN"/>
    <n v="0.15"/>
    <n v="0.54"/>
    <n v="22505.57"/>
    <n v="0"/>
    <n v="37"/>
    <n v="-1511.5699999999997"/>
    <s v="Loss"/>
  </r>
  <r>
    <s v="L0363"/>
    <x v="305"/>
    <s v="B0363"/>
    <s v="PA"/>
    <n v="35375"/>
    <n v="20.2"/>
    <n v="60"/>
    <x v="0"/>
    <x v="4"/>
    <x v="1"/>
    <n v="98226"/>
    <s v="MORTGAGE"/>
    <n v="0.33"/>
    <n v="0.69"/>
    <n v="42520.75"/>
    <n v="0"/>
    <n v="29"/>
    <n v="-7145.75"/>
    <s v="Loss"/>
  </r>
  <r>
    <s v="L0364"/>
    <x v="306"/>
    <s v="B0364"/>
    <s v="OH"/>
    <n v="22563"/>
    <n v="24.8"/>
    <n v="60"/>
    <x v="0"/>
    <x v="0"/>
    <x v="1"/>
    <n v="135627"/>
    <s v="MORTGAGE"/>
    <n v="0.2"/>
    <n v="0.78"/>
    <n v="28158.62"/>
    <n v="0"/>
    <n v="45"/>
    <n v="-5595.619999999999"/>
    <s v="Loss"/>
  </r>
  <r>
    <s v="L0365"/>
    <x v="307"/>
    <s v="B0365"/>
    <s v="MI"/>
    <n v="6776"/>
    <n v="23"/>
    <n v="60"/>
    <x v="0"/>
    <x v="4"/>
    <x v="1"/>
    <n v="33255"/>
    <s v="RENT"/>
    <n v="0.42"/>
    <n v="0.6"/>
    <n v="8334.48"/>
    <n v="0"/>
    <n v="28"/>
    <n v="-1558.4799999999996"/>
    <s v="Loss"/>
  </r>
  <r>
    <s v="L0366"/>
    <x v="64"/>
    <s v="B0366"/>
    <s v="GA"/>
    <n v="37444"/>
    <n v="18"/>
    <n v="60"/>
    <x v="1"/>
    <x v="6"/>
    <x v="4"/>
    <n v="87433"/>
    <s v="OWN"/>
    <n v="0.27"/>
    <n v="0.78"/>
    <n v="11777.96"/>
    <n v="0"/>
    <n v="36"/>
    <n v="25666.04"/>
    <s v="Profit"/>
  </r>
  <r>
    <s v="L0367"/>
    <x v="308"/>
    <s v="B0367"/>
    <s v="MI"/>
    <n v="4380"/>
    <n v="11.3"/>
    <n v="36"/>
    <x v="0"/>
    <x v="5"/>
    <x v="4"/>
    <n v="35213"/>
    <s v="MORTGAGE"/>
    <n v="0.5"/>
    <n v="0.92"/>
    <n v="4874.9399999999996"/>
    <n v="0"/>
    <n v="51"/>
    <n v="-494.9399999999996"/>
    <s v="Loss"/>
  </r>
  <r>
    <s v="L0368"/>
    <x v="309"/>
    <s v="B0368"/>
    <s v="CA"/>
    <n v="9711"/>
    <n v="10.1"/>
    <n v="36"/>
    <x v="1"/>
    <x v="1"/>
    <x v="3"/>
    <n v="132412"/>
    <s v="OWN"/>
    <n v="0.14000000000000001"/>
    <n v="0.95"/>
    <n v="2676.63"/>
    <n v="0"/>
    <n v="54"/>
    <n v="7034.37"/>
    <s v="Profit"/>
  </r>
  <r>
    <s v="L0369"/>
    <x v="212"/>
    <s v="B0369"/>
    <s v="GA"/>
    <n v="9782"/>
    <n v="21.4"/>
    <n v="36"/>
    <x v="0"/>
    <x v="4"/>
    <x v="0"/>
    <n v="49404"/>
    <s v="MORTGAGE"/>
    <n v="0.41"/>
    <n v="0.51"/>
    <n v="11875.35"/>
    <n v="0"/>
    <n v="46"/>
    <n v="-2093.3500000000004"/>
    <s v="Loss"/>
  </r>
  <r>
    <s v="L0370"/>
    <x v="310"/>
    <s v="B0370"/>
    <s v="FL"/>
    <n v="18434"/>
    <n v="22.6"/>
    <n v="36"/>
    <x v="0"/>
    <x v="4"/>
    <x v="4"/>
    <n v="146545"/>
    <s v="RENT"/>
    <n v="0.37"/>
    <n v="0.61"/>
    <n v="22600.080000000002"/>
    <n v="0"/>
    <n v="33"/>
    <n v="-4166.0800000000017"/>
    <s v="Loss"/>
  </r>
  <r>
    <s v="L0371"/>
    <x v="311"/>
    <s v="B0371"/>
    <s v="MI"/>
    <n v="21017"/>
    <n v="15.5"/>
    <n v="36"/>
    <x v="0"/>
    <x v="5"/>
    <x v="3"/>
    <n v="55380"/>
    <s v="RENT"/>
    <n v="0.41"/>
    <n v="0.64"/>
    <n v="24274.639999999999"/>
    <n v="0"/>
    <n v="57"/>
    <n v="-3257.6399999999994"/>
    <s v="Loss"/>
  </r>
  <r>
    <s v="L0372"/>
    <x v="312"/>
    <s v="B0372"/>
    <s v="GA"/>
    <n v="31707"/>
    <n v="9.9"/>
    <n v="60"/>
    <x v="3"/>
    <x v="4"/>
    <x v="2"/>
    <n v="121056"/>
    <s v="OWN"/>
    <n v="0.22"/>
    <n v="0.68"/>
    <n v="11478.42"/>
    <n v="11714.89"/>
    <n v="34"/>
    <n v="20228.580000000002"/>
    <s v="Profit"/>
  </r>
  <r>
    <s v="L0373"/>
    <x v="313"/>
    <s v="B0373"/>
    <s v="PA"/>
    <n v="18343"/>
    <n v="7.3"/>
    <n v="60"/>
    <x v="0"/>
    <x v="6"/>
    <x v="0"/>
    <n v="49173"/>
    <s v="RENT"/>
    <n v="0.3"/>
    <n v="0.61"/>
    <n v="19682.04"/>
    <n v="0"/>
    <n v="39"/>
    <n v="-1339.0400000000009"/>
    <s v="Loss"/>
  </r>
  <r>
    <s v="L0374"/>
    <x v="68"/>
    <s v="B0374"/>
    <s v="NC"/>
    <n v="39827"/>
    <n v="6.7"/>
    <n v="36"/>
    <x v="1"/>
    <x v="4"/>
    <x v="4"/>
    <n v="83027"/>
    <s v="MORTGAGE"/>
    <n v="0.42"/>
    <n v="0.59"/>
    <n v="3496.84"/>
    <n v="0"/>
    <n v="50"/>
    <n v="36330.160000000003"/>
    <s v="Profit"/>
  </r>
  <r>
    <s v="L0375"/>
    <x v="187"/>
    <s v="B0375"/>
    <s v="FL"/>
    <n v="6655"/>
    <n v="19.399999999999999"/>
    <n v="36"/>
    <x v="0"/>
    <x v="1"/>
    <x v="2"/>
    <n v="53989"/>
    <s v="RENT"/>
    <n v="0.19"/>
    <n v="0.93"/>
    <n v="7946.07"/>
    <n v="0"/>
    <n v="31"/>
    <n v="-1291.0699999999997"/>
    <s v="Loss"/>
  </r>
  <r>
    <s v="L0376"/>
    <x v="314"/>
    <s v="B0376"/>
    <s v="TX"/>
    <n v="16251"/>
    <n v="13.4"/>
    <n v="36"/>
    <x v="3"/>
    <x v="0"/>
    <x v="3"/>
    <n v="138106"/>
    <s v="MORTGAGE"/>
    <n v="0.19"/>
    <n v="0.91"/>
    <n v="4947.74"/>
    <n v="1644.69"/>
    <n v="39"/>
    <n v="11303.26"/>
    <s v="Profit"/>
  </r>
  <r>
    <s v="L0377"/>
    <x v="315"/>
    <s v="B0377"/>
    <s v="TX"/>
    <n v="1526"/>
    <n v="23.1"/>
    <n v="60"/>
    <x v="1"/>
    <x v="1"/>
    <x v="4"/>
    <n v="54519"/>
    <s v="MORTGAGE"/>
    <n v="0.32"/>
    <n v="0.52"/>
    <n v="543.33000000000004"/>
    <n v="0"/>
    <n v="27"/>
    <n v="982.67"/>
    <s v="Profit"/>
  </r>
  <r>
    <s v="L0378"/>
    <x v="316"/>
    <s v="B0378"/>
    <s v="IL"/>
    <n v="4224"/>
    <n v="19.8"/>
    <n v="36"/>
    <x v="0"/>
    <x v="2"/>
    <x v="4"/>
    <n v="52439"/>
    <s v="RENT"/>
    <n v="0.31"/>
    <n v="0.65"/>
    <n v="5060.3500000000004"/>
    <n v="0"/>
    <n v="53"/>
    <n v="-836.35000000000036"/>
    <s v="Loss"/>
  </r>
  <r>
    <s v="L0379"/>
    <x v="317"/>
    <s v="B0379"/>
    <s v="MI"/>
    <n v="12536"/>
    <n v="8.8000000000000007"/>
    <n v="36"/>
    <x v="1"/>
    <x v="5"/>
    <x v="2"/>
    <n v="148570"/>
    <s v="MORTGAGE"/>
    <n v="0.21"/>
    <n v="0.68"/>
    <n v="4401.21"/>
    <n v="0"/>
    <n v="49"/>
    <n v="8134.79"/>
    <s v="Profit"/>
  </r>
  <r>
    <s v="L0380"/>
    <x v="318"/>
    <s v="B0380"/>
    <s v="NC"/>
    <n v="29541"/>
    <n v="17.3"/>
    <n v="36"/>
    <x v="0"/>
    <x v="5"/>
    <x v="4"/>
    <n v="106949"/>
    <s v="MORTGAGE"/>
    <n v="0.22"/>
    <n v="0.61"/>
    <n v="34651.589999999997"/>
    <n v="0"/>
    <n v="62"/>
    <n v="-5110.5899999999965"/>
    <s v="Loss"/>
  </r>
  <r>
    <s v="L0381"/>
    <x v="319"/>
    <s v="B0381"/>
    <s v="NY"/>
    <n v="14547"/>
    <n v="13.7"/>
    <n v="60"/>
    <x v="3"/>
    <x v="3"/>
    <x v="1"/>
    <n v="44995"/>
    <s v="OWN"/>
    <n v="0.21"/>
    <n v="0.78"/>
    <n v="5567.14"/>
    <n v="1935.32"/>
    <n v="46"/>
    <n v="8979.86"/>
    <s v="Profit"/>
  </r>
  <r>
    <s v="L0382"/>
    <x v="320"/>
    <s v="B0382"/>
    <s v="GA"/>
    <n v="35531"/>
    <n v="16.5"/>
    <n v="36"/>
    <x v="0"/>
    <x v="5"/>
    <x v="4"/>
    <n v="53559"/>
    <s v="OWN"/>
    <n v="0.41"/>
    <n v="0.79"/>
    <n v="41393.620000000003"/>
    <n v="0"/>
    <n v="37"/>
    <n v="-5862.6200000000026"/>
    <s v="Loss"/>
  </r>
  <r>
    <s v="L0383"/>
    <x v="44"/>
    <s v="B0383"/>
    <s v="FL"/>
    <n v="9712"/>
    <n v="19.8"/>
    <n v="60"/>
    <x v="0"/>
    <x v="4"/>
    <x v="0"/>
    <n v="140887"/>
    <s v="OWN"/>
    <n v="0.36"/>
    <n v="0.88"/>
    <n v="11634.98"/>
    <n v="0"/>
    <n v="61"/>
    <n v="-1922.9799999999996"/>
    <s v="Loss"/>
  </r>
  <r>
    <s v="L0384"/>
    <x v="248"/>
    <s v="B0384"/>
    <s v="PA"/>
    <n v="39565"/>
    <n v="21.1"/>
    <n v="60"/>
    <x v="1"/>
    <x v="4"/>
    <x v="2"/>
    <n v="119049"/>
    <s v="RENT"/>
    <n v="0.43"/>
    <n v="0.83"/>
    <n v="16632.71"/>
    <n v="0"/>
    <n v="38"/>
    <n v="22932.29"/>
    <s v="Profit"/>
  </r>
  <r>
    <s v="L0385"/>
    <x v="321"/>
    <s v="B0385"/>
    <s v="MI"/>
    <n v="10208"/>
    <n v="21.9"/>
    <n v="60"/>
    <x v="1"/>
    <x v="1"/>
    <x v="0"/>
    <n v="35021"/>
    <s v="OWN"/>
    <n v="0.49"/>
    <n v="0.74"/>
    <n v="703.21"/>
    <n v="0"/>
    <n v="34"/>
    <n v="9504.7900000000009"/>
    <s v="Profit"/>
  </r>
  <r>
    <s v="L0386"/>
    <x v="322"/>
    <s v="B0386"/>
    <s v="PA"/>
    <n v="6109"/>
    <n v="10.1"/>
    <n v="60"/>
    <x v="0"/>
    <x v="1"/>
    <x v="3"/>
    <n v="128000"/>
    <s v="MORTGAGE"/>
    <n v="0.28999999999999998"/>
    <n v="0.79"/>
    <n v="6726.01"/>
    <n v="0"/>
    <n v="59"/>
    <n v="-617.01000000000022"/>
    <s v="Loss"/>
  </r>
  <r>
    <s v="L0387"/>
    <x v="43"/>
    <s v="B0387"/>
    <s v="NY"/>
    <n v="36201"/>
    <n v="5.6"/>
    <n v="60"/>
    <x v="1"/>
    <x v="4"/>
    <x v="0"/>
    <n v="51119"/>
    <s v="RENT"/>
    <n v="0.13"/>
    <n v="0.62"/>
    <n v="9484.2000000000007"/>
    <n v="0"/>
    <n v="37"/>
    <n v="26716.799999999999"/>
    <s v="Profit"/>
  </r>
  <r>
    <s v="L0388"/>
    <x v="323"/>
    <s v="B0388"/>
    <s v="IL"/>
    <n v="17967"/>
    <n v="19.8"/>
    <n v="60"/>
    <x v="0"/>
    <x v="4"/>
    <x v="1"/>
    <n v="81539"/>
    <s v="RENT"/>
    <n v="0.12"/>
    <n v="0.77"/>
    <n v="21524.47"/>
    <n v="0"/>
    <n v="42"/>
    <n v="-3557.4700000000012"/>
    <s v="Loss"/>
  </r>
  <r>
    <s v="L0389"/>
    <x v="324"/>
    <s v="B0389"/>
    <s v="NY"/>
    <n v="30759"/>
    <n v="7.1"/>
    <n v="36"/>
    <x v="0"/>
    <x v="3"/>
    <x v="1"/>
    <n v="124835"/>
    <s v="RENT"/>
    <n v="0.22"/>
    <n v="0.72"/>
    <n v="32942.89"/>
    <n v="0"/>
    <n v="30"/>
    <n v="-2183.8899999999994"/>
    <s v="Loss"/>
  </r>
  <r>
    <s v="L0390"/>
    <x v="47"/>
    <s v="B0390"/>
    <s v="CA"/>
    <n v="21172"/>
    <n v="11.3"/>
    <n v="36"/>
    <x v="1"/>
    <x v="0"/>
    <x v="0"/>
    <n v="69350"/>
    <s v="RENT"/>
    <n v="0.47"/>
    <n v="0.56000000000000005"/>
    <n v="4850.0600000000004"/>
    <n v="0"/>
    <n v="29"/>
    <n v="16321.939999999999"/>
    <s v="Profit"/>
  </r>
  <r>
    <s v="L0391"/>
    <x v="325"/>
    <s v="B0391"/>
    <s v="OH"/>
    <n v="37935"/>
    <n v="5.0999999999999996"/>
    <n v="36"/>
    <x v="0"/>
    <x v="4"/>
    <x v="3"/>
    <n v="76223"/>
    <s v="MORTGAGE"/>
    <n v="0.31"/>
    <n v="0.61"/>
    <n v="39869.68"/>
    <n v="0"/>
    <n v="48"/>
    <n v="-1934.6800000000003"/>
    <s v="Loss"/>
  </r>
  <r>
    <s v="L0392"/>
    <x v="326"/>
    <s v="B0392"/>
    <s v="FL"/>
    <n v="27589"/>
    <n v="18.600000000000001"/>
    <n v="60"/>
    <x v="0"/>
    <x v="0"/>
    <x v="4"/>
    <n v="55517"/>
    <s v="MORTGAGE"/>
    <n v="0.21"/>
    <n v="0.63"/>
    <n v="32720.55"/>
    <n v="0"/>
    <n v="58"/>
    <n v="-5131.5499999999993"/>
    <s v="Loss"/>
  </r>
  <r>
    <s v="L0393"/>
    <x v="327"/>
    <s v="B0393"/>
    <s v="OH"/>
    <n v="31015"/>
    <n v="8.3000000000000007"/>
    <n v="36"/>
    <x v="1"/>
    <x v="6"/>
    <x v="1"/>
    <n v="108653"/>
    <s v="OWN"/>
    <n v="0.26"/>
    <n v="0.92"/>
    <n v="5879.4"/>
    <n v="0"/>
    <n v="42"/>
    <n v="25135.599999999999"/>
    <s v="Profit"/>
  </r>
  <r>
    <s v="L0394"/>
    <x v="328"/>
    <s v="B0394"/>
    <s v="NY"/>
    <n v="30009"/>
    <n v="18.100000000000001"/>
    <n v="60"/>
    <x v="0"/>
    <x v="0"/>
    <x v="0"/>
    <n v="52250"/>
    <s v="RENT"/>
    <n v="0.34"/>
    <n v="0.6"/>
    <n v="35440.629999999997"/>
    <n v="0"/>
    <n v="35"/>
    <n v="-5431.6299999999974"/>
    <s v="Loss"/>
  </r>
  <r>
    <s v="L0395"/>
    <x v="329"/>
    <s v="B0395"/>
    <s v="IL"/>
    <n v="18773"/>
    <n v="24.8"/>
    <n v="60"/>
    <x v="1"/>
    <x v="1"/>
    <x v="0"/>
    <n v="114486"/>
    <s v="OWN"/>
    <n v="0.36"/>
    <n v="0.63"/>
    <n v="4751.47"/>
    <n v="0"/>
    <n v="49"/>
    <n v="14021.529999999999"/>
    <s v="Profit"/>
  </r>
  <r>
    <s v="L0396"/>
    <x v="330"/>
    <s v="B0396"/>
    <s v="IL"/>
    <n v="27143"/>
    <n v="6.5"/>
    <n v="60"/>
    <x v="0"/>
    <x v="0"/>
    <x v="0"/>
    <n v="112895"/>
    <s v="MORTGAGE"/>
    <n v="0.16"/>
    <n v="0.67"/>
    <n v="28907.3"/>
    <n v="0"/>
    <n v="38"/>
    <n v="-1764.2999999999993"/>
    <s v="Loss"/>
  </r>
  <r>
    <s v="L0397"/>
    <x v="112"/>
    <s v="B0397"/>
    <s v="TX"/>
    <n v="7154"/>
    <n v="6.5"/>
    <n v="36"/>
    <x v="0"/>
    <x v="1"/>
    <x v="4"/>
    <n v="119132"/>
    <s v="RENT"/>
    <n v="0.49"/>
    <n v="0.8"/>
    <n v="7619.01"/>
    <n v="0"/>
    <n v="29"/>
    <n v="-465.01000000000022"/>
    <s v="Loss"/>
  </r>
  <r>
    <s v="L0398"/>
    <x v="331"/>
    <s v="B0398"/>
    <s v="MI"/>
    <n v="22804"/>
    <n v="11.8"/>
    <n v="60"/>
    <x v="0"/>
    <x v="6"/>
    <x v="2"/>
    <n v="121066"/>
    <s v="MORTGAGE"/>
    <n v="0.32"/>
    <n v="0.55000000000000004"/>
    <n v="25494.87"/>
    <n v="0"/>
    <n v="37"/>
    <n v="-2690.869999999999"/>
    <s v="Loss"/>
  </r>
  <r>
    <s v="L0399"/>
    <x v="332"/>
    <s v="B0399"/>
    <s v="TX"/>
    <n v="21581"/>
    <n v="22.3"/>
    <n v="60"/>
    <x v="1"/>
    <x v="4"/>
    <x v="3"/>
    <n v="96798"/>
    <s v="OWN"/>
    <n v="0.15"/>
    <n v="0.93"/>
    <n v="4810.13"/>
    <n v="0"/>
    <n v="40"/>
    <n v="16770.87"/>
    <s v="Profit"/>
  </r>
  <r>
    <s v="L0400"/>
    <x v="333"/>
    <s v="B0400"/>
    <s v="FL"/>
    <n v="31087"/>
    <n v="9.3000000000000007"/>
    <n v="36"/>
    <x v="1"/>
    <x v="5"/>
    <x v="2"/>
    <n v="84199"/>
    <s v="MORTGAGE"/>
    <n v="0.46"/>
    <n v="0.89"/>
    <n v="7602.33"/>
    <n v="0"/>
    <n v="47"/>
    <n v="23484.67"/>
    <s v="Profit"/>
  </r>
  <r>
    <s v="L0401"/>
    <x v="334"/>
    <s v="B0401"/>
    <s v="FL"/>
    <n v="33981"/>
    <n v="12.2"/>
    <n v="36"/>
    <x v="0"/>
    <x v="4"/>
    <x v="3"/>
    <n v="89546"/>
    <s v="RENT"/>
    <n v="0.13"/>
    <n v="0.76"/>
    <n v="38126.68"/>
    <n v="0"/>
    <n v="32"/>
    <n v="-4145.68"/>
    <s v="Loss"/>
  </r>
  <r>
    <s v="L0402"/>
    <x v="335"/>
    <s v="B0402"/>
    <s v="FL"/>
    <n v="4762"/>
    <n v="6.4"/>
    <n v="60"/>
    <x v="0"/>
    <x v="4"/>
    <x v="3"/>
    <n v="135686"/>
    <s v="RENT"/>
    <n v="0.46"/>
    <n v="0.8"/>
    <n v="5066.7700000000004"/>
    <n v="0"/>
    <n v="56"/>
    <n v="-304.77000000000044"/>
    <s v="Loss"/>
  </r>
  <r>
    <s v="L0403"/>
    <x v="336"/>
    <s v="B0403"/>
    <s v="PA"/>
    <n v="10768"/>
    <n v="20.3"/>
    <n v="60"/>
    <x v="3"/>
    <x v="6"/>
    <x v="0"/>
    <n v="118151"/>
    <s v="OWN"/>
    <n v="0.5"/>
    <n v="0.51"/>
    <n v="4240.21"/>
    <n v="804.81"/>
    <n v="38"/>
    <n v="6527.79"/>
    <s v="Profit"/>
  </r>
  <r>
    <s v="L0404"/>
    <x v="337"/>
    <s v="B0404"/>
    <s v="TX"/>
    <n v="39559"/>
    <n v="13.2"/>
    <n v="36"/>
    <x v="0"/>
    <x v="4"/>
    <x v="1"/>
    <n v="33327"/>
    <s v="RENT"/>
    <n v="0.38"/>
    <n v="0.65"/>
    <n v="44780.79"/>
    <n v="0"/>
    <n v="30"/>
    <n v="-5221.7900000000009"/>
    <s v="Loss"/>
  </r>
  <r>
    <s v="L0405"/>
    <x v="292"/>
    <s v="B0405"/>
    <s v="PA"/>
    <n v="9783"/>
    <n v="20.2"/>
    <n v="36"/>
    <x v="3"/>
    <x v="1"/>
    <x v="0"/>
    <n v="59768"/>
    <s v="MORTGAGE"/>
    <n v="0.41"/>
    <n v="0.86"/>
    <n v="1238.43"/>
    <n v="3866.9"/>
    <n v="29"/>
    <n v="8544.57"/>
    <s v="Profit"/>
  </r>
  <r>
    <s v="L0406"/>
    <x v="113"/>
    <s v="B0406"/>
    <s v="OH"/>
    <n v="30781"/>
    <n v="23.1"/>
    <n v="36"/>
    <x v="0"/>
    <x v="0"/>
    <x v="4"/>
    <n v="94418"/>
    <s v="MORTGAGE"/>
    <n v="0.23"/>
    <n v="0.53"/>
    <n v="37891.410000000003"/>
    <n v="0"/>
    <n v="59"/>
    <n v="-7110.4100000000035"/>
    <s v="Loss"/>
  </r>
  <r>
    <s v="L0407"/>
    <x v="338"/>
    <s v="B0407"/>
    <s v="MI"/>
    <n v="31811"/>
    <n v="9.6999999999999993"/>
    <n v="60"/>
    <x v="1"/>
    <x v="0"/>
    <x v="3"/>
    <n v="124386"/>
    <s v="MORTGAGE"/>
    <n v="0.48"/>
    <n v="0.63"/>
    <n v="14792.24"/>
    <n v="0"/>
    <n v="40"/>
    <n v="17018.760000000002"/>
    <s v="Profit"/>
  </r>
  <r>
    <s v="L0408"/>
    <x v="339"/>
    <s v="B0408"/>
    <s v="NY"/>
    <n v="36488"/>
    <n v="21.1"/>
    <n v="36"/>
    <x v="0"/>
    <x v="4"/>
    <x v="1"/>
    <n v="146947"/>
    <s v="MORTGAGE"/>
    <n v="0.31"/>
    <n v="0.76"/>
    <n v="44186.97"/>
    <n v="0"/>
    <n v="61"/>
    <n v="-7698.9700000000012"/>
    <s v="Loss"/>
  </r>
  <r>
    <s v="L0409"/>
    <x v="340"/>
    <s v="B0409"/>
    <s v="GA"/>
    <n v="9905"/>
    <n v="6.2"/>
    <n v="36"/>
    <x v="3"/>
    <x v="5"/>
    <x v="3"/>
    <n v="72788"/>
    <s v="OWN"/>
    <n v="0.39"/>
    <n v="0.62"/>
    <n v="2417.52"/>
    <n v="3932.05"/>
    <n v="53"/>
    <n v="7487.48"/>
    <s v="Profit"/>
  </r>
  <r>
    <s v="L0410"/>
    <x v="65"/>
    <s v="B0410"/>
    <s v="TX"/>
    <n v="10127"/>
    <n v="23"/>
    <n v="36"/>
    <x v="1"/>
    <x v="5"/>
    <x v="3"/>
    <n v="145945"/>
    <s v="MORTGAGE"/>
    <n v="0.47"/>
    <n v="0.92"/>
    <n v="3348.84"/>
    <n v="0"/>
    <n v="55"/>
    <n v="6778.16"/>
    <s v="Profit"/>
  </r>
  <r>
    <s v="L0411"/>
    <x v="265"/>
    <s v="B0411"/>
    <s v="GA"/>
    <n v="23431"/>
    <n v="18"/>
    <n v="60"/>
    <x v="0"/>
    <x v="1"/>
    <x v="0"/>
    <n v="112384"/>
    <s v="OWN"/>
    <n v="0.49"/>
    <n v="0.56000000000000005"/>
    <n v="27648.58"/>
    <n v="0"/>
    <n v="34"/>
    <n v="-4217.5800000000017"/>
    <s v="Loss"/>
  </r>
  <r>
    <s v="L0412"/>
    <x v="341"/>
    <s v="B0412"/>
    <s v="IL"/>
    <n v="7368"/>
    <n v="22.5"/>
    <n v="36"/>
    <x v="0"/>
    <x v="0"/>
    <x v="1"/>
    <n v="76830"/>
    <s v="MORTGAGE"/>
    <n v="0.43"/>
    <n v="0.86"/>
    <n v="9025.7999999999993"/>
    <n v="0"/>
    <n v="33"/>
    <n v="-1657.7999999999993"/>
    <s v="Loss"/>
  </r>
  <r>
    <s v="L0413"/>
    <x v="342"/>
    <s v="B0413"/>
    <s v="TX"/>
    <n v="28424"/>
    <n v="5"/>
    <n v="36"/>
    <x v="1"/>
    <x v="0"/>
    <x v="1"/>
    <n v="82446"/>
    <s v="OWN"/>
    <n v="0.22"/>
    <n v="0.73"/>
    <n v="12039.9"/>
    <n v="0"/>
    <n v="60"/>
    <n v="16384.099999999999"/>
    <s v="Profit"/>
  </r>
  <r>
    <s v="L0414"/>
    <x v="343"/>
    <s v="B0414"/>
    <s v="OH"/>
    <n v="19333"/>
    <n v="8.4"/>
    <n v="36"/>
    <x v="1"/>
    <x v="1"/>
    <x v="3"/>
    <n v="135078"/>
    <s v="MORTGAGE"/>
    <n v="0.49"/>
    <n v="0.84"/>
    <n v="4102.62"/>
    <n v="0"/>
    <n v="43"/>
    <n v="15230.380000000001"/>
    <s v="Profit"/>
  </r>
  <r>
    <s v="L0415"/>
    <x v="330"/>
    <s v="B0415"/>
    <s v="TX"/>
    <n v="24116"/>
    <n v="12.8"/>
    <n v="36"/>
    <x v="0"/>
    <x v="6"/>
    <x v="1"/>
    <n v="45160"/>
    <s v="MORTGAGE"/>
    <n v="0.35"/>
    <n v="0.64"/>
    <n v="27202.85"/>
    <n v="0"/>
    <n v="38"/>
    <n v="-3086.8499999999985"/>
    <s v="Loss"/>
  </r>
  <r>
    <s v="L0416"/>
    <x v="317"/>
    <s v="B0416"/>
    <s v="PA"/>
    <n v="16525"/>
    <n v="12.6"/>
    <n v="36"/>
    <x v="0"/>
    <x v="0"/>
    <x v="1"/>
    <n v="86583"/>
    <s v="OWN"/>
    <n v="0.47"/>
    <n v="0.73"/>
    <n v="18607.150000000001"/>
    <n v="0"/>
    <n v="49"/>
    <n v="-2082.1500000000015"/>
    <s v="Loss"/>
  </r>
  <r>
    <s v="L0417"/>
    <x v="134"/>
    <s v="B0417"/>
    <s v="MI"/>
    <n v="24398"/>
    <n v="9.5"/>
    <n v="60"/>
    <x v="1"/>
    <x v="5"/>
    <x v="0"/>
    <n v="63998"/>
    <s v="RENT"/>
    <n v="0.37"/>
    <n v="0.89"/>
    <n v="5945.55"/>
    <n v="0"/>
    <n v="39"/>
    <n v="18452.45"/>
    <s v="Profit"/>
  </r>
  <r>
    <s v="L0418"/>
    <x v="344"/>
    <s v="B0418"/>
    <s v="NY"/>
    <n v="33857"/>
    <n v="12.6"/>
    <n v="60"/>
    <x v="0"/>
    <x v="4"/>
    <x v="2"/>
    <n v="57230"/>
    <s v="RENT"/>
    <n v="0.22"/>
    <n v="0.71"/>
    <n v="38122.980000000003"/>
    <n v="0"/>
    <n v="28"/>
    <n v="-4265.9800000000032"/>
    <s v="Loss"/>
  </r>
  <r>
    <s v="L0419"/>
    <x v="345"/>
    <s v="B0419"/>
    <s v="NC"/>
    <n v="11361"/>
    <n v="7.6"/>
    <n v="60"/>
    <x v="1"/>
    <x v="6"/>
    <x v="4"/>
    <n v="39076"/>
    <s v="RENT"/>
    <n v="0.25"/>
    <n v="0.66"/>
    <n v="2661.69"/>
    <n v="0"/>
    <n v="56"/>
    <n v="8699.31"/>
    <s v="Profit"/>
  </r>
  <r>
    <s v="L0420"/>
    <x v="346"/>
    <s v="B0420"/>
    <s v="NY"/>
    <n v="17369"/>
    <n v="13.3"/>
    <n v="36"/>
    <x v="0"/>
    <x v="6"/>
    <x v="2"/>
    <n v="99341"/>
    <s v="OWN"/>
    <n v="0.32"/>
    <n v="0.74"/>
    <n v="19679.080000000002"/>
    <n v="0"/>
    <n v="49"/>
    <n v="-2310.0800000000017"/>
    <s v="Loss"/>
  </r>
  <r>
    <s v="L0421"/>
    <x v="347"/>
    <s v="B0421"/>
    <s v="NY"/>
    <n v="4041"/>
    <n v="21"/>
    <n v="60"/>
    <x v="3"/>
    <x v="6"/>
    <x v="1"/>
    <n v="61085"/>
    <s v="RENT"/>
    <n v="0.42"/>
    <n v="0.82"/>
    <n v="858.39"/>
    <n v="1009"/>
    <n v="47"/>
    <n v="3182.61"/>
    <s v="Profit"/>
  </r>
  <r>
    <s v="L0422"/>
    <x v="348"/>
    <s v="B0422"/>
    <s v="IL"/>
    <n v="1105"/>
    <n v="14.6"/>
    <n v="60"/>
    <x v="3"/>
    <x v="1"/>
    <x v="3"/>
    <n v="85571"/>
    <s v="RENT"/>
    <n v="0.23"/>
    <n v="0.7"/>
    <n v="417.31"/>
    <n v="388.04"/>
    <n v="60"/>
    <n v="687.69"/>
    <s v="Profit"/>
  </r>
  <r>
    <s v="L0423"/>
    <x v="349"/>
    <s v="B0423"/>
    <s v="OH"/>
    <n v="10078"/>
    <n v="5.4"/>
    <n v="60"/>
    <x v="4"/>
    <x v="4"/>
    <x v="4"/>
    <n v="44715"/>
    <s v="OWN"/>
    <n v="0.33"/>
    <n v="0.92"/>
    <n v="0"/>
    <n v="0"/>
    <n v="53"/>
    <n v="10078"/>
    <s v="Profit"/>
  </r>
  <r>
    <s v="L0424"/>
    <x v="350"/>
    <s v="B0424"/>
    <s v="GA"/>
    <n v="26003"/>
    <n v="13.4"/>
    <n v="36"/>
    <x v="0"/>
    <x v="6"/>
    <x v="4"/>
    <n v="35750"/>
    <s v="RENT"/>
    <n v="0.24"/>
    <n v="0.63"/>
    <n v="29487.4"/>
    <n v="0"/>
    <n v="47"/>
    <n v="-3484.4000000000015"/>
    <s v="Loss"/>
  </r>
  <r>
    <s v="L0425"/>
    <x v="351"/>
    <s v="B0425"/>
    <s v="OH"/>
    <n v="7090"/>
    <n v="5.5"/>
    <n v="36"/>
    <x v="3"/>
    <x v="5"/>
    <x v="3"/>
    <n v="143931"/>
    <s v="RENT"/>
    <n v="0.43"/>
    <n v="0.71"/>
    <n v="2472.13"/>
    <n v="1824.75"/>
    <n v="39"/>
    <n v="4617.87"/>
    <s v="Profit"/>
  </r>
  <r>
    <s v="L0426"/>
    <x v="352"/>
    <s v="B0426"/>
    <s v="NC"/>
    <n v="39850"/>
    <n v="24.3"/>
    <n v="60"/>
    <x v="0"/>
    <x v="0"/>
    <x v="4"/>
    <n v="108768"/>
    <s v="RENT"/>
    <n v="0.28999999999999998"/>
    <n v="0.84"/>
    <n v="49533.55"/>
    <n v="0"/>
    <n v="38"/>
    <n v="-9683.5500000000029"/>
    <s v="Loss"/>
  </r>
  <r>
    <s v="L0427"/>
    <x v="353"/>
    <s v="B0427"/>
    <s v="IL"/>
    <n v="2925"/>
    <n v="7.5"/>
    <n v="60"/>
    <x v="1"/>
    <x v="5"/>
    <x v="3"/>
    <n v="148544"/>
    <s v="OWN"/>
    <n v="0.13"/>
    <n v="0.81"/>
    <n v="289.72000000000003"/>
    <n v="0"/>
    <n v="34"/>
    <n v="2635.2799999999997"/>
    <s v="Profit"/>
  </r>
  <r>
    <s v="L0428"/>
    <x v="152"/>
    <s v="B0428"/>
    <s v="MI"/>
    <n v="19440"/>
    <n v="19.2"/>
    <n v="36"/>
    <x v="0"/>
    <x v="2"/>
    <x v="4"/>
    <n v="65903"/>
    <s v="OWN"/>
    <n v="0.17"/>
    <n v="0.89"/>
    <n v="23172.48"/>
    <n v="0"/>
    <n v="57"/>
    <n v="-3732.4799999999996"/>
    <s v="Loss"/>
  </r>
  <r>
    <s v="L0429"/>
    <x v="354"/>
    <s v="B0429"/>
    <s v="NY"/>
    <n v="27015"/>
    <n v="24.5"/>
    <n v="36"/>
    <x v="0"/>
    <x v="2"/>
    <x v="2"/>
    <n v="102489"/>
    <s v="RENT"/>
    <n v="0.12"/>
    <n v="0.95"/>
    <n v="33633.68"/>
    <n v="0"/>
    <n v="33"/>
    <n v="-6618.68"/>
    <s v="Loss"/>
  </r>
  <r>
    <s v="L0430"/>
    <x v="290"/>
    <s v="B0430"/>
    <s v="PA"/>
    <n v="34320"/>
    <n v="21.5"/>
    <n v="60"/>
    <x v="3"/>
    <x v="0"/>
    <x v="4"/>
    <n v="62093"/>
    <s v="RENT"/>
    <n v="0.3"/>
    <n v="0.69"/>
    <n v="4545.24"/>
    <n v="12356.63"/>
    <n v="26"/>
    <n v="29774.760000000002"/>
    <s v="Profit"/>
  </r>
  <r>
    <s v="L0431"/>
    <x v="346"/>
    <s v="B0431"/>
    <s v="IL"/>
    <n v="26291"/>
    <n v="19"/>
    <n v="36"/>
    <x v="0"/>
    <x v="1"/>
    <x v="0"/>
    <n v="121036"/>
    <s v="OWN"/>
    <n v="0.14000000000000001"/>
    <n v="0.55000000000000004"/>
    <n v="31286.29"/>
    <n v="0"/>
    <n v="49"/>
    <n v="-4995.2900000000009"/>
    <s v="Loss"/>
  </r>
  <r>
    <s v="L0432"/>
    <x v="355"/>
    <s v="B0432"/>
    <s v="FL"/>
    <n v="37679"/>
    <n v="21.8"/>
    <n v="60"/>
    <x v="1"/>
    <x v="6"/>
    <x v="3"/>
    <n v="117954"/>
    <s v="RENT"/>
    <n v="0.15"/>
    <n v="0.51"/>
    <n v="9138.7099999999991"/>
    <n v="0"/>
    <n v="28"/>
    <n v="28540.29"/>
    <s v="Profit"/>
  </r>
  <r>
    <s v="L0433"/>
    <x v="356"/>
    <s v="B0433"/>
    <s v="TX"/>
    <n v="27289"/>
    <n v="24.6"/>
    <n v="36"/>
    <x v="1"/>
    <x v="4"/>
    <x v="4"/>
    <n v="149277"/>
    <s v="OWN"/>
    <n v="0.48"/>
    <n v="0.83"/>
    <n v="2575.9699999999998"/>
    <n v="0"/>
    <n v="31"/>
    <n v="24713.03"/>
    <s v="Profit"/>
  </r>
  <r>
    <s v="L0434"/>
    <x v="357"/>
    <s v="B0434"/>
    <s v="OH"/>
    <n v="4389"/>
    <n v="17.399999999999999"/>
    <n v="60"/>
    <x v="1"/>
    <x v="5"/>
    <x v="3"/>
    <n v="64314"/>
    <s v="RENT"/>
    <n v="0.45"/>
    <n v="0.89"/>
    <n v="1442.19"/>
    <n v="0"/>
    <n v="33"/>
    <n v="2946.81"/>
    <s v="Profit"/>
  </r>
  <r>
    <s v="L0435"/>
    <x v="358"/>
    <s v="B0435"/>
    <s v="IL"/>
    <n v="26683"/>
    <n v="16.2"/>
    <n v="60"/>
    <x v="0"/>
    <x v="1"/>
    <x v="0"/>
    <n v="78225"/>
    <s v="OWN"/>
    <n v="0.28000000000000003"/>
    <n v="0.6"/>
    <n v="31005.65"/>
    <n v="0"/>
    <n v="43"/>
    <n v="-4322.6500000000015"/>
    <s v="Loss"/>
  </r>
  <r>
    <s v="L0436"/>
    <x v="231"/>
    <s v="B0436"/>
    <s v="FL"/>
    <n v="14629"/>
    <n v="17.600000000000001"/>
    <n v="36"/>
    <x v="0"/>
    <x v="4"/>
    <x v="4"/>
    <n v="117985"/>
    <s v="MORTGAGE"/>
    <n v="0.49"/>
    <n v="0.56999999999999995"/>
    <n v="17203.7"/>
    <n v="0"/>
    <n v="27"/>
    <n v="-2574.7000000000007"/>
    <s v="Loss"/>
  </r>
  <r>
    <s v="L0437"/>
    <x v="359"/>
    <s v="B0437"/>
    <s v="GA"/>
    <n v="25826"/>
    <n v="15.7"/>
    <n v="60"/>
    <x v="1"/>
    <x v="0"/>
    <x v="4"/>
    <n v="113014"/>
    <s v="MORTGAGE"/>
    <n v="0.1"/>
    <n v="0.53"/>
    <n v="2961.24"/>
    <n v="0"/>
    <n v="59"/>
    <n v="22864.760000000002"/>
    <s v="Profit"/>
  </r>
  <r>
    <s v="L0438"/>
    <x v="360"/>
    <s v="B0438"/>
    <s v="NC"/>
    <n v="36198"/>
    <n v="17.7"/>
    <n v="60"/>
    <x v="0"/>
    <x v="1"/>
    <x v="0"/>
    <n v="65179"/>
    <s v="OWN"/>
    <n v="0.35"/>
    <n v="0.87"/>
    <n v="42605.05"/>
    <n v="0"/>
    <n v="27"/>
    <n v="-6407.0500000000029"/>
    <s v="Loss"/>
  </r>
  <r>
    <s v="L0439"/>
    <x v="361"/>
    <s v="B0439"/>
    <s v="NC"/>
    <n v="27630"/>
    <n v="14"/>
    <n v="60"/>
    <x v="0"/>
    <x v="2"/>
    <x v="0"/>
    <n v="147305"/>
    <s v="MORTGAGE"/>
    <n v="0.35"/>
    <n v="0.64"/>
    <n v="31498.2"/>
    <n v="0"/>
    <n v="31"/>
    <n v="-3868.2000000000007"/>
    <s v="Loss"/>
  </r>
  <r>
    <s v="L0440"/>
    <x v="102"/>
    <s v="B0440"/>
    <s v="NY"/>
    <n v="34226"/>
    <n v="9.4"/>
    <n v="36"/>
    <x v="0"/>
    <x v="1"/>
    <x v="0"/>
    <n v="142417"/>
    <s v="RENT"/>
    <n v="0.28000000000000003"/>
    <n v="0.68"/>
    <n v="37443.24"/>
    <n v="0"/>
    <n v="49"/>
    <n v="-3217.239999999998"/>
    <s v="Loss"/>
  </r>
  <r>
    <s v="L0441"/>
    <x v="279"/>
    <s v="B0441"/>
    <s v="NY"/>
    <n v="33975"/>
    <n v="7.4"/>
    <n v="36"/>
    <x v="0"/>
    <x v="1"/>
    <x v="3"/>
    <n v="55338"/>
    <s v="OWN"/>
    <n v="0.26"/>
    <n v="0.73"/>
    <n v="36489.15"/>
    <n v="0"/>
    <n v="41"/>
    <n v="-2514.1500000000015"/>
    <s v="Loss"/>
  </r>
  <r>
    <s v="L0442"/>
    <x v="362"/>
    <s v="B0442"/>
    <s v="IL"/>
    <n v="1899"/>
    <n v="6.4"/>
    <n v="36"/>
    <x v="3"/>
    <x v="4"/>
    <x v="0"/>
    <n v="122435"/>
    <s v="OWN"/>
    <n v="0.28000000000000003"/>
    <n v="0.88"/>
    <n v="487.5"/>
    <n v="737.8"/>
    <n v="38"/>
    <n v="1411.5"/>
    <s v="Profit"/>
  </r>
  <r>
    <s v="L0443"/>
    <x v="363"/>
    <s v="B0443"/>
    <s v="IL"/>
    <n v="12653"/>
    <n v="10.3"/>
    <n v="60"/>
    <x v="0"/>
    <x v="0"/>
    <x v="3"/>
    <n v="99681"/>
    <s v="RENT"/>
    <n v="0.27"/>
    <n v="0.79"/>
    <n v="13956.26"/>
    <n v="0"/>
    <n v="54"/>
    <n v="-1303.2600000000002"/>
    <s v="Loss"/>
  </r>
  <r>
    <s v="L0444"/>
    <x v="364"/>
    <s v="B0444"/>
    <s v="MI"/>
    <n v="28961"/>
    <n v="5.9"/>
    <n v="36"/>
    <x v="1"/>
    <x v="1"/>
    <x v="2"/>
    <n v="62101"/>
    <s v="RENT"/>
    <n v="0.39"/>
    <n v="0.78"/>
    <n v="1542.14"/>
    <n v="0"/>
    <n v="41"/>
    <n v="27418.86"/>
    <s v="Profit"/>
  </r>
  <r>
    <s v="L0445"/>
    <x v="365"/>
    <s v="B0445"/>
    <s v="TX"/>
    <n v="17405"/>
    <n v="16.3"/>
    <n v="60"/>
    <x v="0"/>
    <x v="4"/>
    <x v="4"/>
    <n v="32775"/>
    <s v="OWN"/>
    <n v="0.15"/>
    <n v="0.57999999999999996"/>
    <n v="20242.02"/>
    <n v="0"/>
    <n v="37"/>
    <n v="-2837.0200000000004"/>
    <s v="Loss"/>
  </r>
  <r>
    <s v="L0446"/>
    <x v="366"/>
    <s v="B0446"/>
    <s v="CA"/>
    <n v="9601"/>
    <n v="10.7"/>
    <n v="60"/>
    <x v="0"/>
    <x v="6"/>
    <x v="4"/>
    <n v="141497"/>
    <s v="RENT"/>
    <n v="0.18"/>
    <n v="0.73"/>
    <n v="10628.31"/>
    <n v="0"/>
    <n v="43"/>
    <n v="-1027.3099999999995"/>
    <s v="Loss"/>
  </r>
  <r>
    <s v="L0447"/>
    <x v="367"/>
    <s v="B0447"/>
    <s v="GA"/>
    <n v="34662"/>
    <n v="21.5"/>
    <n v="36"/>
    <x v="0"/>
    <x v="0"/>
    <x v="1"/>
    <n v="127183"/>
    <s v="OWN"/>
    <n v="0.17"/>
    <n v="0.82"/>
    <n v="42114.33"/>
    <n v="0"/>
    <n v="28"/>
    <n v="-7452.3300000000017"/>
    <s v="Loss"/>
  </r>
  <r>
    <s v="L0448"/>
    <x v="368"/>
    <s v="B0448"/>
    <s v="NY"/>
    <n v="34282"/>
    <n v="6.5"/>
    <n v="36"/>
    <x v="0"/>
    <x v="4"/>
    <x v="2"/>
    <n v="75619"/>
    <s v="RENT"/>
    <n v="0.2"/>
    <n v="0.94"/>
    <n v="36510.33"/>
    <n v="0"/>
    <n v="31"/>
    <n v="-2228.3300000000017"/>
    <s v="Loss"/>
  </r>
  <r>
    <s v="L0449"/>
    <x v="369"/>
    <s v="B0449"/>
    <s v="CA"/>
    <n v="22288"/>
    <n v="9.5"/>
    <n v="60"/>
    <x v="0"/>
    <x v="4"/>
    <x v="0"/>
    <n v="75838"/>
    <s v="OWN"/>
    <n v="0.31"/>
    <n v="0.59"/>
    <n v="24405.360000000001"/>
    <n v="0"/>
    <n v="46"/>
    <n v="-2117.3600000000006"/>
    <s v="Loss"/>
  </r>
  <r>
    <s v="L0450"/>
    <x v="370"/>
    <s v="B0450"/>
    <s v="CA"/>
    <n v="30545"/>
    <n v="19.600000000000001"/>
    <n v="60"/>
    <x v="1"/>
    <x v="2"/>
    <x v="0"/>
    <n v="49539"/>
    <s v="RENT"/>
    <n v="0.14000000000000001"/>
    <n v="0.5"/>
    <n v="5878.95"/>
    <n v="0"/>
    <n v="32"/>
    <n v="24666.05"/>
    <s v="Profit"/>
  </r>
  <r>
    <s v="L0451"/>
    <x v="371"/>
    <s v="B0451"/>
    <s v="TX"/>
    <n v="37877"/>
    <n v="17"/>
    <n v="36"/>
    <x v="0"/>
    <x v="0"/>
    <x v="2"/>
    <n v="132274"/>
    <s v="RENT"/>
    <n v="0.45"/>
    <n v="0.53"/>
    <n v="44316.09"/>
    <n v="0"/>
    <n v="57"/>
    <n v="-6439.0899999999965"/>
    <s v="Loss"/>
  </r>
  <r>
    <s v="L0452"/>
    <x v="372"/>
    <s v="B0452"/>
    <s v="PA"/>
    <n v="16313"/>
    <n v="6.3"/>
    <n v="36"/>
    <x v="0"/>
    <x v="0"/>
    <x v="0"/>
    <n v="87124"/>
    <s v="MORTGAGE"/>
    <n v="0.22"/>
    <n v="0.67"/>
    <n v="17340.72"/>
    <n v="0"/>
    <n v="31"/>
    <n v="-1027.7200000000012"/>
    <s v="Loss"/>
  </r>
  <r>
    <s v="L0453"/>
    <x v="104"/>
    <s v="B0453"/>
    <s v="PA"/>
    <n v="16349"/>
    <n v="22.5"/>
    <n v="36"/>
    <x v="0"/>
    <x v="0"/>
    <x v="1"/>
    <n v="95149"/>
    <s v="MORTGAGE"/>
    <n v="0.17"/>
    <n v="0.87"/>
    <n v="20027.53"/>
    <n v="0"/>
    <n v="36"/>
    <n v="-3678.5299999999988"/>
    <s v="Loss"/>
  </r>
  <r>
    <s v="L0454"/>
    <x v="279"/>
    <s v="B0454"/>
    <s v="NY"/>
    <n v="8179"/>
    <n v="22.5"/>
    <n v="60"/>
    <x v="0"/>
    <x v="6"/>
    <x v="3"/>
    <n v="56616"/>
    <s v="MORTGAGE"/>
    <n v="0.37"/>
    <n v="0.5"/>
    <n v="10019.280000000001"/>
    <n v="0"/>
    <n v="41"/>
    <n v="-1840.2800000000007"/>
    <s v="Loss"/>
  </r>
  <r>
    <s v="L0455"/>
    <x v="373"/>
    <s v="B0455"/>
    <s v="FL"/>
    <n v="11326"/>
    <n v="11.6"/>
    <n v="60"/>
    <x v="3"/>
    <x v="0"/>
    <x v="4"/>
    <n v="109655"/>
    <s v="RENT"/>
    <n v="0.12"/>
    <n v="0.71"/>
    <n v="3433.56"/>
    <n v="1960.48"/>
    <n v="61"/>
    <n v="7892.4400000000005"/>
    <s v="Profit"/>
  </r>
  <r>
    <s v="L0456"/>
    <x v="374"/>
    <s v="B0456"/>
    <s v="TX"/>
    <n v="2560"/>
    <n v="11.8"/>
    <n v="60"/>
    <x v="0"/>
    <x v="0"/>
    <x v="2"/>
    <n v="120695"/>
    <s v="OWN"/>
    <n v="0.35"/>
    <n v="0.65"/>
    <n v="2862.08"/>
    <n v="0"/>
    <n v="51"/>
    <n v="-302.07999999999993"/>
    <s v="Loss"/>
  </r>
  <r>
    <s v="L0457"/>
    <x v="375"/>
    <s v="B0457"/>
    <s v="TX"/>
    <n v="14612"/>
    <n v="24.8"/>
    <n v="60"/>
    <x v="0"/>
    <x v="0"/>
    <x v="4"/>
    <n v="84567"/>
    <s v="RENT"/>
    <n v="0.38"/>
    <n v="0.52"/>
    <n v="18235.78"/>
    <n v="0"/>
    <n v="46"/>
    <n v="-3623.7799999999988"/>
    <s v="Loss"/>
  </r>
  <r>
    <s v="L0458"/>
    <x v="21"/>
    <s v="B0458"/>
    <s v="OH"/>
    <n v="18650"/>
    <n v="17.5"/>
    <n v="60"/>
    <x v="0"/>
    <x v="1"/>
    <x v="3"/>
    <n v="67099"/>
    <s v="MORTGAGE"/>
    <n v="0.19"/>
    <n v="0.7"/>
    <n v="21913.75"/>
    <n v="0"/>
    <n v="45"/>
    <n v="-3263.75"/>
    <s v="Loss"/>
  </r>
  <r>
    <s v="L0459"/>
    <x v="65"/>
    <s v="B0459"/>
    <s v="CA"/>
    <n v="27745"/>
    <n v="15.6"/>
    <n v="36"/>
    <x v="2"/>
    <x v="0"/>
    <x v="2"/>
    <n v="105831"/>
    <s v="RENT"/>
    <n v="0.12"/>
    <n v="0.61"/>
    <n v="0"/>
    <n v="0"/>
    <n v="55"/>
    <n v="27745"/>
    <s v="Profit"/>
  </r>
  <r>
    <s v="L0460"/>
    <x v="376"/>
    <s v="B0460"/>
    <s v="OH"/>
    <n v="32890"/>
    <n v="21.8"/>
    <n v="36"/>
    <x v="0"/>
    <x v="4"/>
    <x v="3"/>
    <n v="130246"/>
    <s v="MORTGAGE"/>
    <n v="0.25"/>
    <n v="0.66"/>
    <n v="40060.019999999997"/>
    <n v="0"/>
    <n v="26"/>
    <n v="-7170.0199999999968"/>
    <s v="Loss"/>
  </r>
  <r>
    <s v="L0461"/>
    <x v="347"/>
    <s v="B0461"/>
    <s v="CA"/>
    <n v="21022"/>
    <n v="10.7"/>
    <n v="60"/>
    <x v="1"/>
    <x v="4"/>
    <x v="0"/>
    <n v="91799"/>
    <s v="MORTGAGE"/>
    <n v="0.14000000000000001"/>
    <n v="0.82"/>
    <n v="5630.06"/>
    <n v="0"/>
    <n v="47"/>
    <n v="15391.939999999999"/>
    <s v="Profit"/>
  </r>
  <r>
    <s v="L0462"/>
    <x v="377"/>
    <s v="B0462"/>
    <s v="PA"/>
    <n v="5780"/>
    <n v="13.6"/>
    <n v="60"/>
    <x v="0"/>
    <x v="5"/>
    <x v="0"/>
    <n v="120221"/>
    <s v="OWN"/>
    <n v="0.15"/>
    <n v="0.73"/>
    <n v="6566.08"/>
    <n v="0"/>
    <n v="33"/>
    <n v="-786.07999999999993"/>
    <s v="Loss"/>
  </r>
  <r>
    <s v="L0463"/>
    <x v="32"/>
    <s v="B0463"/>
    <s v="NY"/>
    <n v="19311"/>
    <n v="10.4"/>
    <n v="36"/>
    <x v="3"/>
    <x v="1"/>
    <x v="0"/>
    <n v="144879"/>
    <s v="OWN"/>
    <n v="0.2"/>
    <n v="0.56000000000000005"/>
    <n v="7598.51"/>
    <n v="3245.92"/>
    <n v="57"/>
    <n v="11712.49"/>
    <s v="Profit"/>
  </r>
  <r>
    <s v="L0464"/>
    <x v="378"/>
    <s v="B0464"/>
    <s v="GA"/>
    <n v="29380"/>
    <n v="20.8"/>
    <n v="36"/>
    <x v="3"/>
    <x v="5"/>
    <x v="3"/>
    <n v="55479"/>
    <s v="MORTGAGE"/>
    <n v="0.22"/>
    <n v="0.93"/>
    <n v="10642.35"/>
    <n v="10361.469999999999"/>
    <n v="59"/>
    <n v="18737.650000000001"/>
    <s v="Profit"/>
  </r>
  <r>
    <s v="L0465"/>
    <x v="379"/>
    <s v="B0465"/>
    <s v="PA"/>
    <n v="3356"/>
    <n v="16.5"/>
    <n v="36"/>
    <x v="1"/>
    <x v="2"/>
    <x v="3"/>
    <n v="76172"/>
    <s v="MORTGAGE"/>
    <n v="0.31"/>
    <n v="0.79"/>
    <n v="710.07"/>
    <n v="0"/>
    <n v="39"/>
    <n v="2645.93"/>
    <s v="Profit"/>
  </r>
  <r>
    <s v="L0466"/>
    <x v="380"/>
    <s v="B0466"/>
    <s v="TX"/>
    <n v="5790"/>
    <n v="18.2"/>
    <n v="36"/>
    <x v="0"/>
    <x v="2"/>
    <x v="3"/>
    <n v="129165"/>
    <s v="RENT"/>
    <n v="0.37"/>
    <n v="0.84"/>
    <n v="6843.78"/>
    <n v="0"/>
    <n v="61"/>
    <n v="-1053.7799999999997"/>
    <s v="Loss"/>
  </r>
  <r>
    <s v="L0467"/>
    <x v="381"/>
    <s v="B0467"/>
    <s v="GA"/>
    <n v="27911"/>
    <n v="10"/>
    <n v="60"/>
    <x v="0"/>
    <x v="4"/>
    <x v="4"/>
    <n v="85863"/>
    <s v="MORTGAGE"/>
    <n v="0.34"/>
    <n v="0.54"/>
    <n v="30702.1"/>
    <n v="0"/>
    <n v="56"/>
    <n v="-2791.0999999999985"/>
    <s v="Loss"/>
  </r>
  <r>
    <s v="L0468"/>
    <x v="382"/>
    <s v="B0468"/>
    <s v="IL"/>
    <n v="25363"/>
    <n v="9.4"/>
    <n v="36"/>
    <x v="0"/>
    <x v="1"/>
    <x v="3"/>
    <n v="72043"/>
    <s v="RENT"/>
    <n v="0.16"/>
    <n v="0.52"/>
    <n v="27747.119999999999"/>
    <n v="0"/>
    <n v="41"/>
    <n v="-2384.119999999999"/>
    <s v="Loss"/>
  </r>
  <r>
    <s v="L0469"/>
    <x v="320"/>
    <s v="B0469"/>
    <s v="GA"/>
    <n v="21049"/>
    <n v="14.8"/>
    <n v="60"/>
    <x v="0"/>
    <x v="1"/>
    <x v="0"/>
    <n v="112569"/>
    <s v="MORTGAGE"/>
    <n v="0.17"/>
    <n v="0.51"/>
    <n v="24164.25"/>
    <n v="0"/>
    <n v="37"/>
    <n v="-3115.25"/>
    <s v="Loss"/>
  </r>
  <r>
    <s v="L0470"/>
    <x v="275"/>
    <s v="B0470"/>
    <s v="GA"/>
    <n v="11181"/>
    <n v="19.8"/>
    <n v="36"/>
    <x v="0"/>
    <x v="2"/>
    <x v="1"/>
    <n v="132438"/>
    <s v="OWN"/>
    <n v="0.45"/>
    <n v="0.57999999999999996"/>
    <n v="13394.84"/>
    <n v="0"/>
    <n v="27"/>
    <n v="-2213.84"/>
    <s v="Loss"/>
  </r>
  <r>
    <s v="L0471"/>
    <x v="383"/>
    <s v="B0471"/>
    <s v="PA"/>
    <n v="17082"/>
    <n v="15.5"/>
    <n v="36"/>
    <x v="0"/>
    <x v="4"/>
    <x v="3"/>
    <n v="140107"/>
    <s v="OWN"/>
    <n v="0.32"/>
    <n v="0.69"/>
    <n v="19729.71"/>
    <n v="0"/>
    <n v="46"/>
    <n v="-2647.7099999999991"/>
    <s v="Loss"/>
  </r>
  <r>
    <s v="L0472"/>
    <x v="57"/>
    <s v="B0472"/>
    <s v="TX"/>
    <n v="1661"/>
    <n v="5.7"/>
    <n v="36"/>
    <x v="1"/>
    <x v="5"/>
    <x v="1"/>
    <n v="45408"/>
    <s v="MORTGAGE"/>
    <n v="0.45"/>
    <n v="0.92"/>
    <n v="117.05"/>
    <n v="0"/>
    <n v="47"/>
    <n v="1543.95"/>
    <s v="Profit"/>
  </r>
  <r>
    <s v="L0473"/>
    <x v="384"/>
    <s v="B0473"/>
    <s v="GA"/>
    <n v="38412"/>
    <n v="22.4"/>
    <n v="60"/>
    <x v="0"/>
    <x v="4"/>
    <x v="0"/>
    <n v="87980"/>
    <s v="RENT"/>
    <n v="0.25"/>
    <n v="0.71"/>
    <n v="47016.29"/>
    <n v="0"/>
    <n v="35"/>
    <n v="-8604.2900000000009"/>
    <s v="Loss"/>
  </r>
  <r>
    <s v="L0474"/>
    <x v="385"/>
    <s v="B0474"/>
    <s v="PA"/>
    <n v="3920"/>
    <n v="6.3"/>
    <n v="60"/>
    <x v="0"/>
    <x v="6"/>
    <x v="3"/>
    <n v="112956"/>
    <s v="RENT"/>
    <n v="0.35"/>
    <n v="0.63"/>
    <n v="4166.96"/>
    <n v="0"/>
    <n v="33"/>
    <n v="-246.96000000000004"/>
    <s v="Loss"/>
  </r>
  <r>
    <s v="L0475"/>
    <x v="386"/>
    <s v="B0475"/>
    <s v="PA"/>
    <n v="26658"/>
    <n v="24.1"/>
    <n v="36"/>
    <x v="0"/>
    <x v="0"/>
    <x v="4"/>
    <n v="46351"/>
    <s v="RENT"/>
    <n v="0.31"/>
    <n v="0.75"/>
    <n v="33082.58"/>
    <n v="0"/>
    <n v="28"/>
    <n v="-6424.5800000000017"/>
    <s v="Loss"/>
  </r>
  <r>
    <s v="L0476"/>
    <x v="387"/>
    <s v="B0476"/>
    <s v="GA"/>
    <n v="15025"/>
    <n v="5.5"/>
    <n v="60"/>
    <x v="4"/>
    <x v="0"/>
    <x v="4"/>
    <n v="34131"/>
    <s v="MORTGAGE"/>
    <n v="0.23"/>
    <n v="0.55000000000000004"/>
    <n v="0"/>
    <n v="0"/>
    <n v="49"/>
    <n v="15025"/>
    <s v="Profit"/>
  </r>
  <r>
    <s v="L0477"/>
    <x v="388"/>
    <s v="B0477"/>
    <s v="CA"/>
    <n v="9946"/>
    <n v="18.899999999999999"/>
    <n v="60"/>
    <x v="0"/>
    <x v="4"/>
    <x v="1"/>
    <n v="146836"/>
    <s v="MORTGAGE"/>
    <n v="0.28999999999999998"/>
    <n v="0.77"/>
    <n v="11825.79"/>
    <n v="0"/>
    <n v="51"/>
    <n v="-1879.7900000000009"/>
    <s v="Loss"/>
  </r>
  <r>
    <s v="L0478"/>
    <x v="24"/>
    <s v="B0478"/>
    <s v="TX"/>
    <n v="29706"/>
    <n v="6.6"/>
    <n v="36"/>
    <x v="1"/>
    <x v="0"/>
    <x v="4"/>
    <n v="74825"/>
    <s v="OWN"/>
    <n v="0.3"/>
    <n v="0.76"/>
    <n v="12789.38"/>
    <n v="0"/>
    <n v="56"/>
    <n v="16916.620000000003"/>
    <s v="Profit"/>
  </r>
  <r>
    <s v="L0479"/>
    <x v="389"/>
    <s v="B0479"/>
    <s v="NC"/>
    <n v="17309"/>
    <n v="23.2"/>
    <n v="36"/>
    <x v="0"/>
    <x v="5"/>
    <x v="4"/>
    <n v="41349"/>
    <s v="OWN"/>
    <n v="0.18"/>
    <n v="0.86"/>
    <n v="21324.69"/>
    <n v="0"/>
    <n v="46"/>
    <n v="-4015.6899999999987"/>
    <s v="Loss"/>
  </r>
  <r>
    <s v="L0480"/>
    <x v="390"/>
    <s v="B0480"/>
    <s v="GA"/>
    <n v="34120"/>
    <n v="14.3"/>
    <n v="60"/>
    <x v="0"/>
    <x v="0"/>
    <x v="4"/>
    <n v="90931"/>
    <s v="MORTGAGE"/>
    <n v="0.23"/>
    <n v="0.94"/>
    <n v="38999.160000000003"/>
    <n v="0"/>
    <n v="35"/>
    <n v="-4879.1600000000035"/>
    <s v="Loss"/>
  </r>
  <r>
    <s v="L0481"/>
    <x v="161"/>
    <s v="B0481"/>
    <s v="OH"/>
    <n v="31027"/>
    <n v="7.8"/>
    <n v="60"/>
    <x v="0"/>
    <x v="4"/>
    <x v="0"/>
    <n v="74254"/>
    <s v="OWN"/>
    <n v="0.42"/>
    <n v="0.61"/>
    <n v="33447.11"/>
    <n v="0"/>
    <n v="32"/>
    <n v="-2420.1100000000006"/>
    <s v="Loss"/>
  </r>
  <r>
    <s v="L0482"/>
    <x v="391"/>
    <s v="B0482"/>
    <s v="OH"/>
    <n v="8005"/>
    <n v="11.8"/>
    <n v="60"/>
    <x v="0"/>
    <x v="2"/>
    <x v="4"/>
    <n v="68225"/>
    <s v="RENT"/>
    <n v="0.47"/>
    <n v="0.73"/>
    <n v="8949.59"/>
    <n v="0"/>
    <n v="31"/>
    <n v="-944.59000000000015"/>
    <s v="Loss"/>
  </r>
  <r>
    <s v="L0483"/>
    <x v="392"/>
    <s v="B0483"/>
    <s v="IL"/>
    <n v="1956"/>
    <n v="8.3000000000000007"/>
    <n v="36"/>
    <x v="1"/>
    <x v="4"/>
    <x v="2"/>
    <n v="134383"/>
    <s v="RENT"/>
    <n v="0.24"/>
    <n v="0.91"/>
    <n v="899.87"/>
    <n v="0"/>
    <n v="58"/>
    <n v="1056.1300000000001"/>
    <s v="Profit"/>
  </r>
  <r>
    <s v="L0484"/>
    <x v="393"/>
    <s v="B0484"/>
    <s v="TX"/>
    <n v="35839"/>
    <n v="8.4"/>
    <n v="36"/>
    <x v="1"/>
    <x v="1"/>
    <x v="3"/>
    <n v="42453"/>
    <s v="MORTGAGE"/>
    <n v="0.22"/>
    <n v="0.85"/>
    <n v="15026.66"/>
    <n v="0"/>
    <n v="60"/>
    <n v="20812.34"/>
    <s v="Profit"/>
  </r>
  <r>
    <s v="L0485"/>
    <x v="239"/>
    <s v="B0485"/>
    <s v="PA"/>
    <n v="9595"/>
    <n v="24"/>
    <n v="60"/>
    <x v="0"/>
    <x v="0"/>
    <x v="4"/>
    <n v="48814"/>
    <s v="RENT"/>
    <n v="0.18"/>
    <n v="0.72"/>
    <n v="11897.8"/>
    <n v="0"/>
    <n v="40"/>
    <n v="-2302.7999999999993"/>
    <s v="Loss"/>
  </r>
  <r>
    <s v="L0486"/>
    <x v="394"/>
    <s v="B0486"/>
    <s v="MI"/>
    <n v="13803"/>
    <n v="13.9"/>
    <n v="36"/>
    <x v="2"/>
    <x v="0"/>
    <x v="4"/>
    <n v="48263"/>
    <s v="MORTGAGE"/>
    <n v="0.37"/>
    <n v="0.93"/>
    <n v="0"/>
    <n v="0"/>
    <n v="40"/>
    <n v="13803"/>
    <s v="Profit"/>
  </r>
  <r>
    <s v="L0487"/>
    <x v="381"/>
    <s v="B0487"/>
    <s v="NY"/>
    <n v="26963"/>
    <n v="20.8"/>
    <n v="36"/>
    <x v="0"/>
    <x v="6"/>
    <x v="4"/>
    <n v="107694"/>
    <s v="RENT"/>
    <n v="0.23"/>
    <n v="0.53"/>
    <n v="32571.3"/>
    <n v="0"/>
    <n v="56"/>
    <n v="-5608.2999999999993"/>
    <s v="Loss"/>
  </r>
  <r>
    <s v="L0488"/>
    <x v="395"/>
    <s v="B0488"/>
    <s v="FL"/>
    <n v="37221"/>
    <n v="17.8"/>
    <n v="60"/>
    <x v="4"/>
    <x v="1"/>
    <x v="2"/>
    <n v="45735"/>
    <s v="MORTGAGE"/>
    <n v="0.5"/>
    <n v="0.92"/>
    <n v="0"/>
    <n v="0"/>
    <n v="35"/>
    <n v="37221"/>
    <s v="Profit"/>
  </r>
  <r>
    <s v="L0489"/>
    <x v="396"/>
    <s v="B0489"/>
    <s v="MI"/>
    <n v="34723"/>
    <n v="18.5"/>
    <n v="60"/>
    <x v="4"/>
    <x v="4"/>
    <x v="4"/>
    <n v="45830"/>
    <s v="RENT"/>
    <n v="0.23"/>
    <n v="0.52"/>
    <n v="0"/>
    <n v="0"/>
    <n v="59"/>
    <n v="34723"/>
    <s v="Profit"/>
  </r>
  <r>
    <s v="L0490"/>
    <x v="397"/>
    <s v="B0490"/>
    <s v="TX"/>
    <n v="16282"/>
    <n v="7.6"/>
    <n v="36"/>
    <x v="0"/>
    <x v="2"/>
    <x v="4"/>
    <n v="77893"/>
    <s v="RENT"/>
    <n v="0.26"/>
    <n v="0.75"/>
    <n v="17519.43"/>
    <n v="0"/>
    <n v="33"/>
    <n v="-1237.4300000000003"/>
    <s v="Loss"/>
  </r>
  <r>
    <s v="L0491"/>
    <x v="143"/>
    <s v="B0491"/>
    <s v="TX"/>
    <n v="5703"/>
    <n v="9.6999999999999993"/>
    <n v="36"/>
    <x v="0"/>
    <x v="2"/>
    <x v="3"/>
    <n v="74673"/>
    <s v="OWN"/>
    <n v="0.34"/>
    <n v="0.9"/>
    <n v="6256.19"/>
    <n v="0"/>
    <n v="55"/>
    <n v="-553.1899999999996"/>
    <s v="Loss"/>
  </r>
  <r>
    <s v="L0492"/>
    <x v="66"/>
    <s v="B0492"/>
    <s v="GA"/>
    <n v="7563"/>
    <n v="20.7"/>
    <n v="60"/>
    <x v="0"/>
    <x v="3"/>
    <x v="2"/>
    <n v="119462"/>
    <s v="OWN"/>
    <n v="0.42"/>
    <n v="0.62"/>
    <n v="9128.5400000000009"/>
    <n v="0"/>
    <n v="37"/>
    <n v="-1565.5400000000009"/>
    <s v="Loss"/>
  </r>
  <r>
    <s v="L0493"/>
    <x v="264"/>
    <s v="B0493"/>
    <s v="GA"/>
    <n v="26849"/>
    <n v="24.4"/>
    <n v="36"/>
    <x v="1"/>
    <x v="4"/>
    <x v="2"/>
    <n v="75066"/>
    <s v="OWN"/>
    <n v="0.28999999999999998"/>
    <n v="0.71"/>
    <n v="2888.35"/>
    <n v="0"/>
    <n v="61"/>
    <n v="23960.65"/>
    <s v="Profit"/>
  </r>
  <r>
    <s v="L0494"/>
    <x v="268"/>
    <s v="B0494"/>
    <s v="MI"/>
    <n v="32860"/>
    <n v="10.3"/>
    <n v="36"/>
    <x v="0"/>
    <x v="0"/>
    <x v="4"/>
    <n v="130315"/>
    <s v="OWN"/>
    <n v="0.27"/>
    <n v="0.65"/>
    <n v="36244.58"/>
    <n v="0"/>
    <n v="41"/>
    <n v="-3384.5800000000017"/>
    <s v="Loss"/>
  </r>
  <r>
    <s v="L0495"/>
    <x v="246"/>
    <s v="B0495"/>
    <s v="PA"/>
    <n v="32585"/>
    <n v="10.4"/>
    <n v="60"/>
    <x v="2"/>
    <x v="5"/>
    <x v="2"/>
    <n v="33373"/>
    <s v="OWN"/>
    <n v="0.5"/>
    <n v="0.93"/>
    <n v="0"/>
    <n v="0"/>
    <n v="47"/>
    <n v="32585"/>
    <s v="Profit"/>
  </r>
  <r>
    <s v="L0496"/>
    <x v="398"/>
    <s v="B0496"/>
    <s v="IL"/>
    <n v="23015"/>
    <n v="14.5"/>
    <n v="60"/>
    <x v="1"/>
    <x v="1"/>
    <x v="1"/>
    <n v="40335"/>
    <s v="OWN"/>
    <n v="0.1"/>
    <n v="0.87"/>
    <n v="11485.91"/>
    <n v="0"/>
    <n v="30"/>
    <n v="11529.09"/>
    <s v="Profit"/>
  </r>
  <r>
    <s v="L0497"/>
    <x v="399"/>
    <s v="B0497"/>
    <s v="GA"/>
    <n v="13003"/>
    <n v="24.7"/>
    <n v="36"/>
    <x v="0"/>
    <x v="0"/>
    <x v="2"/>
    <n v="53741"/>
    <s v="MORTGAGE"/>
    <n v="0.46"/>
    <n v="0.82"/>
    <n v="16214.74"/>
    <n v="0"/>
    <n v="28"/>
    <n v="-3211.74"/>
    <s v="Loss"/>
  </r>
  <r>
    <s v="L0498"/>
    <x v="400"/>
    <s v="B0498"/>
    <s v="FL"/>
    <n v="27958"/>
    <n v="10.4"/>
    <n v="36"/>
    <x v="0"/>
    <x v="6"/>
    <x v="2"/>
    <n v="40692"/>
    <s v="MORTGAGE"/>
    <n v="0.16"/>
    <n v="0.76"/>
    <n v="30865.63"/>
    <n v="0"/>
    <n v="38"/>
    <n v="-2907.630000000001"/>
    <s v="Loss"/>
  </r>
  <r>
    <s v="L0499"/>
    <x v="401"/>
    <s v="B0499"/>
    <s v="FL"/>
    <n v="27017"/>
    <n v="13.1"/>
    <n v="36"/>
    <x v="1"/>
    <x v="0"/>
    <x v="2"/>
    <n v="77295"/>
    <s v="OWN"/>
    <n v="0.41"/>
    <n v="0.87"/>
    <n v="4494.63"/>
    <n v="0"/>
    <n v="36"/>
    <n v="22522.37"/>
    <s v="Profit"/>
  </r>
  <r>
    <s v="L0500"/>
    <x v="402"/>
    <s v="B0500"/>
    <s v="IL"/>
    <n v="12171"/>
    <n v="22.8"/>
    <n v="60"/>
    <x v="0"/>
    <x v="5"/>
    <x v="0"/>
    <n v="75541"/>
    <s v="MORTGAGE"/>
    <n v="0.35"/>
    <n v="0.68"/>
    <n v="14945.99"/>
    <n v="0"/>
    <n v="30"/>
    <n v="-2774.99"/>
    <s v="Loss"/>
  </r>
  <r>
    <s v="L0501"/>
    <x v="403"/>
    <s v="B0501"/>
    <s v="CA"/>
    <n v="13201"/>
    <n v="5.0999999999999996"/>
    <n v="36"/>
    <x v="1"/>
    <x v="4"/>
    <x v="0"/>
    <n v="64057"/>
    <s v="OWN"/>
    <n v="0.24"/>
    <n v="0.7"/>
    <n v="4962.1499999999996"/>
    <n v="0"/>
    <n v="50"/>
    <n v="8238.85"/>
    <s v="Profit"/>
  </r>
  <r>
    <s v="L0502"/>
    <x v="245"/>
    <s v="B0502"/>
    <s v="CA"/>
    <n v="30426"/>
    <n v="5.8"/>
    <n v="36"/>
    <x v="0"/>
    <x v="1"/>
    <x v="0"/>
    <n v="96983"/>
    <s v="MORTGAGE"/>
    <n v="0.45"/>
    <n v="0.83"/>
    <n v="32190.71"/>
    <n v="0"/>
    <n v="30"/>
    <n v="-1764.7099999999991"/>
    <s v="Loss"/>
  </r>
  <r>
    <s v="L0503"/>
    <x v="404"/>
    <s v="B0503"/>
    <s v="TX"/>
    <n v="18778"/>
    <n v="17.100000000000001"/>
    <n v="60"/>
    <x v="0"/>
    <x v="4"/>
    <x v="2"/>
    <n v="49583"/>
    <s v="RENT"/>
    <n v="0.11"/>
    <n v="0.66"/>
    <n v="21989.040000000001"/>
    <n v="0"/>
    <n v="40"/>
    <n v="-3211.0400000000009"/>
    <s v="Loss"/>
  </r>
  <r>
    <s v="L0504"/>
    <x v="405"/>
    <s v="B0504"/>
    <s v="GA"/>
    <n v="22116"/>
    <n v="23.1"/>
    <n v="60"/>
    <x v="0"/>
    <x v="6"/>
    <x v="1"/>
    <n v="52765"/>
    <s v="MORTGAGE"/>
    <n v="0.19"/>
    <n v="0.53"/>
    <n v="27224.799999999999"/>
    <n v="0"/>
    <n v="50"/>
    <n v="-5108.7999999999993"/>
    <s v="Loss"/>
  </r>
  <r>
    <s v="L0505"/>
    <x v="406"/>
    <s v="B0505"/>
    <s v="OH"/>
    <n v="34297"/>
    <n v="9.8000000000000007"/>
    <n v="36"/>
    <x v="1"/>
    <x v="5"/>
    <x v="2"/>
    <n v="89287"/>
    <s v="MORTGAGE"/>
    <n v="0.33"/>
    <n v="0.53"/>
    <n v="15729.14"/>
    <n v="0"/>
    <n v="28"/>
    <n v="18567.86"/>
    <s v="Profit"/>
  </r>
  <r>
    <s v="L0506"/>
    <x v="332"/>
    <s v="B0506"/>
    <s v="MI"/>
    <n v="20342"/>
    <n v="14.4"/>
    <n v="60"/>
    <x v="0"/>
    <x v="6"/>
    <x v="4"/>
    <n v="53906"/>
    <s v="MORTGAGE"/>
    <n v="0.24"/>
    <n v="0.55000000000000004"/>
    <n v="23271.25"/>
    <n v="0"/>
    <n v="40"/>
    <n v="-2929.25"/>
    <s v="Loss"/>
  </r>
  <r>
    <s v="L0507"/>
    <x v="322"/>
    <s v="B0507"/>
    <s v="NC"/>
    <n v="28490"/>
    <n v="14"/>
    <n v="60"/>
    <x v="1"/>
    <x v="3"/>
    <x v="1"/>
    <n v="115103"/>
    <s v="RENT"/>
    <n v="0.34"/>
    <n v="0.89"/>
    <n v="4446.13"/>
    <n v="0"/>
    <n v="59"/>
    <n v="24043.87"/>
    <s v="Profit"/>
  </r>
  <r>
    <s v="L0508"/>
    <x v="407"/>
    <s v="B0508"/>
    <s v="IL"/>
    <n v="20975"/>
    <n v="14.5"/>
    <n v="36"/>
    <x v="0"/>
    <x v="1"/>
    <x v="0"/>
    <n v="109675"/>
    <s v="OWN"/>
    <n v="0.11"/>
    <n v="0.71"/>
    <n v="24016.38"/>
    <n v="0"/>
    <n v="39"/>
    <n v="-3041.380000000001"/>
    <s v="Loss"/>
  </r>
  <r>
    <s v="L0509"/>
    <x v="408"/>
    <s v="B0509"/>
    <s v="TX"/>
    <n v="27723"/>
    <n v="17.5"/>
    <n v="60"/>
    <x v="1"/>
    <x v="3"/>
    <x v="3"/>
    <n v="76525"/>
    <s v="MORTGAGE"/>
    <n v="0.15"/>
    <n v="0.82"/>
    <n v="12716.99"/>
    <n v="0"/>
    <n v="44"/>
    <n v="15006.01"/>
    <s v="Profit"/>
  </r>
  <r>
    <s v="L0510"/>
    <x v="409"/>
    <s v="B0510"/>
    <s v="OH"/>
    <n v="24279"/>
    <n v="14.4"/>
    <n v="60"/>
    <x v="1"/>
    <x v="0"/>
    <x v="1"/>
    <n v="68230"/>
    <s v="MORTGAGE"/>
    <n v="0.15"/>
    <n v="0.68"/>
    <n v="4595.21"/>
    <n v="0"/>
    <n v="38"/>
    <n v="19683.79"/>
    <s v="Profit"/>
  </r>
  <r>
    <s v="L0511"/>
    <x v="410"/>
    <s v="B0511"/>
    <s v="GA"/>
    <n v="13765"/>
    <n v="13.9"/>
    <n v="36"/>
    <x v="0"/>
    <x v="4"/>
    <x v="0"/>
    <n v="147904"/>
    <s v="RENT"/>
    <n v="0.18"/>
    <n v="0.62"/>
    <n v="15678.34"/>
    <n v="0"/>
    <n v="34"/>
    <n v="-1913.3400000000001"/>
    <s v="Loss"/>
  </r>
  <r>
    <s v="L0512"/>
    <x v="83"/>
    <s v="B0512"/>
    <s v="OH"/>
    <n v="12561"/>
    <n v="14.5"/>
    <n v="60"/>
    <x v="1"/>
    <x v="0"/>
    <x v="1"/>
    <n v="49520"/>
    <s v="OWN"/>
    <n v="0.28000000000000003"/>
    <n v="0.66"/>
    <n v="6147.18"/>
    <n v="0"/>
    <n v="61"/>
    <n v="6413.82"/>
    <s v="Profit"/>
  </r>
  <r>
    <s v="L0513"/>
    <x v="411"/>
    <s v="B0513"/>
    <s v="OH"/>
    <n v="1525"/>
    <n v="16.8"/>
    <n v="36"/>
    <x v="0"/>
    <x v="4"/>
    <x v="1"/>
    <n v="115238"/>
    <s v="MORTGAGE"/>
    <n v="0.4"/>
    <n v="0.86"/>
    <n v="1781.2"/>
    <n v="0"/>
    <n v="38"/>
    <n v="-256.20000000000005"/>
    <s v="Loss"/>
  </r>
  <r>
    <s v="L0514"/>
    <x v="412"/>
    <s v="B0514"/>
    <s v="IL"/>
    <n v="23861"/>
    <n v="15.7"/>
    <n v="36"/>
    <x v="0"/>
    <x v="6"/>
    <x v="2"/>
    <n v="81934"/>
    <s v="RENT"/>
    <n v="0.46"/>
    <n v="0.78"/>
    <n v="27607.18"/>
    <n v="0"/>
    <n v="46"/>
    <n v="-3746.1800000000003"/>
    <s v="Loss"/>
  </r>
  <r>
    <s v="L0515"/>
    <x v="413"/>
    <s v="B0515"/>
    <s v="TX"/>
    <n v="34142"/>
    <n v="22.1"/>
    <n v="60"/>
    <x v="0"/>
    <x v="0"/>
    <x v="4"/>
    <n v="55566"/>
    <s v="OWN"/>
    <n v="0.43"/>
    <n v="0.92"/>
    <n v="41687.379999999997"/>
    <n v="0"/>
    <n v="31"/>
    <n v="-7545.3799999999974"/>
    <s v="Loss"/>
  </r>
  <r>
    <s v="L0516"/>
    <x v="161"/>
    <s v="B0516"/>
    <s v="PA"/>
    <n v="27916"/>
    <n v="6"/>
    <n v="60"/>
    <x v="1"/>
    <x v="5"/>
    <x v="3"/>
    <n v="103193"/>
    <s v="OWN"/>
    <n v="0.18"/>
    <n v="0.81"/>
    <n v="4929.04"/>
    <n v="0"/>
    <n v="32"/>
    <n v="22986.959999999999"/>
    <s v="Profit"/>
  </r>
  <r>
    <s v="L0517"/>
    <x v="414"/>
    <s v="B0517"/>
    <s v="FL"/>
    <n v="5648"/>
    <n v="21.7"/>
    <n v="60"/>
    <x v="3"/>
    <x v="5"/>
    <x v="0"/>
    <n v="133224"/>
    <s v="MORTGAGE"/>
    <n v="0.28000000000000003"/>
    <n v="0.76"/>
    <n v="2180.3000000000002"/>
    <n v="1908.91"/>
    <n v="47"/>
    <n v="3467.7"/>
    <s v="Profit"/>
  </r>
  <r>
    <s v="L0518"/>
    <x v="409"/>
    <s v="B0518"/>
    <s v="MI"/>
    <n v="36133"/>
    <n v="21.9"/>
    <n v="36"/>
    <x v="1"/>
    <x v="5"/>
    <x v="1"/>
    <n v="60134"/>
    <s v="MORTGAGE"/>
    <n v="0.18"/>
    <n v="0.77"/>
    <n v="2677.28"/>
    <n v="0"/>
    <n v="38"/>
    <n v="33455.72"/>
    <s v="Profit"/>
  </r>
  <r>
    <s v="L0519"/>
    <x v="151"/>
    <s v="B0519"/>
    <s v="TX"/>
    <n v="31523"/>
    <n v="10.7"/>
    <n v="60"/>
    <x v="0"/>
    <x v="5"/>
    <x v="3"/>
    <n v="40345"/>
    <s v="MORTGAGE"/>
    <n v="0.21"/>
    <n v="0.92"/>
    <n v="34895.96"/>
    <n v="0"/>
    <n v="37"/>
    <n v="-3372.9599999999991"/>
    <s v="Loss"/>
  </r>
  <r>
    <s v="L0520"/>
    <x v="415"/>
    <s v="B0520"/>
    <s v="NC"/>
    <n v="30052"/>
    <n v="14.3"/>
    <n v="36"/>
    <x v="1"/>
    <x v="6"/>
    <x v="1"/>
    <n v="71185"/>
    <s v="MORTGAGE"/>
    <n v="0.3"/>
    <n v="0.85"/>
    <n v="11094.37"/>
    <n v="0"/>
    <n v="32"/>
    <n v="18957.629999999997"/>
    <s v="Profit"/>
  </r>
  <r>
    <s v="L0521"/>
    <x v="416"/>
    <s v="B0521"/>
    <s v="OH"/>
    <n v="35414"/>
    <n v="13.8"/>
    <n v="60"/>
    <x v="0"/>
    <x v="0"/>
    <x v="4"/>
    <n v="145464"/>
    <s v="RENT"/>
    <n v="0.13"/>
    <n v="0.51"/>
    <n v="40301.129999999997"/>
    <n v="0"/>
    <n v="32"/>
    <n v="-4887.1299999999974"/>
    <s v="Loss"/>
  </r>
  <r>
    <s v="L0522"/>
    <x v="417"/>
    <s v="B0522"/>
    <s v="PA"/>
    <n v="33781"/>
    <n v="9.4"/>
    <n v="60"/>
    <x v="3"/>
    <x v="4"/>
    <x v="3"/>
    <n v="122949"/>
    <s v="RENT"/>
    <n v="0.19"/>
    <n v="0.74"/>
    <n v="8770.67"/>
    <n v="14712.11"/>
    <n v="49"/>
    <n v="25010.33"/>
    <s v="Profit"/>
  </r>
  <r>
    <s v="L0523"/>
    <x v="418"/>
    <s v="B0523"/>
    <s v="IL"/>
    <n v="5599"/>
    <n v="12.9"/>
    <n v="60"/>
    <x v="0"/>
    <x v="5"/>
    <x v="0"/>
    <n v="100744"/>
    <s v="MORTGAGE"/>
    <n v="0.47"/>
    <n v="0.81"/>
    <n v="6321.27"/>
    <n v="0"/>
    <n v="33"/>
    <n v="-722.27000000000044"/>
    <s v="Loss"/>
  </r>
  <r>
    <s v="L0524"/>
    <x v="419"/>
    <s v="B0524"/>
    <s v="NY"/>
    <n v="36046"/>
    <n v="5.9"/>
    <n v="36"/>
    <x v="2"/>
    <x v="1"/>
    <x v="1"/>
    <n v="63455"/>
    <s v="OWN"/>
    <n v="0.28999999999999998"/>
    <n v="0.84"/>
    <n v="0"/>
    <n v="0"/>
    <n v="54"/>
    <n v="36046"/>
    <s v="Profit"/>
  </r>
  <r>
    <s v="L0525"/>
    <x v="420"/>
    <s v="B0525"/>
    <s v="MI"/>
    <n v="36923"/>
    <n v="10.6"/>
    <n v="60"/>
    <x v="1"/>
    <x v="4"/>
    <x v="4"/>
    <n v="145217"/>
    <s v="MORTGAGE"/>
    <n v="0.28000000000000003"/>
    <n v="0.6"/>
    <n v="9786.24"/>
    <n v="0"/>
    <n v="39"/>
    <n v="27136.760000000002"/>
    <s v="Profit"/>
  </r>
  <r>
    <s v="L0526"/>
    <x v="421"/>
    <s v="B0526"/>
    <s v="MI"/>
    <n v="4814"/>
    <n v="21.3"/>
    <n v="60"/>
    <x v="1"/>
    <x v="6"/>
    <x v="3"/>
    <n v="58018"/>
    <s v="OWN"/>
    <n v="0.11"/>
    <n v="0.89"/>
    <n v="724.86"/>
    <n v="0"/>
    <n v="47"/>
    <n v="4089.14"/>
    <s v="Profit"/>
  </r>
  <r>
    <s v="L0527"/>
    <x v="422"/>
    <s v="B0527"/>
    <s v="FL"/>
    <n v="36984"/>
    <n v="10.7"/>
    <n v="36"/>
    <x v="1"/>
    <x v="4"/>
    <x v="1"/>
    <n v="84219"/>
    <s v="OWN"/>
    <n v="0.2"/>
    <n v="0.93"/>
    <n v="13592.29"/>
    <n v="0"/>
    <n v="62"/>
    <n v="23391.71"/>
    <s v="Profit"/>
  </r>
  <r>
    <s v="L0528"/>
    <x v="390"/>
    <s v="B0528"/>
    <s v="NY"/>
    <n v="27616"/>
    <n v="21.4"/>
    <n v="36"/>
    <x v="0"/>
    <x v="4"/>
    <x v="1"/>
    <n v="75991"/>
    <s v="OWN"/>
    <n v="0.45"/>
    <n v="0.61"/>
    <n v="33525.82"/>
    <n v="0"/>
    <n v="35"/>
    <n v="-5909.82"/>
    <s v="Loss"/>
  </r>
  <r>
    <s v="L0529"/>
    <x v="200"/>
    <s v="B0529"/>
    <s v="GA"/>
    <n v="3113"/>
    <n v="15.6"/>
    <n v="60"/>
    <x v="1"/>
    <x v="0"/>
    <x v="0"/>
    <n v="103616"/>
    <s v="RENT"/>
    <n v="0.17"/>
    <n v="0.9"/>
    <n v="422.95"/>
    <n v="0"/>
    <n v="36"/>
    <n v="2690.05"/>
    <s v="Profit"/>
  </r>
  <r>
    <s v="L0530"/>
    <x v="262"/>
    <s v="B0530"/>
    <s v="NY"/>
    <n v="14760"/>
    <n v="22.6"/>
    <n v="60"/>
    <x v="0"/>
    <x v="5"/>
    <x v="4"/>
    <n v="117438"/>
    <s v="OWN"/>
    <n v="0.27"/>
    <n v="0.54"/>
    <n v="18095.759999999998"/>
    <n v="0"/>
    <n v="33"/>
    <n v="-3335.7599999999984"/>
    <s v="Loss"/>
  </r>
  <r>
    <s v="L0531"/>
    <x v="100"/>
    <s v="B0531"/>
    <s v="OH"/>
    <n v="22927"/>
    <n v="16.5"/>
    <n v="60"/>
    <x v="1"/>
    <x v="1"/>
    <x v="2"/>
    <n v="146841"/>
    <s v="OWN"/>
    <n v="0.11"/>
    <n v="0.53"/>
    <n v="6850.1"/>
    <n v="0"/>
    <n v="28"/>
    <n v="16076.9"/>
    <s v="Profit"/>
  </r>
  <r>
    <s v="L0532"/>
    <x v="305"/>
    <s v="B0532"/>
    <s v="OH"/>
    <n v="21939"/>
    <n v="5.6"/>
    <n v="36"/>
    <x v="1"/>
    <x v="0"/>
    <x v="1"/>
    <n v="39486"/>
    <s v="RENT"/>
    <n v="0.28999999999999998"/>
    <n v="0.56000000000000005"/>
    <n v="3597.13"/>
    <n v="0"/>
    <n v="29"/>
    <n v="18341.87"/>
    <s v="Profit"/>
  </r>
  <r>
    <s v="L0533"/>
    <x v="423"/>
    <s v="B0533"/>
    <s v="OH"/>
    <n v="33419"/>
    <n v="18.5"/>
    <n v="36"/>
    <x v="3"/>
    <x v="4"/>
    <x v="3"/>
    <n v="68862"/>
    <s v="OWN"/>
    <n v="0.11"/>
    <n v="0.53"/>
    <n v="12922.67"/>
    <n v="11291.82"/>
    <n v="50"/>
    <n v="20496.330000000002"/>
    <s v="Profit"/>
  </r>
  <r>
    <s v="L0534"/>
    <x v="424"/>
    <s v="B0534"/>
    <s v="OH"/>
    <n v="13588"/>
    <n v="5.9"/>
    <n v="36"/>
    <x v="0"/>
    <x v="6"/>
    <x v="0"/>
    <n v="88870"/>
    <s v="OWN"/>
    <n v="0.43"/>
    <n v="0.88"/>
    <n v="14389.69"/>
    <n v="0"/>
    <n v="26"/>
    <n v="-801.69000000000051"/>
    <s v="Loss"/>
  </r>
  <r>
    <s v="L0535"/>
    <x v="425"/>
    <s v="B0535"/>
    <s v="TX"/>
    <n v="37142"/>
    <n v="14"/>
    <n v="36"/>
    <x v="0"/>
    <x v="4"/>
    <x v="0"/>
    <n v="116694"/>
    <s v="MORTGAGE"/>
    <n v="0.43"/>
    <n v="0.53"/>
    <n v="42341.88"/>
    <n v="0"/>
    <n v="57"/>
    <n v="-5199.8799999999974"/>
    <s v="Loss"/>
  </r>
  <r>
    <s v="L0536"/>
    <x v="426"/>
    <s v="B0536"/>
    <s v="MI"/>
    <n v="34397"/>
    <n v="23.6"/>
    <n v="60"/>
    <x v="0"/>
    <x v="0"/>
    <x v="1"/>
    <n v="135996"/>
    <s v="OWN"/>
    <n v="0.42"/>
    <n v="0.62"/>
    <n v="42514.69"/>
    <n v="0"/>
    <n v="55"/>
    <n v="-8117.6900000000023"/>
    <s v="Loss"/>
  </r>
  <r>
    <s v="L0537"/>
    <x v="345"/>
    <s v="B0537"/>
    <s v="NY"/>
    <n v="17653"/>
    <n v="8.3000000000000007"/>
    <n v="36"/>
    <x v="1"/>
    <x v="1"/>
    <x v="1"/>
    <n v="73856"/>
    <s v="OWN"/>
    <n v="0.21"/>
    <n v="0.55000000000000004"/>
    <n v="1110.0899999999999"/>
    <n v="0"/>
    <n v="56"/>
    <n v="16542.91"/>
    <s v="Profit"/>
  </r>
  <r>
    <s v="L0538"/>
    <x v="427"/>
    <s v="B0538"/>
    <s v="MI"/>
    <n v="11831"/>
    <n v="12.8"/>
    <n v="36"/>
    <x v="0"/>
    <x v="0"/>
    <x v="1"/>
    <n v="131407"/>
    <s v="OWN"/>
    <n v="0.43"/>
    <n v="0.63"/>
    <n v="13345.37"/>
    <n v="0"/>
    <n v="34"/>
    <n v="-1514.3700000000008"/>
    <s v="Loss"/>
  </r>
  <r>
    <s v="L0539"/>
    <x v="428"/>
    <s v="B0539"/>
    <s v="NC"/>
    <n v="6724"/>
    <n v="19.600000000000001"/>
    <n v="36"/>
    <x v="0"/>
    <x v="2"/>
    <x v="2"/>
    <n v="130744"/>
    <s v="OWN"/>
    <n v="0.32"/>
    <n v="0.54"/>
    <n v="8041.9"/>
    <n v="0"/>
    <n v="60"/>
    <n v="-1317.8999999999996"/>
    <s v="Loss"/>
  </r>
  <r>
    <s v="L0540"/>
    <x v="429"/>
    <s v="B0540"/>
    <s v="NY"/>
    <n v="12083"/>
    <n v="22.6"/>
    <n v="60"/>
    <x v="1"/>
    <x v="0"/>
    <x v="1"/>
    <n v="116055"/>
    <s v="OWN"/>
    <n v="0.25"/>
    <n v="0.8"/>
    <n v="1690.14"/>
    <n v="0"/>
    <n v="35"/>
    <n v="10392.86"/>
    <s v="Profit"/>
  </r>
  <r>
    <s v="L0541"/>
    <x v="104"/>
    <s v="B0541"/>
    <s v="TX"/>
    <n v="20816"/>
    <n v="18.399999999999999"/>
    <n v="60"/>
    <x v="1"/>
    <x v="1"/>
    <x v="4"/>
    <n v="61379"/>
    <s v="RENT"/>
    <n v="0.35"/>
    <n v="0.56000000000000005"/>
    <n v="3310.57"/>
    <n v="0"/>
    <n v="36"/>
    <n v="17505.43"/>
    <s v="Profit"/>
  </r>
  <r>
    <s v="L0542"/>
    <x v="430"/>
    <s v="B0542"/>
    <s v="NC"/>
    <n v="7276"/>
    <n v="10.199999999999999"/>
    <n v="36"/>
    <x v="0"/>
    <x v="5"/>
    <x v="3"/>
    <n v="94729"/>
    <s v="OWN"/>
    <n v="0.1"/>
    <n v="0.88"/>
    <n v="8018.15"/>
    <n v="0"/>
    <n v="40"/>
    <n v="-742.14999999999964"/>
    <s v="Loss"/>
  </r>
  <r>
    <s v="L0543"/>
    <x v="431"/>
    <s v="B0543"/>
    <s v="MI"/>
    <n v="39663"/>
    <n v="18.5"/>
    <n v="36"/>
    <x v="0"/>
    <x v="6"/>
    <x v="1"/>
    <n v="58378"/>
    <s v="OWN"/>
    <n v="0.16"/>
    <n v="0.87"/>
    <n v="47000.66"/>
    <n v="0"/>
    <n v="59"/>
    <n v="-7337.6600000000035"/>
    <s v="Loss"/>
  </r>
  <r>
    <s v="L0544"/>
    <x v="21"/>
    <s v="B0544"/>
    <s v="NC"/>
    <n v="14994"/>
    <n v="10.9"/>
    <n v="60"/>
    <x v="1"/>
    <x v="0"/>
    <x v="2"/>
    <n v="135428"/>
    <s v="RENT"/>
    <n v="0.4"/>
    <n v="0.51"/>
    <n v="3543.54"/>
    <n v="0"/>
    <n v="45"/>
    <n v="11450.46"/>
    <s v="Profit"/>
  </r>
  <r>
    <s v="L0545"/>
    <x v="140"/>
    <s v="B0545"/>
    <s v="FL"/>
    <n v="24499"/>
    <n v="19.399999999999999"/>
    <n v="60"/>
    <x v="0"/>
    <x v="1"/>
    <x v="3"/>
    <n v="84353"/>
    <s v="RENT"/>
    <n v="0.2"/>
    <n v="0.9"/>
    <n v="29251.81"/>
    <n v="0"/>
    <n v="50"/>
    <n v="-4752.8100000000013"/>
    <s v="Loss"/>
  </r>
  <r>
    <s v="L0546"/>
    <x v="432"/>
    <s v="B0546"/>
    <s v="NC"/>
    <n v="24040"/>
    <n v="24.1"/>
    <n v="60"/>
    <x v="1"/>
    <x v="5"/>
    <x v="0"/>
    <n v="79996"/>
    <s v="OWN"/>
    <n v="0.34"/>
    <n v="0.51"/>
    <n v="3719.68"/>
    <n v="0"/>
    <n v="49"/>
    <n v="20320.32"/>
    <s v="Profit"/>
  </r>
  <r>
    <s v="L0547"/>
    <x v="266"/>
    <s v="B0547"/>
    <s v="NY"/>
    <n v="17959"/>
    <n v="19.399999999999999"/>
    <n v="60"/>
    <x v="0"/>
    <x v="5"/>
    <x v="1"/>
    <n v="44031"/>
    <s v="OWN"/>
    <n v="0.25"/>
    <n v="0.61"/>
    <n v="21443.05"/>
    <n v="0"/>
    <n v="35"/>
    <n v="-3484.0499999999993"/>
    <s v="Loss"/>
  </r>
  <r>
    <s v="L0548"/>
    <x v="211"/>
    <s v="B0548"/>
    <s v="OH"/>
    <n v="7099"/>
    <n v="22.3"/>
    <n v="60"/>
    <x v="3"/>
    <x v="5"/>
    <x v="3"/>
    <n v="110072"/>
    <s v="OWN"/>
    <n v="0.44"/>
    <n v="0.51"/>
    <n v="1756.33"/>
    <n v="874.52"/>
    <n v="45"/>
    <n v="5342.67"/>
    <s v="Profit"/>
  </r>
  <r>
    <s v="L0549"/>
    <x v="383"/>
    <s v="B0549"/>
    <s v="OH"/>
    <n v="20576"/>
    <n v="5"/>
    <n v="60"/>
    <x v="0"/>
    <x v="1"/>
    <x v="0"/>
    <n v="95982"/>
    <s v="MORTGAGE"/>
    <n v="0.48"/>
    <n v="0.65"/>
    <n v="21604.799999999999"/>
    <n v="0"/>
    <n v="46"/>
    <n v="-1028.7999999999993"/>
    <s v="Loss"/>
  </r>
  <r>
    <s v="L0550"/>
    <x v="420"/>
    <s v="B0550"/>
    <s v="GA"/>
    <n v="36946"/>
    <n v="19.399999999999999"/>
    <n v="60"/>
    <x v="0"/>
    <x v="2"/>
    <x v="2"/>
    <n v="66683"/>
    <s v="MORTGAGE"/>
    <n v="0.45"/>
    <n v="0.73"/>
    <n v="44113.52"/>
    <n v="0"/>
    <n v="39"/>
    <n v="-7167.5199999999968"/>
    <s v="Loss"/>
  </r>
  <r>
    <s v="L0551"/>
    <x v="433"/>
    <s v="B0551"/>
    <s v="MI"/>
    <n v="7116"/>
    <n v="21.6"/>
    <n v="60"/>
    <x v="1"/>
    <x v="0"/>
    <x v="4"/>
    <n v="144091"/>
    <s v="OWN"/>
    <n v="0.21"/>
    <n v="0.86"/>
    <n v="3149.61"/>
    <n v="0"/>
    <n v="37"/>
    <n v="3966.39"/>
    <s v="Profit"/>
  </r>
  <r>
    <s v="L0552"/>
    <x v="434"/>
    <s v="B0552"/>
    <s v="FL"/>
    <n v="16563"/>
    <n v="5.8"/>
    <n v="36"/>
    <x v="1"/>
    <x v="0"/>
    <x v="1"/>
    <n v="147797"/>
    <s v="RENT"/>
    <n v="0.18"/>
    <n v="0.65"/>
    <n v="6135.41"/>
    <n v="0"/>
    <n v="28"/>
    <n v="10427.59"/>
    <s v="Profit"/>
  </r>
  <r>
    <s v="L0553"/>
    <x v="288"/>
    <s v="B0553"/>
    <s v="NY"/>
    <n v="27788"/>
    <n v="22.4"/>
    <n v="36"/>
    <x v="0"/>
    <x v="6"/>
    <x v="4"/>
    <n v="47618"/>
    <s v="OWN"/>
    <n v="0.28999999999999998"/>
    <n v="0.82"/>
    <n v="34012.51"/>
    <n v="0"/>
    <n v="29"/>
    <n v="-6224.510000000002"/>
    <s v="Loss"/>
  </r>
  <r>
    <s v="L0554"/>
    <x v="435"/>
    <s v="B0554"/>
    <s v="NY"/>
    <n v="27928"/>
    <n v="10.1"/>
    <n v="36"/>
    <x v="1"/>
    <x v="0"/>
    <x v="2"/>
    <n v="36587"/>
    <s v="RENT"/>
    <n v="0.1"/>
    <n v="0.57999999999999996"/>
    <n v="8685.1299999999992"/>
    <n v="0"/>
    <n v="40"/>
    <n v="19242.870000000003"/>
    <s v="Profit"/>
  </r>
  <r>
    <s v="L0555"/>
    <x v="379"/>
    <s v="B0555"/>
    <s v="IL"/>
    <n v="37336"/>
    <n v="18.3"/>
    <n v="36"/>
    <x v="0"/>
    <x v="3"/>
    <x v="3"/>
    <n v="92790"/>
    <s v="RENT"/>
    <n v="0.11"/>
    <n v="0.84"/>
    <n v="44168.49"/>
    <n v="0"/>
    <n v="39"/>
    <n v="-6832.489999999998"/>
    <s v="Loss"/>
  </r>
  <r>
    <s v="L0556"/>
    <x v="436"/>
    <s v="B0556"/>
    <s v="CA"/>
    <n v="10847"/>
    <n v="21"/>
    <n v="36"/>
    <x v="3"/>
    <x v="5"/>
    <x v="3"/>
    <n v="61480"/>
    <s v="RENT"/>
    <n v="0.32"/>
    <n v="0.61"/>
    <n v="1374.33"/>
    <n v="4848.7"/>
    <n v="59"/>
    <n v="9472.67"/>
    <s v="Profit"/>
  </r>
  <r>
    <s v="L0557"/>
    <x v="333"/>
    <s v="B0557"/>
    <s v="MI"/>
    <n v="27155"/>
    <n v="18.3"/>
    <n v="36"/>
    <x v="1"/>
    <x v="1"/>
    <x v="2"/>
    <n v="128530"/>
    <s v="OWN"/>
    <n v="0.31"/>
    <n v="0.56000000000000005"/>
    <n v="9838.16"/>
    <n v="0"/>
    <n v="47"/>
    <n v="17316.84"/>
    <s v="Profit"/>
  </r>
  <r>
    <s v="L0558"/>
    <x v="437"/>
    <s v="B0558"/>
    <s v="NY"/>
    <n v="15135"/>
    <n v="6.8"/>
    <n v="60"/>
    <x v="0"/>
    <x v="0"/>
    <x v="2"/>
    <n v="50527"/>
    <s v="OWN"/>
    <n v="0.5"/>
    <n v="0.57999999999999996"/>
    <n v="16164.18"/>
    <n v="0"/>
    <n v="62"/>
    <n v="-1029.1800000000003"/>
    <s v="Loss"/>
  </r>
  <r>
    <s v="L0559"/>
    <x v="249"/>
    <s v="B0559"/>
    <s v="PA"/>
    <n v="18774"/>
    <n v="16.899999999999999"/>
    <n v="60"/>
    <x v="1"/>
    <x v="0"/>
    <x v="1"/>
    <n v="53569"/>
    <s v="RENT"/>
    <n v="0.18"/>
    <n v="0.57999999999999996"/>
    <n v="2344.62"/>
    <n v="0"/>
    <n v="61"/>
    <n v="16429.38"/>
    <s v="Profit"/>
  </r>
  <r>
    <s v="L0560"/>
    <x v="239"/>
    <s v="B0560"/>
    <s v="NY"/>
    <n v="2742"/>
    <n v="16"/>
    <n v="36"/>
    <x v="0"/>
    <x v="1"/>
    <x v="0"/>
    <n v="41151"/>
    <s v="MORTGAGE"/>
    <n v="0.2"/>
    <n v="0.73"/>
    <n v="3180.72"/>
    <n v="0"/>
    <n v="40"/>
    <n v="-438.7199999999998"/>
    <s v="Loss"/>
  </r>
  <r>
    <s v="L0561"/>
    <x v="438"/>
    <s v="B0561"/>
    <s v="IL"/>
    <n v="19309"/>
    <n v="23"/>
    <n v="36"/>
    <x v="0"/>
    <x v="2"/>
    <x v="4"/>
    <n v="101094"/>
    <s v="MORTGAGE"/>
    <n v="0.15"/>
    <n v="0.88"/>
    <n v="23750.07"/>
    <n v="0"/>
    <n v="39"/>
    <n v="-4441.07"/>
    <s v="Loss"/>
  </r>
  <r>
    <s v="L0562"/>
    <x v="439"/>
    <s v="B0562"/>
    <s v="NC"/>
    <n v="1619"/>
    <n v="13.1"/>
    <n v="60"/>
    <x v="2"/>
    <x v="3"/>
    <x v="4"/>
    <n v="89174"/>
    <s v="MORTGAGE"/>
    <n v="0.47"/>
    <n v="0.54"/>
    <n v="0"/>
    <n v="0"/>
    <n v="47"/>
    <n v="1619"/>
    <s v="Profit"/>
  </r>
  <r>
    <s v="L0563"/>
    <x v="169"/>
    <s v="B0563"/>
    <s v="TX"/>
    <n v="18658"/>
    <n v="11.4"/>
    <n v="60"/>
    <x v="1"/>
    <x v="0"/>
    <x v="3"/>
    <n v="74739"/>
    <s v="RENT"/>
    <n v="0.41"/>
    <n v="0.82"/>
    <n v="7535.32"/>
    <n v="0"/>
    <n v="33"/>
    <n v="11122.68"/>
    <s v="Profit"/>
  </r>
  <r>
    <s v="L0564"/>
    <x v="283"/>
    <s v="B0564"/>
    <s v="TX"/>
    <n v="35707"/>
    <n v="20"/>
    <n v="60"/>
    <x v="0"/>
    <x v="0"/>
    <x v="3"/>
    <n v="62954"/>
    <s v="OWN"/>
    <n v="0.43"/>
    <n v="0.79"/>
    <n v="42848.4"/>
    <n v="0"/>
    <n v="46"/>
    <n v="-7141.4000000000015"/>
    <s v="Loss"/>
  </r>
  <r>
    <s v="L0565"/>
    <x v="440"/>
    <s v="B0565"/>
    <s v="PA"/>
    <n v="21337"/>
    <n v="13.3"/>
    <n v="36"/>
    <x v="0"/>
    <x v="0"/>
    <x v="1"/>
    <n v="142984"/>
    <s v="RENT"/>
    <n v="0.46"/>
    <n v="0.89"/>
    <n v="24174.82"/>
    <n v="0"/>
    <n v="61"/>
    <n v="-2837.8199999999997"/>
    <s v="Loss"/>
  </r>
  <r>
    <s v="L0566"/>
    <x v="441"/>
    <s v="B0566"/>
    <s v="PA"/>
    <n v="17001"/>
    <n v="17.899999999999999"/>
    <n v="60"/>
    <x v="0"/>
    <x v="6"/>
    <x v="2"/>
    <n v="142863"/>
    <s v="MORTGAGE"/>
    <n v="0.31"/>
    <n v="0.61"/>
    <n v="20044.18"/>
    <n v="0"/>
    <n v="59"/>
    <n v="-3043.1800000000003"/>
    <s v="Loss"/>
  </r>
  <r>
    <s v="L0567"/>
    <x v="287"/>
    <s v="B0567"/>
    <s v="GA"/>
    <n v="1968"/>
    <n v="17.899999999999999"/>
    <n v="36"/>
    <x v="2"/>
    <x v="4"/>
    <x v="4"/>
    <n v="139373"/>
    <s v="OWN"/>
    <n v="0.28000000000000003"/>
    <n v="0.7"/>
    <n v="0"/>
    <n v="0"/>
    <n v="57"/>
    <n v="1968"/>
    <s v="Profit"/>
  </r>
  <r>
    <s v="L0568"/>
    <x v="442"/>
    <s v="B0568"/>
    <s v="TX"/>
    <n v="26892"/>
    <n v="22.8"/>
    <n v="36"/>
    <x v="0"/>
    <x v="0"/>
    <x v="1"/>
    <n v="65303"/>
    <s v="RENT"/>
    <n v="0.23"/>
    <n v="0.92"/>
    <n v="33023.379999999997"/>
    <n v="0"/>
    <n v="54"/>
    <n v="-6131.3799999999974"/>
    <s v="Loss"/>
  </r>
  <r>
    <s v="L0569"/>
    <x v="443"/>
    <s v="B0569"/>
    <s v="NC"/>
    <n v="26619"/>
    <n v="17"/>
    <n v="60"/>
    <x v="0"/>
    <x v="0"/>
    <x v="3"/>
    <n v="64700"/>
    <s v="RENT"/>
    <n v="0.34"/>
    <n v="0.8"/>
    <n v="31144.23"/>
    <n v="0"/>
    <n v="40"/>
    <n v="-4525.2299999999996"/>
    <s v="Loss"/>
  </r>
  <r>
    <s v="L0570"/>
    <x v="197"/>
    <s v="B0570"/>
    <s v="TX"/>
    <n v="1281"/>
    <n v="15"/>
    <n v="60"/>
    <x v="0"/>
    <x v="4"/>
    <x v="3"/>
    <n v="123036"/>
    <s v="MORTGAGE"/>
    <n v="0.28000000000000003"/>
    <n v="0.67"/>
    <n v="1473.15"/>
    <n v="0"/>
    <n v="48"/>
    <n v="-192.15000000000009"/>
    <s v="Loss"/>
  </r>
  <r>
    <s v="L0571"/>
    <x v="444"/>
    <s v="B0571"/>
    <s v="CA"/>
    <n v="28420"/>
    <n v="7.8"/>
    <n v="36"/>
    <x v="0"/>
    <x v="3"/>
    <x v="4"/>
    <n v="97568"/>
    <s v="RENT"/>
    <n v="0.28000000000000003"/>
    <n v="0.56000000000000005"/>
    <n v="30636.76"/>
    <n v="0"/>
    <n v="58"/>
    <n v="-2216.7599999999984"/>
    <s v="Loss"/>
  </r>
  <r>
    <s v="L0572"/>
    <x v="433"/>
    <s v="B0572"/>
    <s v="MI"/>
    <n v="16360"/>
    <n v="7.3"/>
    <n v="60"/>
    <x v="0"/>
    <x v="5"/>
    <x v="3"/>
    <n v="96788"/>
    <s v="OWN"/>
    <n v="0.47"/>
    <n v="0.62"/>
    <n v="17554.28"/>
    <n v="0"/>
    <n v="37"/>
    <n v="-1194.2799999999988"/>
    <s v="Loss"/>
  </r>
  <r>
    <s v="L0573"/>
    <x v="445"/>
    <s v="B0573"/>
    <s v="TX"/>
    <n v="2058"/>
    <n v="8.1"/>
    <n v="60"/>
    <x v="0"/>
    <x v="0"/>
    <x v="3"/>
    <n v="101045"/>
    <s v="MORTGAGE"/>
    <n v="0.49"/>
    <n v="0.76"/>
    <n v="2224.6999999999998"/>
    <n v="0"/>
    <n v="53"/>
    <n v="-166.69999999999982"/>
    <s v="Loss"/>
  </r>
  <r>
    <s v="L0574"/>
    <x v="255"/>
    <s v="B0574"/>
    <s v="OH"/>
    <n v="21677"/>
    <n v="8.4"/>
    <n v="36"/>
    <x v="0"/>
    <x v="4"/>
    <x v="0"/>
    <n v="67842"/>
    <s v="MORTGAGE"/>
    <n v="0.42"/>
    <n v="0.82"/>
    <n v="23497.87"/>
    <n v="0"/>
    <n v="27"/>
    <n v="-1820.869999999999"/>
    <s v="Loss"/>
  </r>
  <r>
    <s v="L0575"/>
    <x v="446"/>
    <s v="B0575"/>
    <s v="GA"/>
    <n v="11724"/>
    <n v="17.8"/>
    <n v="60"/>
    <x v="0"/>
    <x v="4"/>
    <x v="2"/>
    <n v="43900"/>
    <s v="OWN"/>
    <n v="0.4"/>
    <n v="0.56000000000000005"/>
    <n v="13810.87"/>
    <n v="0"/>
    <n v="54"/>
    <n v="-2086.8700000000008"/>
    <s v="Loss"/>
  </r>
  <r>
    <s v="L0576"/>
    <x v="447"/>
    <s v="B0576"/>
    <s v="IL"/>
    <n v="29404"/>
    <n v="19.8"/>
    <n v="36"/>
    <x v="3"/>
    <x v="0"/>
    <x v="3"/>
    <n v="110059"/>
    <s v="MORTGAGE"/>
    <n v="0.37"/>
    <n v="0.77"/>
    <n v="5146.2"/>
    <n v="7396.67"/>
    <n v="49"/>
    <n v="24257.8"/>
    <s v="Profit"/>
  </r>
  <r>
    <s v="L0577"/>
    <x v="448"/>
    <s v="B0577"/>
    <s v="PA"/>
    <n v="38946"/>
    <n v="15.6"/>
    <n v="36"/>
    <x v="0"/>
    <x v="0"/>
    <x v="0"/>
    <n v="31881"/>
    <s v="RENT"/>
    <n v="0.17"/>
    <n v="0.75"/>
    <n v="45021.58"/>
    <n v="0"/>
    <n v="30"/>
    <n v="-6075.5800000000017"/>
    <s v="Loss"/>
  </r>
  <r>
    <s v="L0578"/>
    <x v="449"/>
    <s v="B0578"/>
    <s v="CA"/>
    <n v="30856"/>
    <n v="21.6"/>
    <n v="60"/>
    <x v="1"/>
    <x v="1"/>
    <x v="1"/>
    <n v="63037"/>
    <s v="RENT"/>
    <n v="0.12"/>
    <n v="0.73"/>
    <n v="7333.61"/>
    <n v="0"/>
    <n v="37"/>
    <n v="23522.39"/>
    <s v="Profit"/>
  </r>
  <r>
    <s v="L0579"/>
    <x v="145"/>
    <s v="B0579"/>
    <s v="PA"/>
    <n v="10200"/>
    <n v="24.8"/>
    <n v="36"/>
    <x v="1"/>
    <x v="0"/>
    <x v="3"/>
    <n v="31630"/>
    <s v="MORTGAGE"/>
    <n v="0.38"/>
    <n v="0.81"/>
    <n v="2118.66"/>
    <n v="0"/>
    <n v="49"/>
    <n v="8081.34"/>
    <s v="Profit"/>
  </r>
  <r>
    <s v="L0580"/>
    <x v="168"/>
    <s v="B0580"/>
    <s v="GA"/>
    <n v="34997"/>
    <n v="21.4"/>
    <n v="36"/>
    <x v="1"/>
    <x v="0"/>
    <x v="1"/>
    <n v="50789"/>
    <s v="OWN"/>
    <n v="0.39"/>
    <n v="0.88"/>
    <n v="15275.01"/>
    <n v="0"/>
    <n v="42"/>
    <n v="19721.989999999998"/>
    <s v="Profit"/>
  </r>
  <r>
    <s v="L0581"/>
    <x v="101"/>
    <s v="B0581"/>
    <s v="NY"/>
    <n v="26611"/>
    <n v="18.899999999999999"/>
    <n v="60"/>
    <x v="3"/>
    <x v="4"/>
    <x v="3"/>
    <n v="118059"/>
    <s v="RENT"/>
    <n v="0.12"/>
    <n v="0.65"/>
    <n v="3671.34"/>
    <n v="13658.29"/>
    <n v="37"/>
    <n v="22939.66"/>
    <s v="Profit"/>
  </r>
  <r>
    <s v="L0582"/>
    <x v="450"/>
    <s v="B0582"/>
    <s v="CA"/>
    <n v="36057"/>
    <n v="15.6"/>
    <n v="60"/>
    <x v="0"/>
    <x v="1"/>
    <x v="4"/>
    <n v="113494"/>
    <s v="OWN"/>
    <n v="0.47"/>
    <n v="0.9"/>
    <n v="41681.89"/>
    <n v="0"/>
    <n v="32"/>
    <n v="-5624.8899999999994"/>
    <s v="Loss"/>
  </r>
  <r>
    <s v="L0583"/>
    <x v="427"/>
    <s v="B0583"/>
    <s v="FL"/>
    <n v="2239"/>
    <n v="14"/>
    <n v="60"/>
    <x v="0"/>
    <x v="5"/>
    <x v="0"/>
    <n v="76151"/>
    <s v="RENT"/>
    <n v="0.14000000000000001"/>
    <n v="0.56999999999999995"/>
    <n v="2552.46"/>
    <n v="0"/>
    <n v="34"/>
    <n v="-313.46000000000004"/>
    <s v="Loss"/>
  </r>
  <r>
    <s v="L0584"/>
    <x v="119"/>
    <s v="B0584"/>
    <s v="CA"/>
    <n v="39138"/>
    <n v="6.7"/>
    <n v="36"/>
    <x v="0"/>
    <x v="1"/>
    <x v="0"/>
    <n v="78920"/>
    <s v="RENT"/>
    <n v="0.21"/>
    <n v="0.57999999999999996"/>
    <n v="41760.25"/>
    <n v="0"/>
    <n v="43"/>
    <n v="-2622.25"/>
    <s v="Loss"/>
  </r>
  <r>
    <s v="L0585"/>
    <x v="451"/>
    <s v="B0585"/>
    <s v="GA"/>
    <n v="1125"/>
    <n v="13"/>
    <n v="36"/>
    <x v="0"/>
    <x v="5"/>
    <x v="4"/>
    <n v="139388"/>
    <s v="MORTGAGE"/>
    <n v="0.37"/>
    <n v="0.62"/>
    <n v="1271.25"/>
    <n v="0"/>
    <n v="60"/>
    <n v="-146.25"/>
    <s v="Loss"/>
  </r>
  <r>
    <s v="L0586"/>
    <x v="452"/>
    <s v="B0586"/>
    <s v="IL"/>
    <n v="24857"/>
    <n v="23.2"/>
    <n v="60"/>
    <x v="1"/>
    <x v="1"/>
    <x v="2"/>
    <n v="97231"/>
    <s v="MORTGAGE"/>
    <n v="0.17"/>
    <n v="0.55000000000000004"/>
    <n v="7569.96"/>
    <n v="0"/>
    <n v="48"/>
    <n v="17287.04"/>
    <s v="Profit"/>
  </r>
  <r>
    <s v="L0587"/>
    <x v="453"/>
    <s v="B0587"/>
    <s v="CA"/>
    <n v="16398"/>
    <n v="21.2"/>
    <n v="36"/>
    <x v="1"/>
    <x v="0"/>
    <x v="0"/>
    <n v="147946"/>
    <s v="OWN"/>
    <n v="0.12"/>
    <n v="0.6"/>
    <n v="1868.19"/>
    <n v="0"/>
    <n v="59"/>
    <n v="14529.81"/>
    <s v="Profit"/>
  </r>
  <r>
    <s v="L0588"/>
    <x v="66"/>
    <s v="B0588"/>
    <s v="GA"/>
    <n v="7638"/>
    <n v="9.3000000000000007"/>
    <n v="60"/>
    <x v="3"/>
    <x v="2"/>
    <x v="1"/>
    <n v="110357"/>
    <s v="MORTGAGE"/>
    <n v="0.23"/>
    <n v="0.55000000000000004"/>
    <n v="2378.77"/>
    <n v="1767.84"/>
    <n v="37"/>
    <n v="5259.23"/>
    <s v="Profit"/>
  </r>
  <r>
    <s v="L0589"/>
    <x v="454"/>
    <s v="B0589"/>
    <s v="NC"/>
    <n v="7570"/>
    <n v="14.3"/>
    <n v="60"/>
    <x v="0"/>
    <x v="0"/>
    <x v="0"/>
    <n v="33262"/>
    <s v="RENT"/>
    <n v="0.41"/>
    <n v="0.87"/>
    <n v="8652.51"/>
    <n v="0"/>
    <n v="38"/>
    <n v="-1082.5100000000002"/>
    <s v="Loss"/>
  </r>
  <r>
    <s v="L0590"/>
    <x v="10"/>
    <s v="B0590"/>
    <s v="MI"/>
    <n v="4249"/>
    <n v="21.3"/>
    <n v="36"/>
    <x v="3"/>
    <x v="4"/>
    <x v="2"/>
    <n v="96981"/>
    <s v="RENT"/>
    <n v="0.27"/>
    <n v="0.56000000000000005"/>
    <n v="1578.6"/>
    <n v="1006.52"/>
    <n v="36"/>
    <n v="2670.4"/>
    <s v="Profit"/>
  </r>
  <r>
    <s v="L0591"/>
    <x v="455"/>
    <s v="B0591"/>
    <s v="TX"/>
    <n v="10110"/>
    <n v="6.3"/>
    <n v="60"/>
    <x v="0"/>
    <x v="1"/>
    <x v="1"/>
    <n v="111972"/>
    <s v="OWN"/>
    <n v="0.36"/>
    <n v="0.84"/>
    <n v="10746.93"/>
    <n v="0"/>
    <n v="59"/>
    <n v="-636.93000000000029"/>
    <s v="Loss"/>
  </r>
  <r>
    <s v="L0592"/>
    <x v="200"/>
    <s v="B0592"/>
    <s v="NC"/>
    <n v="14605"/>
    <n v="12.7"/>
    <n v="36"/>
    <x v="0"/>
    <x v="4"/>
    <x v="1"/>
    <n v="105485"/>
    <s v="OWN"/>
    <n v="0.33"/>
    <n v="0.52"/>
    <n v="16459.84"/>
    <n v="0"/>
    <n v="36"/>
    <n v="-1854.8400000000001"/>
    <s v="Loss"/>
  </r>
  <r>
    <s v="L0593"/>
    <x v="456"/>
    <s v="B0593"/>
    <s v="GA"/>
    <n v="13115"/>
    <n v="22"/>
    <n v="36"/>
    <x v="0"/>
    <x v="2"/>
    <x v="4"/>
    <n v="84722"/>
    <s v="RENT"/>
    <n v="0.11"/>
    <n v="0.93"/>
    <n v="16000.3"/>
    <n v="0"/>
    <n v="34"/>
    <n v="-2885.2999999999993"/>
    <s v="Loss"/>
  </r>
  <r>
    <s v="L0594"/>
    <x v="452"/>
    <s v="B0594"/>
    <s v="OH"/>
    <n v="23911"/>
    <n v="13.1"/>
    <n v="60"/>
    <x v="1"/>
    <x v="5"/>
    <x v="3"/>
    <n v="119499"/>
    <s v="MORTGAGE"/>
    <n v="0.5"/>
    <n v="0.82"/>
    <n v="5871.91"/>
    <n v="0"/>
    <n v="48"/>
    <n v="18039.09"/>
    <s v="Profit"/>
  </r>
  <r>
    <s v="L0595"/>
    <x v="457"/>
    <s v="B0595"/>
    <s v="NY"/>
    <n v="39525"/>
    <n v="6.6"/>
    <n v="36"/>
    <x v="0"/>
    <x v="6"/>
    <x v="4"/>
    <n v="80818"/>
    <s v="MORTGAGE"/>
    <n v="0.12"/>
    <n v="0.5"/>
    <n v="42133.65"/>
    <n v="0"/>
    <n v="47"/>
    <n v="-2608.6500000000015"/>
    <s v="Loss"/>
  </r>
  <r>
    <s v="L0596"/>
    <x v="458"/>
    <s v="B0596"/>
    <s v="TX"/>
    <n v="33556"/>
    <n v="15.9"/>
    <n v="60"/>
    <x v="3"/>
    <x v="6"/>
    <x v="3"/>
    <n v="59932"/>
    <s v="OWN"/>
    <n v="0.49"/>
    <n v="0.84"/>
    <n v="8269.1299999999992"/>
    <n v="9226.86"/>
    <n v="54"/>
    <n v="25286.870000000003"/>
    <s v="Profit"/>
  </r>
  <r>
    <s v="L0597"/>
    <x v="459"/>
    <s v="B0597"/>
    <s v="OH"/>
    <n v="13595"/>
    <n v="22.2"/>
    <n v="36"/>
    <x v="3"/>
    <x v="3"/>
    <x v="4"/>
    <n v="36901"/>
    <s v="OWN"/>
    <n v="0.32"/>
    <n v="0.73"/>
    <n v="5141.99"/>
    <n v="2205.12"/>
    <n v="57"/>
    <n v="8453.01"/>
    <s v="Profit"/>
  </r>
  <r>
    <s v="L0598"/>
    <x v="460"/>
    <s v="B0598"/>
    <s v="IL"/>
    <n v="2969"/>
    <n v="16.8"/>
    <n v="36"/>
    <x v="3"/>
    <x v="2"/>
    <x v="3"/>
    <n v="147473"/>
    <s v="RENT"/>
    <n v="0.49"/>
    <n v="0.85"/>
    <n v="760.95"/>
    <n v="303.63"/>
    <n v="30"/>
    <n v="2208.0500000000002"/>
    <s v="Profit"/>
  </r>
  <r>
    <s v="L0599"/>
    <x v="203"/>
    <s v="B0599"/>
    <s v="PA"/>
    <n v="18275"/>
    <n v="9.5"/>
    <n v="36"/>
    <x v="0"/>
    <x v="2"/>
    <x v="0"/>
    <n v="129023"/>
    <s v="RENT"/>
    <n v="0.15"/>
    <n v="0.74"/>
    <n v="20011.12"/>
    <n v="0"/>
    <n v="29"/>
    <n v="-1736.119999999999"/>
    <s v="Loss"/>
  </r>
  <r>
    <s v="L0600"/>
    <x v="461"/>
    <s v="B0600"/>
    <s v="FL"/>
    <n v="5470"/>
    <n v="12.7"/>
    <n v="60"/>
    <x v="3"/>
    <x v="1"/>
    <x v="1"/>
    <n v="38597"/>
    <s v="OWN"/>
    <n v="0.3"/>
    <n v="0.79"/>
    <n v="1347.15"/>
    <n v="2258.6"/>
    <n v="44"/>
    <n v="4122.8500000000004"/>
    <s v="Profit"/>
  </r>
  <r>
    <s v="L0601"/>
    <x v="232"/>
    <s v="B0601"/>
    <s v="TX"/>
    <n v="11225"/>
    <n v="14"/>
    <n v="36"/>
    <x v="1"/>
    <x v="4"/>
    <x v="3"/>
    <n v="93909"/>
    <s v="RENT"/>
    <n v="0.17"/>
    <n v="0.85"/>
    <n v="3482.53"/>
    <n v="0"/>
    <n v="37"/>
    <n v="7742.4699999999993"/>
    <s v="Profit"/>
  </r>
  <r>
    <s v="L0602"/>
    <x v="462"/>
    <s v="B0602"/>
    <s v="NC"/>
    <n v="24196"/>
    <n v="16.600000000000001"/>
    <n v="60"/>
    <x v="0"/>
    <x v="0"/>
    <x v="0"/>
    <n v="102391"/>
    <s v="OWN"/>
    <n v="0.12"/>
    <n v="0.68"/>
    <n v="28212.54"/>
    <n v="0"/>
    <n v="59"/>
    <n v="-4016.5400000000009"/>
    <s v="Loss"/>
  </r>
  <r>
    <s v="L0603"/>
    <x v="463"/>
    <s v="B0603"/>
    <s v="NY"/>
    <n v="14669"/>
    <n v="20.2"/>
    <n v="36"/>
    <x v="0"/>
    <x v="1"/>
    <x v="2"/>
    <n v="114214"/>
    <s v="OWN"/>
    <n v="0.35"/>
    <n v="0.5"/>
    <n v="17632.14"/>
    <n v="0"/>
    <n v="58"/>
    <n v="-2963.1399999999994"/>
    <s v="Loss"/>
  </r>
  <r>
    <s v="L0604"/>
    <x v="464"/>
    <s v="B0604"/>
    <s v="OH"/>
    <n v="38380"/>
    <n v="7"/>
    <n v="36"/>
    <x v="0"/>
    <x v="3"/>
    <x v="4"/>
    <n v="38263"/>
    <s v="MORTGAGE"/>
    <n v="0.18"/>
    <n v="0.88"/>
    <n v="41066.6"/>
    <n v="0"/>
    <n v="36"/>
    <n v="-2686.5999999999985"/>
    <s v="Loss"/>
  </r>
  <r>
    <s v="L0605"/>
    <x v="465"/>
    <s v="B0605"/>
    <s v="GA"/>
    <n v="39006"/>
    <n v="22.8"/>
    <n v="60"/>
    <x v="0"/>
    <x v="1"/>
    <x v="2"/>
    <n v="93293"/>
    <s v="OWN"/>
    <n v="0.34"/>
    <n v="0.67"/>
    <n v="47899.37"/>
    <n v="0"/>
    <n v="33"/>
    <n v="-8893.3700000000026"/>
    <s v="Loss"/>
  </r>
  <r>
    <s v="L0606"/>
    <x v="466"/>
    <s v="B0606"/>
    <s v="TX"/>
    <n v="16577"/>
    <n v="5.2"/>
    <n v="60"/>
    <x v="0"/>
    <x v="2"/>
    <x v="0"/>
    <n v="142824"/>
    <s v="RENT"/>
    <n v="0.14000000000000001"/>
    <n v="0.72"/>
    <n v="17439"/>
    <n v="0"/>
    <n v="58"/>
    <n v="-862"/>
    <s v="Loss"/>
  </r>
  <r>
    <s v="L0607"/>
    <x v="467"/>
    <s v="B0607"/>
    <s v="PA"/>
    <n v="23473"/>
    <n v="12.4"/>
    <n v="60"/>
    <x v="2"/>
    <x v="6"/>
    <x v="2"/>
    <n v="55805"/>
    <s v="MORTGAGE"/>
    <n v="0.23"/>
    <n v="0.5"/>
    <n v="0"/>
    <n v="0"/>
    <n v="56"/>
    <n v="23473"/>
    <s v="Profit"/>
  </r>
  <r>
    <s v="L0608"/>
    <x v="229"/>
    <s v="B0608"/>
    <s v="GA"/>
    <n v="29625"/>
    <n v="5.5"/>
    <n v="60"/>
    <x v="0"/>
    <x v="0"/>
    <x v="2"/>
    <n v="121679"/>
    <s v="MORTGAGE"/>
    <n v="0.41"/>
    <n v="0.72"/>
    <n v="31254.37"/>
    <n v="0"/>
    <n v="36"/>
    <n v="-1629.369999999999"/>
    <s v="Loss"/>
  </r>
  <r>
    <s v="L0609"/>
    <x v="460"/>
    <s v="B0609"/>
    <s v="OH"/>
    <n v="16504"/>
    <n v="12.9"/>
    <n v="60"/>
    <x v="0"/>
    <x v="0"/>
    <x v="0"/>
    <n v="41874"/>
    <s v="RENT"/>
    <n v="0.27"/>
    <n v="0.94"/>
    <n v="18633.02"/>
    <n v="0"/>
    <n v="30"/>
    <n v="-2129.0200000000004"/>
    <s v="Loss"/>
  </r>
  <r>
    <s v="L0610"/>
    <x v="468"/>
    <s v="B0610"/>
    <s v="NY"/>
    <n v="25089"/>
    <n v="15.5"/>
    <n v="36"/>
    <x v="2"/>
    <x v="4"/>
    <x v="1"/>
    <n v="123065"/>
    <s v="RENT"/>
    <n v="0.35"/>
    <n v="0.63"/>
    <n v="0"/>
    <n v="0"/>
    <n v="60"/>
    <n v="25089"/>
    <s v="Profit"/>
  </r>
  <r>
    <s v="L0611"/>
    <x v="469"/>
    <s v="B0611"/>
    <s v="CA"/>
    <n v="37487"/>
    <n v="15.2"/>
    <n v="36"/>
    <x v="0"/>
    <x v="0"/>
    <x v="3"/>
    <n v="116402"/>
    <s v="RENT"/>
    <n v="0.36"/>
    <n v="0.68"/>
    <n v="43185.02"/>
    <n v="0"/>
    <n v="44"/>
    <n v="-5698.0199999999968"/>
    <s v="Loss"/>
  </r>
  <r>
    <s v="L0612"/>
    <x v="470"/>
    <s v="B0612"/>
    <s v="PA"/>
    <n v="1302"/>
    <n v="8.3000000000000007"/>
    <n v="60"/>
    <x v="3"/>
    <x v="5"/>
    <x v="4"/>
    <n v="44079"/>
    <s v="OWN"/>
    <n v="0.44"/>
    <n v="0.81"/>
    <n v="399.41"/>
    <n v="452.5"/>
    <n v="60"/>
    <n v="902.58999999999992"/>
    <s v="Profit"/>
  </r>
  <r>
    <s v="L0613"/>
    <x v="471"/>
    <s v="B0613"/>
    <s v="GA"/>
    <n v="32463"/>
    <n v="17.899999999999999"/>
    <n v="36"/>
    <x v="0"/>
    <x v="3"/>
    <x v="3"/>
    <n v="79850"/>
    <s v="MORTGAGE"/>
    <n v="0.23"/>
    <n v="0.87"/>
    <n v="38273.879999999997"/>
    <n v="0"/>
    <n v="55"/>
    <n v="-5810.8799999999974"/>
    <s v="Loss"/>
  </r>
  <r>
    <s v="L0614"/>
    <x v="472"/>
    <s v="B0614"/>
    <s v="PA"/>
    <n v="30259"/>
    <n v="5.9"/>
    <n v="36"/>
    <x v="1"/>
    <x v="1"/>
    <x v="4"/>
    <n v="102779"/>
    <s v="OWN"/>
    <n v="0.37"/>
    <n v="0.69"/>
    <n v="2968.33"/>
    <n v="0"/>
    <n v="58"/>
    <n v="27290.67"/>
    <s v="Profit"/>
  </r>
  <r>
    <s v="L0615"/>
    <x v="473"/>
    <s v="B0615"/>
    <s v="IL"/>
    <n v="38208"/>
    <n v="20.2"/>
    <n v="36"/>
    <x v="0"/>
    <x v="4"/>
    <x v="3"/>
    <n v="125408"/>
    <s v="OWN"/>
    <n v="0.48"/>
    <n v="0.64"/>
    <n v="45926.02"/>
    <n v="0"/>
    <n v="61"/>
    <n v="-7718.0199999999968"/>
    <s v="Loss"/>
  </r>
  <r>
    <s v="L0616"/>
    <x v="474"/>
    <s v="B0616"/>
    <s v="GA"/>
    <n v="31659"/>
    <n v="23.9"/>
    <n v="60"/>
    <x v="1"/>
    <x v="0"/>
    <x v="2"/>
    <n v="39018"/>
    <s v="OWN"/>
    <n v="0.39"/>
    <n v="0.92"/>
    <n v="13280.94"/>
    <n v="0"/>
    <n v="58"/>
    <n v="18378.059999999998"/>
    <s v="Profit"/>
  </r>
  <r>
    <s v="L0617"/>
    <x v="331"/>
    <s v="B0617"/>
    <s v="TX"/>
    <n v="36840"/>
    <n v="11.8"/>
    <n v="36"/>
    <x v="0"/>
    <x v="4"/>
    <x v="1"/>
    <n v="79500"/>
    <s v="OWN"/>
    <n v="0.3"/>
    <n v="0.8"/>
    <n v="41187.120000000003"/>
    <n v="0"/>
    <n v="37"/>
    <n v="-4347.1200000000026"/>
    <s v="Loss"/>
  </r>
  <r>
    <s v="L0618"/>
    <x v="475"/>
    <s v="B0618"/>
    <s v="CA"/>
    <n v="32890"/>
    <n v="15.3"/>
    <n v="36"/>
    <x v="1"/>
    <x v="5"/>
    <x v="2"/>
    <n v="42100"/>
    <s v="MORTGAGE"/>
    <n v="0.35"/>
    <n v="0.55000000000000004"/>
    <n v="8090.19"/>
    <n v="0"/>
    <n v="34"/>
    <n v="24799.81"/>
    <s v="Profit"/>
  </r>
  <r>
    <s v="L0619"/>
    <x v="441"/>
    <s v="B0619"/>
    <s v="CA"/>
    <n v="14598"/>
    <n v="12.6"/>
    <n v="36"/>
    <x v="0"/>
    <x v="4"/>
    <x v="1"/>
    <n v="87021"/>
    <s v="MORTGAGE"/>
    <n v="0.4"/>
    <n v="0.53"/>
    <n v="16437.349999999999"/>
    <n v="0"/>
    <n v="59"/>
    <n v="-1839.3499999999985"/>
    <s v="Loss"/>
  </r>
  <r>
    <s v="L0620"/>
    <x v="465"/>
    <s v="B0620"/>
    <s v="FL"/>
    <n v="20508"/>
    <n v="5.0999999999999996"/>
    <n v="60"/>
    <x v="3"/>
    <x v="0"/>
    <x v="0"/>
    <n v="144995"/>
    <s v="OWN"/>
    <n v="0.34"/>
    <n v="0.72"/>
    <n v="2495.92"/>
    <n v="3057.79"/>
    <n v="33"/>
    <n v="18012.080000000002"/>
    <s v="Profit"/>
  </r>
  <r>
    <s v="L0621"/>
    <x v="476"/>
    <s v="B0621"/>
    <s v="PA"/>
    <n v="14380"/>
    <n v="12.7"/>
    <n v="36"/>
    <x v="0"/>
    <x v="4"/>
    <x v="4"/>
    <n v="49800"/>
    <s v="RENT"/>
    <n v="0.11"/>
    <n v="0.6"/>
    <n v="16206.26"/>
    <n v="0"/>
    <n v="50"/>
    <n v="-1826.2600000000002"/>
    <s v="Loss"/>
  </r>
  <r>
    <s v="L0622"/>
    <x v="465"/>
    <s v="B0622"/>
    <s v="NC"/>
    <n v="27984"/>
    <n v="20.8"/>
    <n v="36"/>
    <x v="0"/>
    <x v="4"/>
    <x v="4"/>
    <n v="93400"/>
    <s v="MORTGAGE"/>
    <n v="0.18"/>
    <n v="0.61"/>
    <n v="33804.67"/>
    <n v="0"/>
    <n v="33"/>
    <n v="-5820.6699999999983"/>
    <s v="Loss"/>
  </r>
  <r>
    <s v="L0623"/>
    <x v="477"/>
    <s v="B0623"/>
    <s v="CA"/>
    <n v="9125"/>
    <n v="16.899999999999999"/>
    <n v="60"/>
    <x v="1"/>
    <x v="2"/>
    <x v="0"/>
    <n v="122446"/>
    <s v="OWN"/>
    <n v="0.42"/>
    <n v="0.89"/>
    <n v="3684.51"/>
    <n v="0"/>
    <n v="53"/>
    <n v="5440.49"/>
    <s v="Profit"/>
  </r>
  <r>
    <s v="L0624"/>
    <x v="478"/>
    <s v="B0624"/>
    <s v="CA"/>
    <n v="37059"/>
    <n v="7"/>
    <n v="60"/>
    <x v="0"/>
    <x v="0"/>
    <x v="3"/>
    <n v="59437"/>
    <s v="RENT"/>
    <n v="0.21"/>
    <n v="0.54"/>
    <n v="39653.129999999997"/>
    <n v="0"/>
    <n v="40"/>
    <n v="-2594.1299999999974"/>
    <s v="Loss"/>
  </r>
  <r>
    <s v="L0625"/>
    <x v="479"/>
    <s v="B0625"/>
    <s v="IL"/>
    <n v="5033"/>
    <n v="21.9"/>
    <n v="36"/>
    <x v="1"/>
    <x v="0"/>
    <x v="0"/>
    <n v="133124"/>
    <s v="RENT"/>
    <n v="0.39"/>
    <n v="0.82"/>
    <n v="1105.3900000000001"/>
    <n v="0"/>
    <n v="59"/>
    <n v="3927.6099999999997"/>
    <s v="Profit"/>
  </r>
  <r>
    <s v="L0626"/>
    <x v="394"/>
    <s v="B0626"/>
    <s v="MI"/>
    <n v="38873"/>
    <n v="15.6"/>
    <n v="36"/>
    <x v="2"/>
    <x v="0"/>
    <x v="0"/>
    <n v="106537"/>
    <s v="OWN"/>
    <n v="0.25"/>
    <n v="0.62"/>
    <n v="0"/>
    <n v="0"/>
    <n v="40"/>
    <n v="38873"/>
    <s v="Profit"/>
  </r>
  <r>
    <s v="L0627"/>
    <x v="480"/>
    <s v="B0627"/>
    <s v="IL"/>
    <n v="18087"/>
    <n v="21.8"/>
    <n v="60"/>
    <x v="1"/>
    <x v="4"/>
    <x v="1"/>
    <n v="76675"/>
    <s v="MORTGAGE"/>
    <n v="0.31"/>
    <n v="0.84"/>
    <n v="1721.26"/>
    <n v="0"/>
    <n v="60"/>
    <n v="16365.74"/>
    <s v="Profit"/>
  </r>
  <r>
    <s v="L0628"/>
    <x v="279"/>
    <s v="B0628"/>
    <s v="IL"/>
    <n v="6704"/>
    <n v="16.600000000000001"/>
    <n v="60"/>
    <x v="0"/>
    <x v="1"/>
    <x v="0"/>
    <n v="49942"/>
    <s v="RENT"/>
    <n v="0.13"/>
    <n v="0.83"/>
    <n v="7816.86"/>
    <n v="0"/>
    <n v="41"/>
    <n v="-1112.8599999999997"/>
    <s v="Loss"/>
  </r>
  <r>
    <s v="L0629"/>
    <x v="481"/>
    <s v="B0629"/>
    <s v="MI"/>
    <n v="8848"/>
    <n v="16.2"/>
    <n v="60"/>
    <x v="1"/>
    <x v="1"/>
    <x v="4"/>
    <n v="50862"/>
    <s v="MORTGAGE"/>
    <n v="0.17"/>
    <n v="0.5"/>
    <n v="2965.85"/>
    <n v="0"/>
    <n v="27"/>
    <n v="5882.15"/>
    <s v="Profit"/>
  </r>
  <r>
    <s v="L0630"/>
    <x v="100"/>
    <s v="B0630"/>
    <s v="PA"/>
    <n v="22592"/>
    <n v="7.1"/>
    <n v="60"/>
    <x v="1"/>
    <x v="5"/>
    <x v="2"/>
    <n v="41669"/>
    <s v="MORTGAGE"/>
    <n v="0.48"/>
    <n v="0.73"/>
    <n v="10077.370000000001"/>
    <n v="0"/>
    <n v="28"/>
    <n v="12514.63"/>
    <s v="Profit"/>
  </r>
  <r>
    <s v="L0631"/>
    <x v="482"/>
    <s v="B0631"/>
    <s v="GA"/>
    <n v="7924"/>
    <n v="8.3000000000000007"/>
    <n v="60"/>
    <x v="1"/>
    <x v="1"/>
    <x v="1"/>
    <n v="83772"/>
    <s v="RENT"/>
    <n v="0.46"/>
    <n v="0.56000000000000005"/>
    <n v="3561.75"/>
    <n v="0"/>
    <n v="42"/>
    <n v="4362.25"/>
    <s v="Profit"/>
  </r>
  <r>
    <s v="L0632"/>
    <x v="120"/>
    <s v="B0632"/>
    <s v="NY"/>
    <n v="28208"/>
    <n v="24.4"/>
    <n v="60"/>
    <x v="0"/>
    <x v="4"/>
    <x v="1"/>
    <n v="45916"/>
    <s v="OWN"/>
    <n v="0.36"/>
    <n v="0.89"/>
    <n v="35090.75"/>
    <n v="0"/>
    <n v="40"/>
    <n v="-6882.75"/>
    <s v="Loss"/>
  </r>
  <r>
    <s v="L0633"/>
    <x v="483"/>
    <s v="B0633"/>
    <s v="NC"/>
    <n v="20614"/>
    <n v="9.6"/>
    <n v="60"/>
    <x v="0"/>
    <x v="1"/>
    <x v="3"/>
    <n v="40878"/>
    <s v="RENT"/>
    <n v="0.28000000000000003"/>
    <n v="0.89"/>
    <n v="22592.94"/>
    <n v="0"/>
    <n v="45"/>
    <n v="-1978.9399999999987"/>
    <s v="Loss"/>
  </r>
  <r>
    <s v="L0634"/>
    <x v="254"/>
    <s v="B0634"/>
    <s v="CA"/>
    <n v="1488"/>
    <n v="24.5"/>
    <n v="36"/>
    <x v="0"/>
    <x v="0"/>
    <x v="2"/>
    <n v="32985"/>
    <s v="RENT"/>
    <n v="0.37"/>
    <n v="0.69"/>
    <n v="1852.56"/>
    <n v="0"/>
    <n v="35"/>
    <n v="-364.55999999999995"/>
    <s v="Loss"/>
  </r>
  <r>
    <s v="L0635"/>
    <x v="484"/>
    <s v="B0635"/>
    <s v="FL"/>
    <n v="26923"/>
    <n v="15.6"/>
    <n v="60"/>
    <x v="0"/>
    <x v="4"/>
    <x v="1"/>
    <n v="127905"/>
    <s v="MORTGAGE"/>
    <n v="0.35"/>
    <n v="0.7"/>
    <n v="31122.99"/>
    <n v="0"/>
    <n v="41"/>
    <n v="-4199.9900000000016"/>
    <s v="Loss"/>
  </r>
  <r>
    <s v="L0636"/>
    <x v="485"/>
    <s v="B0636"/>
    <s v="NC"/>
    <n v="36941"/>
    <n v="7.7"/>
    <n v="60"/>
    <x v="0"/>
    <x v="6"/>
    <x v="0"/>
    <n v="103648"/>
    <s v="OWN"/>
    <n v="0.33"/>
    <n v="0.64"/>
    <n v="39785.46"/>
    <n v="0"/>
    <n v="54"/>
    <n v="-2844.4599999999991"/>
    <s v="Loss"/>
  </r>
  <r>
    <s v="L0637"/>
    <x v="486"/>
    <s v="B0637"/>
    <s v="GA"/>
    <n v="30165"/>
    <n v="7"/>
    <n v="36"/>
    <x v="0"/>
    <x v="6"/>
    <x v="1"/>
    <n v="71235"/>
    <s v="MORTGAGE"/>
    <n v="0.12"/>
    <n v="0.82"/>
    <n v="32276.55"/>
    <n v="0"/>
    <n v="45"/>
    <n v="-2111.5499999999993"/>
    <s v="Loss"/>
  </r>
  <r>
    <s v="L0638"/>
    <x v="167"/>
    <s v="B0638"/>
    <s v="MI"/>
    <n v="2667"/>
    <n v="9.1999999999999993"/>
    <n v="60"/>
    <x v="1"/>
    <x v="1"/>
    <x v="1"/>
    <n v="48931"/>
    <s v="RENT"/>
    <n v="0.35"/>
    <n v="0.66"/>
    <n v="1282.69"/>
    <n v="0"/>
    <n v="51"/>
    <n v="1384.31"/>
    <s v="Profit"/>
  </r>
  <r>
    <s v="L0639"/>
    <x v="210"/>
    <s v="B0639"/>
    <s v="NC"/>
    <n v="27213"/>
    <n v="23.5"/>
    <n v="60"/>
    <x v="3"/>
    <x v="0"/>
    <x v="1"/>
    <n v="122876"/>
    <s v="OWN"/>
    <n v="0.41"/>
    <n v="0.62"/>
    <n v="9805.16"/>
    <n v="8501.7099999999991"/>
    <n v="27"/>
    <n v="17407.84"/>
    <s v="Profit"/>
  </r>
  <r>
    <s v="L0640"/>
    <x v="469"/>
    <s v="B0640"/>
    <s v="CA"/>
    <n v="5114"/>
    <n v="13.3"/>
    <n v="36"/>
    <x v="1"/>
    <x v="0"/>
    <x v="3"/>
    <n v="30336"/>
    <s v="OWN"/>
    <n v="0.5"/>
    <n v="0.69"/>
    <n v="260.63"/>
    <n v="0"/>
    <n v="44"/>
    <n v="4853.37"/>
    <s v="Profit"/>
  </r>
  <r>
    <s v="L0641"/>
    <x v="487"/>
    <s v="B0641"/>
    <s v="NC"/>
    <n v="37321"/>
    <n v="12.9"/>
    <n v="60"/>
    <x v="0"/>
    <x v="3"/>
    <x v="1"/>
    <n v="72933"/>
    <s v="OWN"/>
    <n v="0.1"/>
    <n v="0.54"/>
    <n v="42135.41"/>
    <n v="0"/>
    <n v="36"/>
    <n v="-4814.4100000000035"/>
    <s v="Loss"/>
  </r>
  <r>
    <s v="L0642"/>
    <x v="458"/>
    <s v="B0642"/>
    <s v="NY"/>
    <n v="8761"/>
    <n v="11.3"/>
    <n v="36"/>
    <x v="0"/>
    <x v="0"/>
    <x v="1"/>
    <n v="114899"/>
    <s v="OWN"/>
    <n v="0.39"/>
    <n v="0.84"/>
    <n v="9750.99"/>
    <n v="0"/>
    <n v="54"/>
    <n v="-989.98999999999978"/>
    <s v="Loss"/>
  </r>
  <r>
    <s v="L0643"/>
    <x v="264"/>
    <s v="B0643"/>
    <s v="MI"/>
    <n v="32116"/>
    <n v="7.9"/>
    <n v="36"/>
    <x v="2"/>
    <x v="0"/>
    <x v="3"/>
    <n v="75536"/>
    <s v="OWN"/>
    <n v="0.33"/>
    <n v="0.51"/>
    <n v="0"/>
    <n v="0"/>
    <n v="61"/>
    <n v="32116"/>
    <s v="Profit"/>
  </r>
  <r>
    <s v="L0644"/>
    <x v="488"/>
    <s v="B0644"/>
    <s v="NC"/>
    <n v="34768"/>
    <n v="14.8"/>
    <n v="36"/>
    <x v="2"/>
    <x v="0"/>
    <x v="2"/>
    <n v="99504"/>
    <s v="RENT"/>
    <n v="0.27"/>
    <n v="0.79"/>
    <n v="0"/>
    <n v="0"/>
    <n v="55"/>
    <n v="34768"/>
    <s v="Profit"/>
  </r>
  <r>
    <s v="L0645"/>
    <x v="489"/>
    <s v="B0645"/>
    <s v="CA"/>
    <n v="26426"/>
    <n v="7.6"/>
    <n v="36"/>
    <x v="3"/>
    <x v="4"/>
    <x v="4"/>
    <n v="129214"/>
    <s v="RENT"/>
    <n v="0.15"/>
    <n v="0.57999999999999996"/>
    <n v="5657.08"/>
    <n v="8575.9699999999993"/>
    <n v="54"/>
    <n v="20768.919999999998"/>
    <s v="Profit"/>
  </r>
  <r>
    <s v="L0646"/>
    <x v="490"/>
    <s v="B0646"/>
    <s v="CA"/>
    <n v="18772"/>
    <n v="21.7"/>
    <n v="60"/>
    <x v="1"/>
    <x v="0"/>
    <x v="3"/>
    <n v="81148"/>
    <s v="RENT"/>
    <n v="0.26"/>
    <n v="0.6"/>
    <n v="7853.16"/>
    <n v="0"/>
    <n v="27"/>
    <n v="10918.84"/>
    <s v="Profit"/>
  </r>
  <r>
    <s v="L0647"/>
    <x v="491"/>
    <s v="B0647"/>
    <s v="NC"/>
    <n v="39218"/>
    <n v="12.4"/>
    <n v="36"/>
    <x v="0"/>
    <x v="5"/>
    <x v="3"/>
    <n v="143936"/>
    <s v="MORTGAGE"/>
    <n v="0.24"/>
    <n v="0.79"/>
    <n v="44081.03"/>
    <n v="0"/>
    <n v="51"/>
    <n v="-4863.0299999999988"/>
    <s v="Loss"/>
  </r>
  <r>
    <s v="L0648"/>
    <x v="492"/>
    <s v="B0648"/>
    <s v="PA"/>
    <n v="4712"/>
    <n v="12.5"/>
    <n v="36"/>
    <x v="1"/>
    <x v="5"/>
    <x v="1"/>
    <n v="46279"/>
    <s v="OWN"/>
    <n v="0.22"/>
    <n v="0.95"/>
    <n v="1012.2"/>
    <n v="0"/>
    <n v="59"/>
    <n v="3699.8"/>
    <s v="Profit"/>
  </r>
  <r>
    <s v="L0649"/>
    <x v="274"/>
    <s v="B0649"/>
    <s v="FL"/>
    <n v="2367"/>
    <n v="14.5"/>
    <n v="60"/>
    <x v="0"/>
    <x v="2"/>
    <x v="1"/>
    <n v="98665"/>
    <s v="OWN"/>
    <n v="0.39"/>
    <n v="0.85"/>
    <n v="2710.22"/>
    <n v="0"/>
    <n v="35"/>
    <n v="-343.2199999999998"/>
    <s v="Loss"/>
  </r>
  <r>
    <s v="L0650"/>
    <x v="493"/>
    <s v="B0650"/>
    <s v="OH"/>
    <n v="27200"/>
    <n v="13.9"/>
    <n v="36"/>
    <x v="0"/>
    <x v="0"/>
    <x v="4"/>
    <n v="133751"/>
    <s v="RENT"/>
    <n v="0.38"/>
    <n v="0.6"/>
    <n v="30980.799999999999"/>
    <n v="0"/>
    <n v="61"/>
    <n v="-3780.7999999999993"/>
    <s v="Loss"/>
  </r>
  <r>
    <s v="L0651"/>
    <x v="494"/>
    <s v="B0651"/>
    <s v="IL"/>
    <n v="4726"/>
    <n v="24.9"/>
    <n v="36"/>
    <x v="1"/>
    <x v="4"/>
    <x v="1"/>
    <n v="134433"/>
    <s v="OWN"/>
    <n v="0.34"/>
    <n v="0.57999999999999996"/>
    <n v="1515.61"/>
    <n v="0"/>
    <n v="51"/>
    <n v="3210.3900000000003"/>
    <s v="Profit"/>
  </r>
  <r>
    <s v="L0652"/>
    <x v="495"/>
    <s v="B0652"/>
    <s v="MI"/>
    <n v="24616"/>
    <n v="15.9"/>
    <n v="36"/>
    <x v="0"/>
    <x v="5"/>
    <x v="0"/>
    <n v="101386"/>
    <s v="MORTGAGE"/>
    <n v="0.48"/>
    <n v="0.89"/>
    <n v="28529.94"/>
    <n v="0"/>
    <n v="28"/>
    <n v="-3913.9399999999987"/>
    <s v="Loss"/>
  </r>
  <r>
    <s v="L0653"/>
    <x v="496"/>
    <s v="B0653"/>
    <s v="OH"/>
    <n v="28723"/>
    <n v="6.8"/>
    <n v="36"/>
    <x v="0"/>
    <x v="5"/>
    <x v="1"/>
    <n v="116124"/>
    <s v="OWN"/>
    <n v="0.24"/>
    <n v="0.7"/>
    <n v="30676.16"/>
    <n v="0"/>
    <n v="36"/>
    <n v="-1953.1599999999999"/>
    <s v="Loss"/>
  </r>
  <r>
    <s v="L0654"/>
    <x v="497"/>
    <s v="B0654"/>
    <s v="GA"/>
    <n v="38574"/>
    <n v="17.100000000000001"/>
    <n v="60"/>
    <x v="0"/>
    <x v="5"/>
    <x v="1"/>
    <n v="135750"/>
    <s v="OWN"/>
    <n v="0.2"/>
    <n v="0.56000000000000005"/>
    <n v="45170.15"/>
    <n v="0"/>
    <n v="62"/>
    <n v="-6596.1500000000015"/>
    <s v="Loss"/>
  </r>
  <r>
    <s v="L0655"/>
    <x v="498"/>
    <s v="B0655"/>
    <s v="GA"/>
    <n v="35958"/>
    <n v="8"/>
    <n v="36"/>
    <x v="0"/>
    <x v="6"/>
    <x v="0"/>
    <n v="107485"/>
    <s v="MORTGAGE"/>
    <n v="0.36"/>
    <n v="0.89"/>
    <n v="38834.639999999999"/>
    <n v="0"/>
    <n v="42"/>
    <n v="-2876.6399999999994"/>
    <s v="Loss"/>
  </r>
  <r>
    <s v="L0656"/>
    <x v="499"/>
    <s v="B0656"/>
    <s v="CA"/>
    <n v="10108"/>
    <n v="5.6"/>
    <n v="60"/>
    <x v="3"/>
    <x v="0"/>
    <x v="4"/>
    <n v="104055"/>
    <s v="RENT"/>
    <n v="0.18"/>
    <n v="0.87"/>
    <n v="2849.4"/>
    <n v="2210.77"/>
    <n v="39"/>
    <n v="7258.6"/>
    <s v="Profit"/>
  </r>
  <r>
    <s v="L0657"/>
    <x v="500"/>
    <s v="B0657"/>
    <s v="GA"/>
    <n v="13178"/>
    <n v="24.4"/>
    <n v="60"/>
    <x v="0"/>
    <x v="6"/>
    <x v="0"/>
    <n v="121911"/>
    <s v="RENT"/>
    <n v="0.23"/>
    <n v="0.94"/>
    <n v="16393.43"/>
    <n v="0"/>
    <n v="52"/>
    <n v="-3215.4300000000003"/>
    <s v="Loss"/>
  </r>
  <r>
    <s v="L0658"/>
    <x v="501"/>
    <s v="B0658"/>
    <s v="PA"/>
    <n v="36643"/>
    <n v="20.5"/>
    <n v="36"/>
    <x v="0"/>
    <x v="5"/>
    <x v="3"/>
    <n v="128618"/>
    <s v="OWN"/>
    <n v="0.19"/>
    <n v="0.91"/>
    <n v="44154.82"/>
    <n v="0"/>
    <n v="41"/>
    <n v="-7511.82"/>
    <s v="Loss"/>
  </r>
  <r>
    <s v="L0659"/>
    <x v="502"/>
    <s v="B0659"/>
    <s v="FL"/>
    <n v="32324"/>
    <n v="24.6"/>
    <n v="36"/>
    <x v="0"/>
    <x v="0"/>
    <x v="0"/>
    <n v="107273"/>
    <s v="MORTGAGE"/>
    <n v="0.13"/>
    <n v="0.88"/>
    <n v="40275.699999999997"/>
    <n v="0"/>
    <n v="60"/>
    <n v="-7951.6999999999971"/>
    <s v="Loss"/>
  </r>
  <r>
    <s v="L0660"/>
    <x v="96"/>
    <s v="B0660"/>
    <s v="GA"/>
    <n v="39360"/>
    <n v="14.6"/>
    <n v="36"/>
    <x v="0"/>
    <x v="2"/>
    <x v="2"/>
    <n v="96670"/>
    <s v="RENT"/>
    <n v="0.43"/>
    <n v="0.52"/>
    <n v="45106.559999999998"/>
    <n v="0"/>
    <n v="38"/>
    <n v="-5746.5599999999977"/>
    <s v="Loss"/>
  </r>
  <r>
    <s v="L0661"/>
    <x v="503"/>
    <s v="B0661"/>
    <s v="NY"/>
    <n v="18824"/>
    <n v="15.6"/>
    <n v="36"/>
    <x v="0"/>
    <x v="1"/>
    <x v="3"/>
    <n v="106474"/>
    <s v="RENT"/>
    <n v="0.2"/>
    <n v="0.55000000000000004"/>
    <n v="21760.54"/>
    <n v="0"/>
    <n v="45"/>
    <n v="-2936.5400000000009"/>
    <s v="Loss"/>
  </r>
  <r>
    <s v="L0662"/>
    <x v="297"/>
    <s v="B0662"/>
    <s v="FL"/>
    <n v="9927"/>
    <n v="8.4"/>
    <n v="60"/>
    <x v="1"/>
    <x v="0"/>
    <x v="1"/>
    <n v="84028"/>
    <s v="RENT"/>
    <n v="0.28999999999999998"/>
    <n v="0.76"/>
    <n v="2126.9699999999998"/>
    <n v="0"/>
    <n v="47"/>
    <n v="7800.0300000000007"/>
    <s v="Profit"/>
  </r>
  <r>
    <s v="L0663"/>
    <x v="504"/>
    <s v="B0663"/>
    <s v="PA"/>
    <n v="29144"/>
    <n v="9.9"/>
    <n v="60"/>
    <x v="0"/>
    <x v="0"/>
    <x v="3"/>
    <n v="120022"/>
    <s v="OWN"/>
    <n v="0.12"/>
    <n v="0.74"/>
    <n v="32029.26"/>
    <n v="0"/>
    <n v="61"/>
    <n v="-2885.2599999999984"/>
    <s v="Loss"/>
  </r>
  <r>
    <s v="L0664"/>
    <x v="505"/>
    <s v="B0664"/>
    <s v="OH"/>
    <n v="32010"/>
    <n v="21.8"/>
    <n v="60"/>
    <x v="1"/>
    <x v="0"/>
    <x v="4"/>
    <n v="143892"/>
    <s v="MORTGAGE"/>
    <n v="0.38"/>
    <n v="0.71"/>
    <n v="14628.99"/>
    <n v="0"/>
    <n v="60"/>
    <n v="17381.010000000002"/>
    <s v="Profit"/>
  </r>
  <r>
    <s v="L0665"/>
    <x v="506"/>
    <s v="B0665"/>
    <s v="FL"/>
    <n v="23443"/>
    <n v="12.1"/>
    <n v="36"/>
    <x v="4"/>
    <x v="5"/>
    <x v="4"/>
    <n v="121632"/>
    <s v="OWN"/>
    <n v="0.23"/>
    <n v="0.68"/>
    <n v="0"/>
    <n v="0"/>
    <n v="50"/>
    <n v="23443"/>
    <s v="Profit"/>
  </r>
  <r>
    <s v="L0666"/>
    <x v="507"/>
    <s v="B0666"/>
    <s v="FL"/>
    <n v="15437"/>
    <n v="21.5"/>
    <n v="60"/>
    <x v="1"/>
    <x v="0"/>
    <x v="0"/>
    <n v="136651"/>
    <s v="RENT"/>
    <n v="0.4"/>
    <n v="0.69"/>
    <n v="4267.6000000000004"/>
    <n v="0"/>
    <n v="40"/>
    <n v="11169.4"/>
    <s v="Profit"/>
  </r>
  <r>
    <s v="L0667"/>
    <x v="503"/>
    <s v="B0667"/>
    <s v="OH"/>
    <n v="12207"/>
    <n v="19.2"/>
    <n v="36"/>
    <x v="0"/>
    <x v="0"/>
    <x v="3"/>
    <n v="101128"/>
    <s v="MORTGAGE"/>
    <n v="0.26"/>
    <n v="0.76"/>
    <n v="14550.74"/>
    <n v="0"/>
    <n v="45"/>
    <n v="-2343.7399999999998"/>
    <s v="Loss"/>
  </r>
  <r>
    <s v="L0668"/>
    <x v="134"/>
    <s v="B0668"/>
    <s v="PA"/>
    <n v="26537"/>
    <n v="8.5"/>
    <n v="36"/>
    <x v="0"/>
    <x v="0"/>
    <x v="1"/>
    <n v="48108"/>
    <s v="OWN"/>
    <n v="0.18"/>
    <n v="0.5"/>
    <n v="28792.639999999999"/>
    <n v="0"/>
    <n v="39"/>
    <n v="-2255.6399999999994"/>
    <s v="Loss"/>
  </r>
  <r>
    <s v="L0669"/>
    <x v="418"/>
    <s v="B0669"/>
    <s v="GA"/>
    <n v="36757"/>
    <n v="15.1"/>
    <n v="36"/>
    <x v="3"/>
    <x v="1"/>
    <x v="4"/>
    <n v="82495"/>
    <s v="RENT"/>
    <n v="0.31"/>
    <n v="0.62"/>
    <n v="8800.92"/>
    <n v="6346.33"/>
    <n v="33"/>
    <n v="27956.080000000002"/>
    <s v="Profit"/>
  </r>
  <r>
    <s v="L0670"/>
    <x v="508"/>
    <s v="B0670"/>
    <s v="CA"/>
    <n v="13040"/>
    <n v="18.5"/>
    <n v="36"/>
    <x v="0"/>
    <x v="6"/>
    <x v="1"/>
    <n v="112806"/>
    <s v="RENT"/>
    <n v="0.15"/>
    <n v="0.73"/>
    <n v="15452.4"/>
    <n v="0"/>
    <n v="28"/>
    <n v="-2412.3999999999996"/>
    <s v="Loss"/>
  </r>
  <r>
    <s v="L0671"/>
    <x v="509"/>
    <s v="B0671"/>
    <s v="MI"/>
    <n v="23612"/>
    <n v="9.6999999999999993"/>
    <n v="36"/>
    <x v="1"/>
    <x v="6"/>
    <x v="2"/>
    <n v="123185"/>
    <s v="OWN"/>
    <n v="0.28000000000000003"/>
    <n v="0.82"/>
    <n v="11779.58"/>
    <n v="0"/>
    <n v="28"/>
    <n v="11832.42"/>
    <s v="Profit"/>
  </r>
  <r>
    <s v="L0672"/>
    <x v="450"/>
    <s v="B0672"/>
    <s v="OH"/>
    <n v="29441"/>
    <n v="21.6"/>
    <n v="60"/>
    <x v="3"/>
    <x v="0"/>
    <x v="4"/>
    <n v="106533"/>
    <s v="RENT"/>
    <n v="0.23"/>
    <n v="0.57999999999999996"/>
    <n v="7302.84"/>
    <n v="11730.22"/>
    <n v="32"/>
    <n v="22138.16"/>
    <s v="Profit"/>
  </r>
  <r>
    <s v="L0673"/>
    <x v="194"/>
    <s v="B0673"/>
    <s v="OH"/>
    <n v="7471"/>
    <n v="15.9"/>
    <n v="60"/>
    <x v="3"/>
    <x v="2"/>
    <x v="0"/>
    <n v="129025"/>
    <s v="RENT"/>
    <n v="0.46"/>
    <n v="0.75"/>
    <n v="1146.94"/>
    <n v="2846.42"/>
    <n v="38"/>
    <n v="6324.0599999999995"/>
    <s v="Profit"/>
  </r>
  <r>
    <s v="L0674"/>
    <x v="510"/>
    <s v="B0674"/>
    <s v="OH"/>
    <n v="36631"/>
    <n v="8.3000000000000007"/>
    <n v="36"/>
    <x v="3"/>
    <x v="1"/>
    <x v="2"/>
    <n v="86830"/>
    <s v="MORTGAGE"/>
    <n v="0.12"/>
    <n v="0.82"/>
    <n v="9301.3700000000008"/>
    <n v="10217.73"/>
    <n v="50"/>
    <n v="27329.629999999997"/>
    <s v="Profit"/>
  </r>
  <r>
    <s v="L0675"/>
    <x v="10"/>
    <s v="B0675"/>
    <s v="OH"/>
    <n v="27523"/>
    <n v="16.7"/>
    <n v="60"/>
    <x v="1"/>
    <x v="2"/>
    <x v="3"/>
    <n v="104640"/>
    <s v="RENT"/>
    <n v="0.38"/>
    <n v="0.7"/>
    <n v="11458.03"/>
    <n v="0"/>
    <n v="36"/>
    <n v="16064.97"/>
    <s v="Profit"/>
  </r>
  <r>
    <s v="L0676"/>
    <x v="336"/>
    <s v="B0676"/>
    <s v="MI"/>
    <n v="32348"/>
    <n v="25"/>
    <n v="36"/>
    <x v="0"/>
    <x v="4"/>
    <x v="1"/>
    <n v="82509"/>
    <s v="OWN"/>
    <n v="0.17"/>
    <n v="0.51"/>
    <n v="40435"/>
    <n v="0"/>
    <n v="38"/>
    <n v="-8087"/>
    <s v="Loss"/>
  </r>
  <r>
    <s v="L0677"/>
    <x v="107"/>
    <s v="B0677"/>
    <s v="MI"/>
    <n v="2177"/>
    <n v="8"/>
    <n v="36"/>
    <x v="2"/>
    <x v="4"/>
    <x v="4"/>
    <n v="96406"/>
    <s v="MORTGAGE"/>
    <n v="0.23"/>
    <n v="0.7"/>
    <n v="0"/>
    <n v="0"/>
    <n v="28"/>
    <n v="2177"/>
    <s v="Profit"/>
  </r>
  <r>
    <s v="L0678"/>
    <x v="114"/>
    <s v="B0678"/>
    <s v="GA"/>
    <n v="5760"/>
    <n v="21.3"/>
    <n v="36"/>
    <x v="0"/>
    <x v="6"/>
    <x v="2"/>
    <n v="124220"/>
    <s v="OWN"/>
    <n v="0.27"/>
    <n v="0.63"/>
    <n v="6986.88"/>
    <n v="0"/>
    <n v="46"/>
    <n v="-1226.8800000000001"/>
    <s v="Loss"/>
  </r>
  <r>
    <s v="L0679"/>
    <x v="504"/>
    <s v="B0679"/>
    <s v="NC"/>
    <n v="33779"/>
    <n v="9.1"/>
    <n v="60"/>
    <x v="0"/>
    <x v="0"/>
    <x v="2"/>
    <n v="69519"/>
    <s v="RENT"/>
    <n v="0.46"/>
    <n v="0.92"/>
    <n v="36852.89"/>
    <n v="0"/>
    <n v="61"/>
    <n v="-3073.8899999999994"/>
    <s v="Loss"/>
  </r>
  <r>
    <s v="L0680"/>
    <x v="379"/>
    <s v="B0680"/>
    <s v="NC"/>
    <n v="22636"/>
    <n v="20.6"/>
    <n v="36"/>
    <x v="1"/>
    <x v="5"/>
    <x v="4"/>
    <n v="79649"/>
    <s v="MORTGAGE"/>
    <n v="0.2"/>
    <n v="0.56000000000000005"/>
    <n v="9045.0499999999993"/>
    <n v="0"/>
    <n v="39"/>
    <n v="13590.95"/>
    <s v="Profit"/>
  </r>
  <r>
    <s v="L0681"/>
    <x v="231"/>
    <s v="B0681"/>
    <s v="TX"/>
    <n v="17353"/>
    <n v="19.7"/>
    <n v="36"/>
    <x v="1"/>
    <x v="6"/>
    <x v="3"/>
    <n v="64524"/>
    <s v="MORTGAGE"/>
    <n v="0.14000000000000001"/>
    <n v="0.79"/>
    <n v="7025.57"/>
    <n v="0"/>
    <n v="27"/>
    <n v="10327.43"/>
    <s v="Profit"/>
  </r>
  <r>
    <s v="L0682"/>
    <x v="511"/>
    <s v="B0682"/>
    <s v="OH"/>
    <n v="12556"/>
    <n v="11"/>
    <n v="60"/>
    <x v="3"/>
    <x v="6"/>
    <x v="3"/>
    <n v="126493"/>
    <s v="MORTGAGE"/>
    <n v="0.23"/>
    <n v="0.52"/>
    <n v="3922.58"/>
    <n v="3494.67"/>
    <n v="59"/>
    <n v="8633.42"/>
    <s v="Profit"/>
  </r>
  <r>
    <s v="L0683"/>
    <x v="472"/>
    <s v="B0683"/>
    <s v="OH"/>
    <n v="28598"/>
    <n v="11.5"/>
    <n v="60"/>
    <x v="1"/>
    <x v="2"/>
    <x v="0"/>
    <n v="63885"/>
    <s v="MORTGAGE"/>
    <n v="0.14000000000000001"/>
    <n v="0.7"/>
    <n v="4701.45"/>
    <n v="0"/>
    <n v="58"/>
    <n v="23896.55"/>
    <s v="Profit"/>
  </r>
  <r>
    <s v="L0684"/>
    <x v="512"/>
    <s v="B0684"/>
    <s v="FL"/>
    <n v="12563"/>
    <n v="20.9"/>
    <n v="60"/>
    <x v="0"/>
    <x v="1"/>
    <x v="3"/>
    <n v="74369"/>
    <s v="OWN"/>
    <n v="0.15"/>
    <n v="0.75"/>
    <n v="15188.67"/>
    <n v="0"/>
    <n v="35"/>
    <n v="-2625.67"/>
    <s v="Loss"/>
  </r>
  <r>
    <s v="L0685"/>
    <x v="513"/>
    <s v="B0685"/>
    <s v="NC"/>
    <n v="9234"/>
    <n v="14.2"/>
    <n v="36"/>
    <x v="2"/>
    <x v="0"/>
    <x v="0"/>
    <n v="131132"/>
    <s v="RENT"/>
    <n v="0.33"/>
    <n v="0.63"/>
    <n v="0"/>
    <n v="0"/>
    <n v="44"/>
    <n v="9234"/>
    <s v="Profit"/>
  </r>
  <r>
    <s v="L0686"/>
    <x v="514"/>
    <s v="B0686"/>
    <s v="GA"/>
    <n v="26519"/>
    <n v="19.600000000000001"/>
    <n v="36"/>
    <x v="1"/>
    <x v="0"/>
    <x v="2"/>
    <n v="125402"/>
    <s v="RENT"/>
    <n v="0.12"/>
    <n v="0.7"/>
    <n v="11613.67"/>
    <n v="0"/>
    <n v="57"/>
    <n v="14905.33"/>
    <s v="Profit"/>
  </r>
  <r>
    <s v="L0687"/>
    <x v="515"/>
    <s v="B0687"/>
    <s v="CA"/>
    <n v="27966"/>
    <n v="8"/>
    <n v="60"/>
    <x v="1"/>
    <x v="5"/>
    <x v="4"/>
    <n v="60676"/>
    <s v="MORTGAGE"/>
    <n v="0.11"/>
    <n v="0.56999999999999995"/>
    <n v="12642.02"/>
    <n v="0"/>
    <n v="61"/>
    <n v="15323.98"/>
    <s v="Profit"/>
  </r>
  <r>
    <s v="L0688"/>
    <x v="516"/>
    <s v="B0688"/>
    <s v="TX"/>
    <n v="17173"/>
    <n v="22.1"/>
    <n v="36"/>
    <x v="0"/>
    <x v="5"/>
    <x v="3"/>
    <n v="94093"/>
    <s v="RENT"/>
    <n v="0.39"/>
    <n v="0.64"/>
    <n v="20968.23"/>
    <n v="0"/>
    <n v="60"/>
    <n v="-3795.2299999999996"/>
    <s v="Loss"/>
  </r>
  <r>
    <s v="L0689"/>
    <x v="485"/>
    <s v="B0689"/>
    <s v="TX"/>
    <n v="27987"/>
    <n v="19.2"/>
    <n v="60"/>
    <x v="0"/>
    <x v="0"/>
    <x v="0"/>
    <n v="77764"/>
    <s v="OWN"/>
    <n v="0.24"/>
    <n v="0.78"/>
    <n v="33360.5"/>
    <n v="0"/>
    <n v="54"/>
    <n v="-5373.5"/>
    <s v="Loss"/>
  </r>
  <r>
    <s v="L0690"/>
    <x v="359"/>
    <s v="B0690"/>
    <s v="GA"/>
    <n v="14178"/>
    <n v="23.1"/>
    <n v="60"/>
    <x v="1"/>
    <x v="0"/>
    <x v="2"/>
    <n v="80799"/>
    <s v="RENT"/>
    <n v="0.15"/>
    <n v="0.64"/>
    <n v="1947.61"/>
    <n v="0"/>
    <n v="59"/>
    <n v="12230.39"/>
    <s v="Profit"/>
  </r>
  <r>
    <s v="L0691"/>
    <x v="474"/>
    <s v="B0691"/>
    <s v="CA"/>
    <n v="25596"/>
    <n v="7.6"/>
    <n v="36"/>
    <x v="0"/>
    <x v="5"/>
    <x v="3"/>
    <n v="109414"/>
    <s v="OWN"/>
    <n v="0.2"/>
    <n v="0.9"/>
    <n v="27541.3"/>
    <n v="0"/>
    <n v="58"/>
    <n v="-1945.2999999999993"/>
    <s v="Loss"/>
  </r>
  <r>
    <s v="L0692"/>
    <x v="517"/>
    <s v="B0692"/>
    <s v="FL"/>
    <n v="34174"/>
    <n v="16.899999999999999"/>
    <n v="36"/>
    <x v="0"/>
    <x v="1"/>
    <x v="1"/>
    <n v="135296"/>
    <s v="OWN"/>
    <n v="0.36"/>
    <n v="0.78"/>
    <n v="39949.410000000003"/>
    <n v="0"/>
    <n v="55"/>
    <n v="-5775.4100000000035"/>
    <s v="Loss"/>
  </r>
  <r>
    <s v="L0693"/>
    <x v="474"/>
    <s v="B0693"/>
    <s v="MI"/>
    <n v="5431"/>
    <n v="17"/>
    <n v="60"/>
    <x v="1"/>
    <x v="3"/>
    <x v="2"/>
    <n v="123095"/>
    <s v="RENT"/>
    <n v="0.21"/>
    <n v="0.7"/>
    <n v="590.38"/>
    <n v="0"/>
    <n v="58"/>
    <n v="4840.62"/>
    <s v="Profit"/>
  </r>
  <r>
    <s v="L0694"/>
    <x v="440"/>
    <s v="B0694"/>
    <s v="IL"/>
    <n v="28764"/>
    <n v="12.1"/>
    <n v="60"/>
    <x v="0"/>
    <x v="1"/>
    <x v="3"/>
    <n v="142082"/>
    <s v="OWN"/>
    <n v="0.3"/>
    <n v="0.52"/>
    <n v="32244.44"/>
    <n v="0"/>
    <n v="61"/>
    <n v="-3480.4399999999987"/>
    <s v="Loss"/>
  </r>
  <r>
    <s v="L0695"/>
    <x v="518"/>
    <s v="B0695"/>
    <s v="NC"/>
    <n v="22627"/>
    <n v="14.2"/>
    <n v="60"/>
    <x v="0"/>
    <x v="6"/>
    <x v="2"/>
    <n v="102307"/>
    <s v="OWN"/>
    <n v="0.15"/>
    <n v="0.72"/>
    <n v="25840.03"/>
    <n v="0"/>
    <n v="42"/>
    <n v="-3213.0299999999988"/>
    <s v="Loss"/>
  </r>
  <r>
    <s v="L0696"/>
    <x v="17"/>
    <s v="B0696"/>
    <s v="OH"/>
    <n v="9906"/>
    <n v="5.8"/>
    <n v="60"/>
    <x v="0"/>
    <x v="5"/>
    <x v="4"/>
    <n v="112062"/>
    <s v="OWN"/>
    <n v="0.34"/>
    <n v="0.84"/>
    <n v="10480.549999999999"/>
    <n v="0"/>
    <n v="38"/>
    <n v="-574.54999999999927"/>
    <s v="Loss"/>
  </r>
  <r>
    <s v="L0697"/>
    <x v="519"/>
    <s v="B0697"/>
    <s v="GA"/>
    <n v="37914"/>
    <n v="19.899999999999999"/>
    <n v="36"/>
    <x v="0"/>
    <x v="3"/>
    <x v="4"/>
    <n v="125432"/>
    <s v="OWN"/>
    <n v="0.23"/>
    <n v="0.62"/>
    <n v="45458.89"/>
    <n v="0"/>
    <n v="43"/>
    <n v="-7544.8899999999994"/>
    <s v="Loss"/>
  </r>
  <r>
    <s v="L0698"/>
    <x v="520"/>
    <s v="B0698"/>
    <s v="NC"/>
    <n v="14076"/>
    <n v="16"/>
    <n v="60"/>
    <x v="1"/>
    <x v="1"/>
    <x v="4"/>
    <n v="61923"/>
    <s v="MORTGAGE"/>
    <n v="0.35"/>
    <n v="0.86"/>
    <n v="6883.48"/>
    <n v="0"/>
    <n v="48"/>
    <n v="7192.52"/>
    <s v="Profit"/>
  </r>
  <r>
    <s v="L0699"/>
    <x v="98"/>
    <s v="B0699"/>
    <s v="OH"/>
    <n v="38650"/>
    <n v="6.2"/>
    <n v="60"/>
    <x v="0"/>
    <x v="6"/>
    <x v="1"/>
    <n v="147449"/>
    <s v="RENT"/>
    <n v="0.42"/>
    <n v="0.61"/>
    <n v="41046.300000000003"/>
    <n v="0"/>
    <n v="42"/>
    <n v="-2396.3000000000029"/>
    <s v="Loss"/>
  </r>
  <r>
    <s v="L0700"/>
    <x v="521"/>
    <s v="B0700"/>
    <s v="IL"/>
    <n v="7012"/>
    <n v="18.600000000000001"/>
    <n v="60"/>
    <x v="0"/>
    <x v="2"/>
    <x v="4"/>
    <n v="131739"/>
    <s v="MORTGAGE"/>
    <n v="0.34"/>
    <n v="0.87"/>
    <n v="8316.23"/>
    <n v="0"/>
    <n v="39"/>
    <n v="-1304.2299999999996"/>
    <s v="Loss"/>
  </r>
  <r>
    <s v="L0701"/>
    <x v="522"/>
    <s v="B0701"/>
    <s v="IL"/>
    <n v="8151"/>
    <n v="14.3"/>
    <n v="36"/>
    <x v="1"/>
    <x v="2"/>
    <x v="1"/>
    <n v="134926"/>
    <s v="OWN"/>
    <n v="0.22"/>
    <n v="0.54"/>
    <n v="3592.52"/>
    <n v="0"/>
    <n v="52"/>
    <n v="4558.4799999999996"/>
    <s v="Profit"/>
  </r>
  <r>
    <s v="L0702"/>
    <x v="262"/>
    <s v="B0702"/>
    <s v="MI"/>
    <n v="29211"/>
    <n v="5.7"/>
    <n v="36"/>
    <x v="2"/>
    <x v="4"/>
    <x v="4"/>
    <n v="108388"/>
    <s v="RENT"/>
    <n v="0.2"/>
    <n v="0.89"/>
    <n v="0"/>
    <n v="0"/>
    <n v="33"/>
    <n v="29211"/>
    <s v="Profit"/>
  </r>
  <r>
    <s v="L0703"/>
    <x v="523"/>
    <s v="B0703"/>
    <s v="PA"/>
    <n v="28117"/>
    <n v="24.4"/>
    <n v="60"/>
    <x v="1"/>
    <x v="0"/>
    <x v="2"/>
    <n v="77574"/>
    <s v="OWN"/>
    <n v="0.23"/>
    <n v="0.72"/>
    <n v="12707.65"/>
    <n v="0"/>
    <n v="40"/>
    <n v="15409.35"/>
    <s v="Profit"/>
  </r>
  <r>
    <s v="L0704"/>
    <x v="13"/>
    <s v="B0704"/>
    <s v="IL"/>
    <n v="37378"/>
    <n v="24"/>
    <n v="36"/>
    <x v="0"/>
    <x v="0"/>
    <x v="3"/>
    <n v="73391"/>
    <s v="RENT"/>
    <n v="0.17"/>
    <n v="0.63"/>
    <n v="46348.72"/>
    <n v="0"/>
    <n v="53"/>
    <n v="-8970.7200000000012"/>
    <s v="Loss"/>
  </r>
  <r>
    <s v="L0705"/>
    <x v="168"/>
    <s v="B0705"/>
    <s v="NC"/>
    <n v="7894"/>
    <n v="15.3"/>
    <n v="36"/>
    <x v="0"/>
    <x v="0"/>
    <x v="3"/>
    <n v="83664"/>
    <s v="MORTGAGE"/>
    <n v="0.17"/>
    <n v="0.62"/>
    <n v="9101.7800000000007"/>
    <n v="0"/>
    <n v="42"/>
    <n v="-1207.7800000000007"/>
    <s v="Loss"/>
  </r>
  <r>
    <s v="L0706"/>
    <x v="306"/>
    <s v="B0706"/>
    <s v="NY"/>
    <n v="14467"/>
    <n v="6.9"/>
    <n v="36"/>
    <x v="3"/>
    <x v="0"/>
    <x v="4"/>
    <n v="97384"/>
    <s v="RENT"/>
    <n v="0.42"/>
    <n v="0.69"/>
    <n v="5293.66"/>
    <n v="1335.02"/>
    <n v="45"/>
    <n v="9173.34"/>
    <s v="Profit"/>
  </r>
  <r>
    <s v="L0707"/>
    <x v="524"/>
    <s v="B0707"/>
    <s v="NY"/>
    <n v="32010"/>
    <n v="20.100000000000001"/>
    <n v="60"/>
    <x v="0"/>
    <x v="0"/>
    <x v="3"/>
    <n v="61027"/>
    <s v="OWN"/>
    <n v="0.25"/>
    <n v="0.95"/>
    <n v="38444.01"/>
    <n v="0"/>
    <n v="34"/>
    <n v="-6434.010000000002"/>
    <s v="Loss"/>
  </r>
  <r>
    <s v="L0708"/>
    <x v="491"/>
    <s v="B0708"/>
    <s v="OH"/>
    <n v="13289"/>
    <n v="14.8"/>
    <n v="60"/>
    <x v="1"/>
    <x v="4"/>
    <x v="4"/>
    <n v="65464"/>
    <s v="RENT"/>
    <n v="0.27"/>
    <n v="0.6"/>
    <n v="3903.76"/>
    <n v="0"/>
    <n v="51"/>
    <n v="9385.24"/>
    <s v="Profit"/>
  </r>
  <r>
    <s v="L0709"/>
    <x v="266"/>
    <s v="B0709"/>
    <s v="OH"/>
    <n v="24171"/>
    <n v="11"/>
    <n v="36"/>
    <x v="0"/>
    <x v="5"/>
    <x v="4"/>
    <n v="64485"/>
    <s v="RENT"/>
    <n v="0.34"/>
    <n v="0.55000000000000004"/>
    <n v="26829.81"/>
    <n v="0"/>
    <n v="35"/>
    <n v="-2658.8100000000013"/>
    <s v="Loss"/>
  </r>
  <r>
    <s v="L0710"/>
    <x v="232"/>
    <s v="B0710"/>
    <s v="PA"/>
    <n v="35905"/>
    <n v="14.8"/>
    <n v="60"/>
    <x v="0"/>
    <x v="1"/>
    <x v="0"/>
    <n v="49456"/>
    <s v="MORTGAGE"/>
    <n v="0.34"/>
    <n v="0.76"/>
    <n v="41218.94"/>
    <n v="0"/>
    <n v="37"/>
    <n v="-5313.9400000000023"/>
    <s v="Loss"/>
  </r>
  <r>
    <s v="L0711"/>
    <x v="525"/>
    <s v="B0711"/>
    <s v="NY"/>
    <n v="21829"/>
    <n v="15.4"/>
    <n v="60"/>
    <x v="1"/>
    <x v="0"/>
    <x v="0"/>
    <n v="104795"/>
    <s v="OWN"/>
    <n v="0.13"/>
    <n v="0.72"/>
    <n v="7441.09"/>
    <n v="0"/>
    <n v="33"/>
    <n v="14387.91"/>
    <s v="Profit"/>
  </r>
  <r>
    <s v="L0712"/>
    <x v="526"/>
    <s v="B0712"/>
    <s v="OH"/>
    <n v="35054"/>
    <n v="16.3"/>
    <n v="36"/>
    <x v="1"/>
    <x v="1"/>
    <x v="0"/>
    <n v="65554"/>
    <s v="RENT"/>
    <n v="0.43"/>
    <n v="0.74"/>
    <n v="10355.42"/>
    <n v="0"/>
    <n v="54"/>
    <n v="24698.58"/>
    <s v="Profit"/>
  </r>
  <r>
    <s v="L0713"/>
    <x v="527"/>
    <s v="B0713"/>
    <s v="IL"/>
    <n v="30734"/>
    <n v="13.8"/>
    <n v="36"/>
    <x v="1"/>
    <x v="1"/>
    <x v="1"/>
    <n v="76922"/>
    <s v="MORTGAGE"/>
    <n v="0.17"/>
    <n v="0.8"/>
    <n v="2244.9"/>
    <n v="0"/>
    <n v="44"/>
    <n v="28489.1"/>
    <s v="Profit"/>
  </r>
  <r>
    <s v="L0714"/>
    <x v="528"/>
    <s v="B0714"/>
    <s v="OH"/>
    <n v="8052"/>
    <n v="17.100000000000001"/>
    <n v="60"/>
    <x v="0"/>
    <x v="5"/>
    <x v="0"/>
    <n v="43409"/>
    <s v="RENT"/>
    <n v="0.39"/>
    <n v="0.62"/>
    <n v="9428.89"/>
    <n v="0"/>
    <n v="27"/>
    <n v="-1376.8899999999994"/>
    <s v="Loss"/>
  </r>
  <r>
    <s v="L0715"/>
    <x v="529"/>
    <s v="B0715"/>
    <s v="TX"/>
    <n v="4654"/>
    <n v="23.4"/>
    <n v="36"/>
    <x v="0"/>
    <x v="2"/>
    <x v="4"/>
    <n v="99327"/>
    <s v="OWN"/>
    <n v="0.41"/>
    <n v="0.91"/>
    <n v="5743.04"/>
    <n v="0"/>
    <n v="55"/>
    <n v="-1089.04"/>
    <s v="Loss"/>
  </r>
  <r>
    <s v="L0716"/>
    <x v="530"/>
    <s v="B0716"/>
    <s v="PA"/>
    <n v="24486"/>
    <n v="12.2"/>
    <n v="60"/>
    <x v="1"/>
    <x v="0"/>
    <x v="2"/>
    <n v="121400"/>
    <s v="RENT"/>
    <n v="0.39"/>
    <n v="0.7"/>
    <n v="9438.77"/>
    <n v="0"/>
    <n v="44"/>
    <n v="15047.23"/>
    <s v="Profit"/>
  </r>
  <r>
    <s v="L0717"/>
    <x v="334"/>
    <s v="B0717"/>
    <s v="GA"/>
    <n v="19743"/>
    <n v="19.5"/>
    <n v="60"/>
    <x v="1"/>
    <x v="0"/>
    <x v="0"/>
    <n v="66639"/>
    <s v="RENT"/>
    <n v="0.33"/>
    <n v="0.56000000000000005"/>
    <n v="5476.7"/>
    <n v="0"/>
    <n v="32"/>
    <n v="14266.3"/>
    <s v="Profit"/>
  </r>
  <r>
    <s v="L0718"/>
    <x v="531"/>
    <s v="B0718"/>
    <s v="CA"/>
    <n v="25489"/>
    <n v="22.9"/>
    <n v="36"/>
    <x v="0"/>
    <x v="4"/>
    <x v="0"/>
    <n v="130110"/>
    <s v="RENT"/>
    <n v="0.11"/>
    <n v="0.83"/>
    <n v="31325.98"/>
    <n v="0"/>
    <n v="62"/>
    <n v="-5836.98"/>
    <s v="Loss"/>
  </r>
  <r>
    <s v="L0719"/>
    <x v="532"/>
    <s v="B0719"/>
    <s v="FL"/>
    <n v="9636"/>
    <n v="14.1"/>
    <n v="60"/>
    <x v="0"/>
    <x v="0"/>
    <x v="2"/>
    <n v="93627"/>
    <s v="RENT"/>
    <n v="0.24"/>
    <n v="0.79"/>
    <n v="10994.68"/>
    <n v="0"/>
    <n v="47"/>
    <n v="-1358.6800000000003"/>
    <s v="Loss"/>
  </r>
  <r>
    <s v="L0720"/>
    <x v="451"/>
    <s v="B0720"/>
    <s v="CA"/>
    <n v="7441"/>
    <n v="13.9"/>
    <n v="60"/>
    <x v="0"/>
    <x v="5"/>
    <x v="4"/>
    <n v="113424"/>
    <s v="OWN"/>
    <n v="0.34"/>
    <n v="0.64"/>
    <n v="8475.2999999999993"/>
    <n v="0"/>
    <n v="60"/>
    <n v="-1034.2999999999993"/>
    <s v="Loss"/>
  </r>
  <r>
    <s v="L0721"/>
    <x v="533"/>
    <s v="B0721"/>
    <s v="CA"/>
    <n v="25611"/>
    <n v="17"/>
    <n v="36"/>
    <x v="4"/>
    <x v="4"/>
    <x v="1"/>
    <n v="49692"/>
    <s v="MORTGAGE"/>
    <n v="0.25"/>
    <n v="0.78"/>
    <n v="0"/>
    <n v="0"/>
    <n v="62"/>
    <n v="25611"/>
    <s v="Profit"/>
  </r>
  <r>
    <s v="L0722"/>
    <x v="123"/>
    <s v="B0722"/>
    <s v="MI"/>
    <n v="13149"/>
    <n v="16.8"/>
    <n v="36"/>
    <x v="1"/>
    <x v="4"/>
    <x v="0"/>
    <n v="119037"/>
    <s v="MORTGAGE"/>
    <n v="0.45"/>
    <n v="0.6"/>
    <n v="4489.9799999999996"/>
    <n v="0"/>
    <n v="41"/>
    <n v="8659.02"/>
    <s v="Profit"/>
  </r>
  <r>
    <s v="L0723"/>
    <x v="444"/>
    <s v="B0723"/>
    <s v="GA"/>
    <n v="35566"/>
    <n v="21.1"/>
    <n v="36"/>
    <x v="3"/>
    <x v="0"/>
    <x v="2"/>
    <n v="108840"/>
    <s v="RENT"/>
    <n v="0.22"/>
    <n v="0.7"/>
    <n v="8919.67"/>
    <n v="8978.74"/>
    <n v="58"/>
    <n v="26646.33"/>
    <s v="Profit"/>
  </r>
  <r>
    <s v="L0724"/>
    <x v="169"/>
    <s v="B0724"/>
    <s v="OH"/>
    <n v="22675"/>
    <n v="14.5"/>
    <n v="60"/>
    <x v="0"/>
    <x v="4"/>
    <x v="4"/>
    <n v="84200"/>
    <s v="OWN"/>
    <n v="0.22"/>
    <n v="0.9"/>
    <n v="25962.880000000001"/>
    <n v="0"/>
    <n v="33"/>
    <n v="-3287.880000000001"/>
    <s v="Loss"/>
  </r>
  <r>
    <s v="L0725"/>
    <x v="534"/>
    <s v="B0725"/>
    <s v="MI"/>
    <n v="6495"/>
    <n v="24.9"/>
    <n v="36"/>
    <x v="2"/>
    <x v="5"/>
    <x v="3"/>
    <n v="123063"/>
    <s v="OWN"/>
    <n v="0.21"/>
    <n v="0.56000000000000005"/>
    <n v="0"/>
    <n v="0"/>
    <n v="46"/>
    <n v="6495"/>
    <s v="Profit"/>
  </r>
  <r>
    <s v="L0726"/>
    <x v="535"/>
    <s v="B0726"/>
    <s v="CA"/>
    <n v="14673"/>
    <n v="6.2"/>
    <n v="36"/>
    <x v="0"/>
    <x v="5"/>
    <x v="1"/>
    <n v="87415"/>
    <s v="OWN"/>
    <n v="0.23"/>
    <n v="0.67"/>
    <n v="15582.73"/>
    <n v="0"/>
    <n v="31"/>
    <n v="-909.72999999999956"/>
    <s v="Loss"/>
  </r>
  <r>
    <s v="L0727"/>
    <x v="536"/>
    <s v="B0727"/>
    <s v="TX"/>
    <n v="12130"/>
    <n v="5.0999999999999996"/>
    <n v="36"/>
    <x v="0"/>
    <x v="0"/>
    <x v="2"/>
    <n v="48074"/>
    <s v="OWN"/>
    <n v="0.32"/>
    <n v="0.87"/>
    <n v="12748.63"/>
    <n v="0"/>
    <n v="43"/>
    <n v="-618.6299999999992"/>
    <s v="Loss"/>
  </r>
  <r>
    <s v="L0728"/>
    <x v="537"/>
    <s v="B0728"/>
    <s v="FL"/>
    <n v="23668"/>
    <n v="17.8"/>
    <n v="36"/>
    <x v="1"/>
    <x v="0"/>
    <x v="2"/>
    <n v="45549"/>
    <s v="OWN"/>
    <n v="0.38"/>
    <n v="0.94"/>
    <n v="6421.49"/>
    <n v="0"/>
    <n v="56"/>
    <n v="17246.510000000002"/>
    <s v="Profit"/>
  </r>
  <r>
    <s v="L0729"/>
    <x v="538"/>
    <s v="B0729"/>
    <s v="CA"/>
    <n v="16222"/>
    <n v="11"/>
    <n v="60"/>
    <x v="0"/>
    <x v="0"/>
    <x v="2"/>
    <n v="59963"/>
    <s v="OWN"/>
    <n v="0.37"/>
    <n v="0.7"/>
    <n v="18006.419999999998"/>
    <n v="0"/>
    <n v="34"/>
    <n v="-1784.4199999999983"/>
    <s v="Loss"/>
  </r>
  <r>
    <s v="L0730"/>
    <x v="539"/>
    <s v="B0730"/>
    <s v="NY"/>
    <n v="24669"/>
    <n v="9.8000000000000007"/>
    <n v="60"/>
    <x v="0"/>
    <x v="0"/>
    <x v="0"/>
    <n v="121456"/>
    <s v="RENT"/>
    <n v="0.42"/>
    <n v="0.73"/>
    <n v="27086.560000000001"/>
    <n v="0"/>
    <n v="39"/>
    <n v="-2417.5600000000013"/>
    <s v="Loss"/>
  </r>
  <r>
    <s v="L0731"/>
    <x v="495"/>
    <s v="B0731"/>
    <s v="GA"/>
    <n v="35068"/>
    <n v="11.2"/>
    <n v="36"/>
    <x v="0"/>
    <x v="6"/>
    <x v="3"/>
    <n v="126362"/>
    <s v="MORTGAGE"/>
    <n v="0.45"/>
    <n v="0.76"/>
    <n v="38995.620000000003"/>
    <n v="0"/>
    <n v="28"/>
    <n v="-3927.6200000000026"/>
    <s v="Loss"/>
  </r>
  <r>
    <s v="L0732"/>
    <x v="381"/>
    <s v="B0732"/>
    <s v="GA"/>
    <n v="24253"/>
    <n v="10.1"/>
    <n v="60"/>
    <x v="0"/>
    <x v="0"/>
    <x v="1"/>
    <n v="131607"/>
    <s v="MORTGAGE"/>
    <n v="0.43"/>
    <n v="0.92"/>
    <n v="26702.55"/>
    <n v="0"/>
    <n v="56"/>
    <n v="-2449.5499999999993"/>
    <s v="Loss"/>
  </r>
  <r>
    <s v="L0733"/>
    <x v="540"/>
    <s v="B0733"/>
    <s v="GA"/>
    <n v="10435"/>
    <n v="5.6"/>
    <n v="36"/>
    <x v="1"/>
    <x v="1"/>
    <x v="4"/>
    <n v="82265"/>
    <s v="RENT"/>
    <n v="0.11"/>
    <n v="0.89"/>
    <n v="1328.43"/>
    <n v="0"/>
    <n v="51"/>
    <n v="9106.57"/>
    <s v="Profit"/>
  </r>
  <r>
    <s v="L0734"/>
    <x v="142"/>
    <s v="B0734"/>
    <s v="PA"/>
    <n v="29552"/>
    <n v="24.4"/>
    <n v="36"/>
    <x v="1"/>
    <x v="6"/>
    <x v="4"/>
    <n v="46061"/>
    <s v="MORTGAGE"/>
    <n v="0.39"/>
    <n v="0.57999999999999996"/>
    <n v="5184.05"/>
    <n v="0"/>
    <n v="35"/>
    <n v="24367.95"/>
    <s v="Profit"/>
  </r>
  <r>
    <s v="L0735"/>
    <x v="541"/>
    <s v="B0735"/>
    <s v="PA"/>
    <n v="38384"/>
    <n v="9.4"/>
    <n v="60"/>
    <x v="1"/>
    <x v="0"/>
    <x v="3"/>
    <n v="88226"/>
    <s v="OWN"/>
    <n v="0.18"/>
    <n v="0.7"/>
    <n v="4663.03"/>
    <n v="0"/>
    <n v="38"/>
    <n v="33720.97"/>
    <s v="Profit"/>
  </r>
  <r>
    <s v="L0736"/>
    <x v="542"/>
    <s v="B0736"/>
    <s v="IL"/>
    <n v="17393"/>
    <n v="19.7"/>
    <n v="60"/>
    <x v="1"/>
    <x v="4"/>
    <x v="2"/>
    <n v="58810"/>
    <s v="OWN"/>
    <n v="0.15"/>
    <n v="0.71"/>
    <n v="2401.1"/>
    <n v="0"/>
    <n v="55"/>
    <n v="14991.9"/>
    <s v="Profit"/>
  </r>
  <r>
    <s v="L0737"/>
    <x v="543"/>
    <s v="B0737"/>
    <s v="NC"/>
    <n v="11617"/>
    <n v="20.3"/>
    <n v="36"/>
    <x v="1"/>
    <x v="3"/>
    <x v="2"/>
    <n v="90006"/>
    <s v="MORTGAGE"/>
    <n v="0.36"/>
    <n v="0.86"/>
    <n v="5667.24"/>
    <n v="0"/>
    <n v="45"/>
    <n v="5949.76"/>
    <s v="Profit"/>
  </r>
  <r>
    <s v="L0738"/>
    <x v="135"/>
    <s v="B0738"/>
    <s v="FL"/>
    <n v="39520"/>
    <n v="23.6"/>
    <n v="36"/>
    <x v="0"/>
    <x v="6"/>
    <x v="2"/>
    <n v="143502"/>
    <s v="OWN"/>
    <n v="0.23"/>
    <n v="0.77"/>
    <n v="48846.720000000001"/>
    <n v="0"/>
    <n v="58"/>
    <n v="-9326.7200000000012"/>
    <s v="Loss"/>
  </r>
  <r>
    <s v="L0739"/>
    <x v="544"/>
    <s v="B0739"/>
    <s v="MI"/>
    <n v="10852"/>
    <n v="5.6"/>
    <n v="60"/>
    <x v="0"/>
    <x v="5"/>
    <x v="2"/>
    <n v="52800"/>
    <s v="OWN"/>
    <n v="0.12"/>
    <n v="0.79"/>
    <n v="11459.71"/>
    <n v="0"/>
    <n v="58"/>
    <n v="-607.70999999999913"/>
    <s v="Loss"/>
  </r>
  <r>
    <s v="L0740"/>
    <x v="545"/>
    <s v="B0740"/>
    <s v="OH"/>
    <n v="32401"/>
    <n v="22.4"/>
    <n v="36"/>
    <x v="2"/>
    <x v="1"/>
    <x v="2"/>
    <n v="146192"/>
    <s v="MORTGAGE"/>
    <n v="0.16"/>
    <n v="0.95"/>
    <n v="0"/>
    <n v="0"/>
    <n v="44"/>
    <n v="32401"/>
    <s v="Profit"/>
  </r>
  <r>
    <s v="L0741"/>
    <x v="437"/>
    <s v="B0741"/>
    <s v="CA"/>
    <n v="7295"/>
    <n v="15.5"/>
    <n v="60"/>
    <x v="0"/>
    <x v="6"/>
    <x v="3"/>
    <n v="138959"/>
    <s v="RENT"/>
    <n v="0.1"/>
    <n v="0.53"/>
    <n v="8425.7199999999993"/>
    <n v="0"/>
    <n v="62"/>
    <n v="-1130.7199999999993"/>
    <s v="Loss"/>
  </r>
  <r>
    <s v="L0742"/>
    <x v="322"/>
    <s v="B0742"/>
    <s v="NC"/>
    <n v="36993"/>
    <n v="17.7"/>
    <n v="36"/>
    <x v="1"/>
    <x v="4"/>
    <x v="0"/>
    <n v="137228"/>
    <s v="MORTGAGE"/>
    <n v="0.46"/>
    <n v="0.6"/>
    <n v="4398.51"/>
    <n v="0"/>
    <n v="59"/>
    <n v="32594.489999999998"/>
    <s v="Profit"/>
  </r>
  <r>
    <s v="L0743"/>
    <x v="244"/>
    <s v="B0743"/>
    <s v="OH"/>
    <n v="35084"/>
    <n v="17.899999999999999"/>
    <n v="36"/>
    <x v="0"/>
    <x v="2"/>
    <x v="1"/>
    <n v="105476"/>
    <s v="MORTGAGE"/>
    <n v="0.11"/>
    <n v="0.68"/>
    <n v="41364.04"/>
    <n v="0"/>
    <n v="41"/>
    <n v="-6280.0400000000009"/>
    <s v="Loss"/>
  </r>
  <r>
    <s v="L0744"/>
    <x v="546"/>
    <s v="B0744"/>
    <s v="MI"/>
    <n v="37451"/>
    <n v="21.4"/>
    <n v="60"/>
    <x v="1"/>
    <x v="5"/>
    <x v="2"/>
    <n v="99460"/>
    <s v="MORTGAGE"/>
    <n v="0.18"/>
    <n v="0.66"/>
    <n v="6410.55"/>
    <n v="0"/>
    <n v="52"/>
    <n v="31040.45"/>
    <s v="Profit"/>
  </r>
  <r>
    <s v="L0745"/>
    <x v="547"/>
    <s v="B0745"/>
    <s v="NC"/>
    <n v="8227"/>
    <n v="11.7"/>
    <n v="60"/>
    <x v="1"/>
    <x v="5"/>
    <x v="0"/>
    <n v="87767"/>
    <s v="MORTGAGE"/>
    <n v="0.27"/>
    <n v="0.51"/>
    <n v="2597.8000000000002"/>
    <n v="0"/>
    <n v="58"/>
    <n v="5629.2"/>
    <s v="Profit"/>
  </r>
  <r>
    <s v="L0746"/>
    <x v="548"/>
    <s v="B0746"/>
    <s v="OH"/>
    <n v="32910"/>
    <n v="19.7"/>
    <n v="60"/>
    <x v="0"/>
    <x v="3"/>
    <x v="4"/>
    <n v="58054"/>
    <s v="RENT"/>
    <n v="0.24"/>
    <n v="0.54"/>
    <n v="39393.269999999997"/>
    <n v="0"/>
    <n v="34"/>
    <n v="-6483.2699999999968"/>
    <s v="Loss"/>
  </r>
  <r>
    <s v="L0747"/>
    <x v="549"/>
    <s v="B0747"/>
    <s v="TX"/>
    <n v="37041"/>
    <n v="15.6"/>
    <n v="60"/>
    <x v="0"/>
    <x v="6"/>
    <x v="3"/>
    <n v="105319"/>
    <s v="RENT"/>
    <n v="0.46"/>
    <n v="0.81"/>
    <n v="42819.4"/>
    <n v="0"/>
    <n v="54"/>
    <n v="-5778.4000000000015"/>
    <s v="Loss"/>
  </r>
  <r>
    <s v="L0748"/>
    <x v="550"/>
    <s v="B0748"/>
    <s v="PA"/>
    <n v="24384"/>
    <n v="20.9"/>
    <n v="60"/>
    <x v="1"/>
    <x v="4"/>
    <x v="0"/>
    <n v="132789"/>
    <s v="OWN"/>
    <n v="0.12"/>
    <n v="0.9"/>
    <n v="7914.57"/>
    <n v="0"/>
    <n v="32"/>
    <n v="16469.43"/>
    <s v="Profit"/>
  </r>
  <r>
    <s v="L0749"/>
    <x v="313"/>
    <s v="B0749"/>
    <s v="MI"/>
    <n v="1145"/>
    <n v="24.8"/>
    <n v="60"/>
    <x v="0"/>
    <x v="0"/>
    <x v="2"/>
    <n v="75397"/>
    <s v="OWN"/>
    <n v="0.3"/>
    <n v="0.73"/>
    <n v="1428.96"/>
    <n v="0"/>
    <n v="39"/>
    <n v="-283.96000000000004"/>
    <s v="Loss"/>
  </r>
  <r>
    <s v="L0750"/>
    <x v="422"/>
    <s v="B0750"/>
    <s v="FL"/>
    <n v="38778"/>
    <n v="9"/>
    <n v="60"/>
    <x v="0"/>
    <x v="5"/>
    <x v="2"/>
    <n v="43233"/>
    <s v="MORTGAGE"/>
    <n v="0.37"/>
    <n v="0.74"/>
    <n v="42268.02"/>
    <n v="0"/>
    <n v="62"/>
    <n v="-3490.0199999999968"/>
    <s v="Loss"/>
  </r>
  <r>
    <s v="L0751"/>
    <x v="551"/>
    <s v="B0751"/>
    <s v="NY"/>
    <n v="17035"/>
    <n v="24.9"/>
    <n v="36"/>
    <x v="1"/>
    <x v="1"/>
    <x v="2"/>
    <n v="141205"/>
    <s v="OWN"/>
    <n v="0.47"/>
    <n v="0.61"/>
    <n v="2032.08"/>
    <n v="0"/>
    <n v="54"/>
    <n v="15002.92"/>
    <s v="Profit"/>
  </r>
  <r>
    <s v="L0752"/>
    <x v="552"/>
    <s v="B0752"/>
    <s v="TX"/>
    <n v="4040"/>
    <n v="6.8"/>
    <n v="36"/>
    <x v="0"/>
    <x v="1"/>
    <x v="0"/>
    <n v="120020"/>
    <s v="RENT"/>
    <n v="0.35"/>
    <n v="0.85"/>
    <n v="4314.72"/>
    <n v="0"/>
    <n v="56"/>
    <n v="-274.72000000000025"/>
    <s v="Loss"/>
  </r>
  <r>
    <s v="L0753"/>
    <x v="40"/>
    <s v="B0753"/>
    <s v="PA"/>
    <n v="27160"/>
    <n v="5"/>
    <n v="36"/>
    <x v="3"/>
    <x v="3"/>
    <x v="2"/>
    <n v="55068"/>
    <s v="OWN"/>
    <n v="0.42"/>
    <n v="0.84"/>
    <n v="9183.2099999999991"/>
    <n v="3538.73"/>
    <n v="33"/>
    <n v="17976.79"/>
    <s v="Profit"/>
  </r>
  <r>
    <s v="L0754"/>
    <x v="553"/>
    <s v="B0754"/>
    <s v="GA"/>
    <n v="18633"/>
    <n v="5.9"/>
    <n v="60"/>
    <x v="0"/>
    <x v="6"/>
    <x v="0"/>
    <n v="95727"/>
    <s v="OWN"/>
    <n v="0.13"/>
    <n v="0.76"/>
    <n v="19732.349999999999"/>
    <n v="0"/>
    <n v="62"/>
    <n v="-1099.3499999999985"/>
    <s v="Loss"/>
  </r>
  <r>
    <s v="L0755"/>
    <x v="241"/>
    <s v="B0755"/>
    <s v="PA"/>
    <n v="30344"/>
    <n v="11.8"/>
    <n v="60"/>
    <x v="0"/>
    <x v="4"/>
    <x v="2"/>
    <n v="120610"/>
    <s v="OWN"/>
    <n v="0.25"/>
    <n v="0.6"/>
    <n v="33924.589999999997"/>
    <n v="0"/>
    <n v="52"/>
    <n v="-3580.5899999999965"/>
    <s v="Loss"/>
  </r>
  <r>
    <s v="L0756"/>
    <x v="554"/>
    <s v="B0756"/>
    <s v="NC"/>
    <n v="18014"/>
    <n v="17.7"/>
    <n v="60"/>
    <x v="1"/>
    <x v="0"/>
    <x v="4"/>
    <n v="100453"/>
    <s v="MORTGAGE"/>
    <n v="0.25"/>
    <n v="0.54"/>
    <n v="7265.79"/>
    <n v="0"/>
    <n v="51"/>
    <n v="10748.21"/>
    <s v="Profit"/>
  </r>
  <r>
    <s v="L0757"/>
    <x v="229"/>
    <s v="B0757"/>
    <s v="IL"/>
    <n v="15996"/>
    <n v="6.4"/>
    <n v="36"/>
    <x v="0"/>
    <x v="5"/>
    <x v="4"/>
    <n v="134135"/>
    <s v="OWN"/>
    <n v="0.45"/>
    <n v="0.53"/>
    <n v="17019.740000000002"/>
    <n v="0"/>
    <n v="36"/>
    <n v="-1023.7400000000016"/>
    <s v="Loss"/>
  </r>
  <r>
    <s v="L0758"/>
    <x v="38"/>
    <s v="B0758"/>
    <s v="TX"/>
    <n v="12695"/>
    <n v="5.0999999999999996"/>
    <n v="60"/>
    <x v="0"/>
    <x v="1"/>
    <x v="1"/>
    <n v="55832"/>
    <s v="RENT"/>
    <n v="0.16"/>
    <n v="0.77"/>
    <n v="13342.44"/>
    <n v="0"/>
    <n v="37"/>
    <n v="-647.44000000000051"/>
    <s v="Loss"/>
  </r>
  <r>
    <s v="L0759"/>
    <x v="555"/>
    <s v="B0759"/>
    <s v="GA"/>
    <n v="3852"/>
    <n v="23.7"/>
    <n v="60"/>
    <x v="0"/>
    <x v="5"/>
    <x v="2"/>
    <n v="138464"/>
    <s v="RENT"/>
    <n v="0.16"/>
    <n v="0.87"/>
    <n v="4764.92"/>
    <n v="0"/>
    <n v="32"/>
    <n v="-912.92000000000007"/>
    <s v="Loss"/>
  </r>
  <r>
    <s v="L0760"/>
    <x v="130"/>
    <s v="B0760"/>
    <s v="NC"/>
    <n v="17014"/>
    <n v="21.4"/>
    <n v="36"/>
    <x v="0"/>
    <x v="5"/>
    <x v="2"/>
    <n v="116242"/>
    <s v="RENT"/>
    <n v="0.23"/>
    <n v="0.89"/>
    <n v="20655"/>
    <n v="0"/>
    <n v="52"/>
    <n v="-3641"/>
    <s v="Loss"/>
  </r>
  <r>
    <s v="L0761"/>
    <x v="446"/>
    <s v="B0761"/>
    <s v="MI"/>
    <n v="28042"/>
    <n v="21.2"/>
    <n v="60"/>
    <x v="0"/>
    <x v="5"/>
    <x v="0"/>
    <n v="43682"/>
    <s v="RENT"/>
    <n v="0.12"/>
    <n v="0.71"/>
    <n v="33986.9"/>
    <n v="0"/>
    <n v="54"/>
    <n v="-5944.9000000000015"/>
    <s v="Loss"/>
  </r>
  <r>
    <s v="L0762"/>
    <x v="556"/>
    <s v="B0762"/>
    <s v="FL"/>
    <n v="34755"/>
    <n v="22.7"/>
    <n v="36"/>
    <x v="0"/>
    <x v="4"/>
    <x v="0"/>
    <n v="122298"/>
    <s v="OWN"/>
    <n v="0.17"/>
    <n v="0.85"/>
    <n v="42644.38"/>
    <n v="0"/>
    <n v="51"/>
    <n v="-7889.3799999999974"/>
    <s v="Loss"/>
  </r>
  <r>
    <s v="L0763"/>
    <x v="557"/>
    <s v="B0763"/>
    <s v="PA"/>
    <n v="24711"/>
    <n v="19"/>
    <n v="36"/>
    <x v="0"/>
    <x v="4"/>
    <x v="2"/>
    <n v="53383"/>
    <s v="MORTGAGE"/>
    <n v="0.49"/>
    <n v="0.93"/>
    <n v="29406.09"/>
    <n v="0"/>
    <n v="50"/>
    <n v="-4695.09"/>
    <s v="Loss"/>
  </r>
  <r>
    <s v="L0764"/>
    <x v="366"/>
    <s v="B0764"/>
    <s v="MI"/>
    <n v="27122"/>
    <n v="7.1"/>
    <n v="60"/>
    <x v="0"/>
    <x v="5"/>
    <x v="1"/>
    <n v="88160"/>
    <s v="RENT"/>
    <n v="0.27"/>
    <n v="0.62"/>
    <n v="29047.66"/>
    <n v="0"/>
    <n v="43"/>
    <n v="-1925.6599999999999"/>
    <s v="Loss"/>
  </r>
  <r>
    <s v="L0765"/>
    <x v="280"/>
    <s v="B0765"/>
    <s v="GA"/>
    <n v="10160"/>
    <n v="13"/>
    <n v="60"/>
    <x v="1"/>
    <x v="0"/>
    <x v="2"/>
    <n v="123332"/>
    <s v="RENT"/>
    <n v="0.35"/>
    <n v="0.68"/>
    <n v="1593.02"/>
    <n v="0"/>
    <n v="45"/>
    <n v="8566.98"/>
    <s v="Profit"/>
  </r>
  <r>
    <s v="L0766"/>
    <x v="558"/>
    <s v="B0766"/>
    <s v="NC"/>
    <n v="28213"/>
    <n v="19.5"/>
    <n v="60"/>
    <x v="1"/>
    <x v="4"/>
    <x v="0"/>
    <n v="53666"/>
    <s v="MORTGAGE"/>
    <n v="0.39"/>
    <n v="0.92"/>
    <n v="5075.51"/>
    <n v="0"/>
    <n v="32"/>
    <n v="23137.489999999998"/>
    <s v="Profit"/>
  </r>
  <r>
    <s v="L0767"/>
    <x v="341"/>
    <s v="B0767"/>
    <s v="IL"/>
    <n v="8421"/>
    <n v="10.6"/>
    <n v="36"/>
    <x v="0"/>
    <x v="4"/>
    <x v="2"/>
    <n v="88817"/>
    <s v="MORTGAGE"/>
    <n v="0.25"/>
    <n v="0.65"/>
    <n v="9313.6299999999992"/>
    <n v="0"/>
    <n v="33"/>
    <n v="-892.6299999999992"/>
    <s v="Loss"/>
  </r>
  <r>
    <s v="L0768"/>
    <x v="55"/>
    <s v="B0768"/>
    <s v="PA"/>
    <n v="22400"/>
    <n v="18.7"/>
    <n v="36"/>
    <x v="1"/>
    <x v="5"/>
    <x v="0"/>
    <n v="121198"/>
    <s v="RENT"/>
    <n v="0.16"/>
    <n v="0.91"/>
    <n v="10574.92"/>
    <n v="0"/>
    <n v="53"/>
    <n v="11825.08"/>
    <s v="Profit"/>
  </r>
  <r>
    <s v="L0769"/>
    <x v="200"/>
    <s v="B0769"/>
    <s v="FL"/>
    <n v="34537"/>
    <n v="5.5"/>
    <n v="36"/>
    <x v="1"/>
    <x v="0"/>
    <x v="2"/>
    <n v="140695"/>
    <s v="RENT"/>
    <n v="0.18"/>
    <n v="0.94"/>
    <n v="14559.15"/>
    <n v="0"/>
    <n v="36"/>
    <n v="19977.849999999999"/>
    <s v="Profit"/>
  </r>
  <r>
    <s v="L0770"/>
    <x v="559"/>
    <s v="B0770"/>
    <s v="IL"/>
    <n v="18727"/>
    <n v="11.1"/>
    <n v="60"/>
    <x v="1"/>
    <x v="6"/>
    <x v="3"/>
    <n v="64642"/>
    <s v="MORTGAGE"/>
    <n v="0.23"/>
    <n v="0.8"/>
    <n v="6816.79"/>
    <n v="0"/>
    <n v="38"/>
    <n v="11910.21"/>
    <s v="Profit"/>
  </r>
  <r>
    <s v="L0771"/>
    <x v="260"/>
    <s v="B0771"/>
    <s v="OH"/>
    <n v="5358"/>
    <n v="16"/>
    <n v="60"/>
    <x v="1"/>
    <x v="5"/>
    <x v="0"/>
    <n v="71830"/>
    <s v="RENT"/>
    <n v="0.35"/>
    <n v="0.87"/>
    <n v="466.17"/>
    <n v="0"/>
    <n v="62"/>
    <n v="4891.83"/>
    <s v="Profit"/>
  </r>
  <r>
    <s v="L0772"/>
    <x v="353"/>
    <s v="B0772"/>
    <s v="NC"/>
    <n v="29482"/>
    <n v="17.600000000000001"/>
    <n v="60"/>
    <x v="0"/>
    <x v="1"/>
    <x v="1"/>
    <n v="133067"/>
    <s v="RENT"/>
    <n v="0.26"/>
    <n v="0.84"/>
    <n v="34670.83"/>
    <n v="0"/>
    <n v="34"/>
    <n v="-5188.8300000000017"/>
    <s v="Loss"/>
  </r>
  <r>
    <s v="L0773"/>
    <x v="505"/>
    <s v="B0773"/>
    <s v="MI"/>
    <n v="33117"/>
    <n v="16.5"/>
    <n v="60"/>
    <x v="3"/>
    <x v="1"/>
    <x v="3"/>
    <n v="40234"/>
    <s v="OWN"/>
    <n v="0.1"/>
    <n v="0.81"/>
    <n v="7467.2"/>
    <n v="5237.4799999999996"/>
    <n v="60"/>
    <n v="25649.8"/>
    <s v="Profit"/>
  </r>
  <r>
    <s v="L0774"/>
    <x v="536"/>
    <s v="B0774"/>
    <s v="PA"/>
    <n v="24164"/>
    <n v="19"/>
    <n v="36"/>
    <x v="0"/>
    <x v="4"/>
    <x v="2"/>
    <n v="87616"/>
    <s v="MORTGAGE"/>
    <n v="0.31"/>
    <n v="0.64"/>
    <n v="28755.16"/>
    <n v="0"/>
    <n v="43"/>
    <n v="-4591.16"/>
    <s v="Loss"/>
  </r>
  <r>
    <s v="L0775"/>
    <x v="560"/>
    <s v="B0775"/>
    <s v="PA"/>
    <n v="32910"/>
    <n v="5.0999999999999996"/>
    <n v="36"/>
    <x v="0"/>
    <x v="5"/>
    <x v="0"/>
    <n v="39221"/>
    <s v="OWN"/>
    <n v="0.47"/>
    <n v="0.53"/>
    <n v="34588.410000000003"/>
    <n v="0"/>
    <n v="58"/>
    <n v="-1678.4100000000035"/>
    <s v="Loss"/>
  </r>
  <r>
    <s v="L0776"/>
    <x v="34"/>
    <s v="B0776"/>
    <s v="GA"/>
    <n v="33496"/>
    <n v="7"/>
    <n v="36"/>
    <x v="1"/>
    <x v="2"/>
    <x v="3"/>
    <n v="41410"/>
    <s v="OWN"/>
    <n v="0.42"/>
    <n v="0.65"/>
    <n v="10105.27"/>
    <n v="0"/>
    <n v="42"/>
    <n v="23390.73"/>
    <s v="Profit"/>
  </r>
  <r>
    <s v="L0777"/>
    <x v="360"/>
    <s v="B0777"/>
    <s v="FL"/>
    <n v="30371"/>
    <n v="22.4"/>
    <n v="36"/>
    <x v="0"/>
    <x v="1"/>
    <x v="1"/>
    <n v="110055"/>
    <s v="MORTGAGE"/>
    <n v="0.43"/>
    <n v="0.8"/>
    <n v="37174.1"/>
    <n v="0"/>
    <n v="27"/>
    <n v="-6803.0999999999985"/>
    <s v="Loss"/>
  </r>
  <r>
    <s v="L0778"/>
    <x v="561"/>
    <s v="B0778"/>
    <s v="NY"/>
    <n v="39467"/>
    <n v="18.600000000000001"/>
    <n v="60"/>
    <x v="0"/>
    <x v="3"/>
    <x v="0"/>
    <n v="91413"/>
    <s v="OWN"/>
    <n v="0.42"/>
    <n v="0.55000000000000004"/>
    <n v="46807.86"/>
    <n v="0"/>
    <n v="59"/>
    <n v="-7340.8600000000006"/>
    <s v="Loss"/>
  </r>
  <r>
    <s v="L0779"/>
    <x v="50"/>
    <s v="B0779"/>
    <s v="OH"/>
    <n v="18625"/>
    <n v="7.3"/>
    <n v="60"/>
    <x v="1"/>
    <x v="1"/>
    <x v="3"/>
    <n v="31051"/>
    <s v="RENT"/>
    <n v="0.23"/>
    <n v="0.51"/>
    <n v="2501.9899999999998"/>
    <n v="0"/>
    <n v="49"/>
    <n v="16123.01"/>
    <s v="Profit"/>
  </r>
  <r>
    <s v="L0780"/>
    <x v="59"/>
    <s v="B0780"/>
    <s v="IL"/>
    <n v="34893"/>
    <n v="21.8"/>
    <n v="60"/>
    <x v="1"/>
    <x v="0"/>
    <x v="3"/>
    <n v="140529"/>
    <s v="OWN"/>
    <n v="0.41"/>
    <n v="0.56000000000000005"/>
    <n v="8782.64"/>
    <n v="0"/>
    <n v="52"/>
    <n v="26110.36"/>
    <s v="Profit"/>
  </r>
  <r>
    <s v="L0781"/>
    <x v="562"/>
    <s v="B0781"/>
    <s v="TX"/>
    <n v="11793"/>
    <n v="9.8000000000000007"/>
    <n v="36"/>
    <x v="1"/>
    <x v="0"/>
    <x v="3"/>
    <n v="105301"/>
    <s v="MORTGAGE"/>
    <n v="0.16"/>
    <n v="0.82"/>
    <n v="3779.2"/>
    <n v="0"/>
    <n v="42"/>
    <n v="8013.8"/>
    <s v="Profit"/>
  </r>
  <r>
    <s v="L0782"/>
    <x v="563"/>
    <s v="B0782"/>
    <s v="TX"/>
    <n v="32007"/>
    <n v="14.6"/>
    <n v="36"/>
    <x v="1"/>
    <x v="5"/>
    <x v="4"/>
    <n v="106918"/>
    <s v="RENT"/>
    <n v="0.36"/>
    <n v="0.94"/>
    <n v="6315.61"/>
    <n v="0"/>
    <n v="36"/>
    <n v="25691.39"/>
    <s v="Profit"/>
  </r>
  <r>
    <s v="L0783"/>
    <x v="564"/>
    <s v="B0783"/>
    <s v="PA"/>
    <n v="26766"/>
    <n v="7.9"/>
    <n v="60"/>
    <x v="0"/>
    <x v="4"/>
    <x v="2"/>
    <n v="108116"/>
    <s v="RENT"/>
    <n v="0.36"/>
    <n v="0.94"/>
    <n v="28880.51"/>
    <n v="0"/>
    <n v="48"/>
    <n v="-2114.5099999999984"/>
    <s v="Loss"/>
  </r>
  <r>
    <s v="L0784"/>
    <x v="434"/>
    <s v="B0784"/>
    <s v="GA"/>
    <n v="13323"/>
    <n v="19.2"/>
    <n v="60"/>
    <x v="0"/>
    <x v="4"/>
    <x v="0"/>
    <n v="86563"/>
    <s v="RENT"/>
    <n v="0.11"/>
    <n v="0.72"/>
    <n v="15881.02"/>
    <n v="0"/>
    <n v="28"/>
    <n v="-2558.0200000000004"/>
    <s v="Loss"/>
  </r>
  <r>
    <s v="L0785"/>
    <x v="250"/>
    <s v="B0785"/>
    <s v="CA"/>
    <n v="8843"/>
    <n v="18.3"/>
    <n v="36"/>
    <x v="1"/>
    <x v="6"/>
    <x v="0"/>
    <n v="127859"/>
    <s v="RENT"/>
    <n v="0.42"/>
    <n v="0.89"/>
    <n v="3549.8"/>
    <n v="0"/>
    <n v="43"/>
    <n v="5293.2"/>
    <s v="Profit"/>
  </r>
  <r>
    <s v="L0786"/>
    <x v="565"/>
    <s v="B0786"/>
    <s v="PA"/>
    <n v="15210"/>
    <n v="9.1999999999999993"/>
    <n v="60"/>
    <x v="0"/>
    <x v="4"/>
    <x v="0"/>
    <n v="74757"/>
    <s v="OWN"/>
    <n v="0.46"/>
    <n v="0.83"/>
    <n v="16609.32"/>
    <n v="0"/>
    <n v="57"/>
    <n v="-1399.3199999999997"/>
    <s v="Loss"/>
  </r>
  <r>
    <s v="L0787"/>
    <x v="216"/>
    <s v="B0787"/>
    <s v="TX"/>
    <n v="17456"/>
    <n v="22.3"/>
    <n v="36"/>
    <x v="1"/>
    <x v="4"/>
    <x v="3"/>
    <n v="107475"/>
    <s v="OWN"/>
    <n v="0.21"/>
    <n v="0.73"/>
    <n v="7474.7"/>
    <n v="0"/>
    <n v="30"/>
    <n v="9981.2999999999993"/>
    <s v="Profit"/>
  </r>
  <r>
    <s v="L0788"/>
    <x v="566"/>
    <s v="B0788"/>
    <s v="TX"/>
    <n v="32367"/>
    <n v="13"/>
    <n v="36"/>
    <x v="0"/>
    <x v="6"/>
    <x v="2"/>
    <n v="81257"/>
    <s v="RENT"/>
    <n v="0.42"/>
    <n v="0.76"/>
    <n v="36574.71"/>
    <n v="0"/>
    <n v="40"/>
    <n v="-4207.7099999999991"/>
    <s v="Loss"/>
  </r>
  <r>
    <s v="L0789"/>
    <x v="514"/>
    <s v="B0789"/>
    <s v="OH"/>
    <n v="11106"/>
    <n v="10.9"/>
    <n v="36"/>
    <x v="0"/>
    <x v="6"/>
    <x v="1"/>
    <n v="125500"/>
    <s v="MORTGAGE"/>
    <n v="0.13"/>
    <n v="0.56000000000000005"/>
    <n v="12316.55"/>
    <n v="0"/>
    <n v="57"/>
    <n v="-1210.5499999999993"/>
    <s v="Loss"/>
  </r>
  <r>
    <s v="L0790"/>
    <x v="567"/>
    <s v="B0790"/>
    <s v="MI"/>
    <n v="38957"/>
    <n v="8"/>
    <n v="60"/>
    <x v="0"/>
    <x v="4"/>
    <x v="0"/>
    <n v="30307"/>
    <s v="RENT"/>
    <n v="0.34"/>
    <n v="0.92"/>
    <n v="42073.56"/>
    <n v="0"/>
    <n v="29"/>
    <n v="-3116.5599999999977"/>
    <s v="Loss"/>
  </r>
  <r>
    <s v="L0791"/>
    <x v="91"/>
    <s v="B0791"/>
    <s v="CA"/>
    <n v="3472"/>
    <n v="10.3"/>
    <n v="60"/>
    <x v="1"/>
    <x v="6"/>
    <x v="2"/>
    <n v="86889"/>
    <s v="OWN"/>
    <n v="0.28999999999999998"/>
    <n v="0.66"/>
    <n v="679.21"/>
    <n v="0"/>
    <n v="46"/>
    <n v="2792.79"/>
    <s v="Profit"/>
  </r>
  <r>
    <s v="L0792"/>
    <x v="568"/>
    <s v="B0792"/>
    <s v="PA"/>
    <n v="7704"/>
    <n v="5.4"/>
    <n v="36"/>
    <x v="0"/>
    <x v="6"/>
    <x v="2"/>
    <n v="98895"/>
    <s v="RENT"/>
    <n v="0.32"/>
    <n v="0.7"/>
    <n v="8120.02"/>
    <n v="0"/>
    <n v="35"/>
    <n v="-416.02000000000044"/>
    <s v="Loss"/>
  </r>
  <r>
    <s v="L0793"/>
    <x v="181"/>
    <s v="B0793"/>
    <s v="OH"/>
    <n v="4713"/>
    <n v="16.7"/>
    <n v="60"/>
    <x v="0"/>
    <x v="4"/>
    <x v="4"/>
    <n v="125184"/>
    <s v="OWN"/>
    <n v="0.47"/>
    <n v="0.8"/>
    <n v="5500.07"/>
    <n v="0"/>
    <n v="59"/>
    <n v="-787.06999999999971"/>
    <s v="Loss"/>
  </r>
  <r>
    <s v="L0794"/>
    <x v="231"/>
    <s v="B0794"/>
    <s v="GA"/>
    <n v="6051"/>
    <n v="21.8"/>
    <n v="36"/>
    <x v="0"/>
    <x v="0"/>
    <x v="0"/>
    <n v="65944"/>
    <s v="RENT"/>
    <n v="0.45"/>
    <n v="0.65"/>
    <n v="7370.12"/>
    <n v="0"/>
    <n v="27"/>
    <n v="-1319.12"/>
    <s v="Loss"/>
  </r>
  <r>
    <s v="L0795"/>
    <x v="149"/>
    <s v="B0795"/>
    <s v="OH"/>
    <n v="11756"/>
    <n v="16"/>
    <n v="36"/>
    <x v="0"/>
    <x v="0"/>
    <x v="3"/>
    <n v="129555"/>
    <s v="MORTGAGE"/>
    <n v="0.41"/>
    <n v="0.61"/>
    <n v="13636.96"/>
    <n v="0"/>
    <n v="56"/>
    <n v="-1880.9599999999991"/>
    <s v="Loss"/>
  </r>
  <r>
    <s v="L0796"/>
    <x v="569"/>
    <s v="B0796"/>
    <s v="PA"/>
    <n v="3475"/>
    <n v="9.4"/>
    <n v="36"/>
    <x v="0"/>
    <x v="5"/>
    <x v="2"/>
    <n v="68134"/>
    <s v="RENT"/>
    <n v="0.21"/>
    <n v="0.78"/>
    <n v="3801.65"/>
    <n v="0"/>
    <n v="43"/>
    <n v="-326.65000000000009"/>
    <s v="Loss"/>
  </r>
  <r>
    <s v="L0797"/>
    <x v="570"/>
    <s v="B0797"/>
    <s v="NC"/>
    <n v="37378"/>
    <n v="5.7"/>
    <n v="36"/>
    <x v="0"/>
    <x v="4"/>
    <x v="2"/>
    <n v="57323"/>
    <s v="MORTGAGE"/>
    <n v="0.46"/>
    <n v="0.51"/>
    <n v="39508.550000000003"/>
    <n v="0"/>
    <n v="49"/>
    <n v="-2130.5500000000029"/>
    <s v="Loss"/>
  </r>
  <r>
    <s v="L0798"/>
    <x v="571"/>
    <s v="B0798"/>
    <s v="NY"/>
    <n v="5255"/>
    <n v="9.3000000000000007"/>
    <n v="60"/>
    <x v="0"/>
    <x v="3"/>
    <x v="1"/>
    <n v="146205"/>
    <s v="MORTGAGE"/>
    <n v="0.14000000000000001"/>
    <n v="0.82"/>
    <n v="5743.72"/>
    <n v="0"/>
    <n v="44"/>
    <n v="-488.72000000000025"/>
    <s v="Loss"/>
  </r>
  <r>
    <s v="L0799"/>
    <x v="107"/>
    <s v="B0799"/>
    <s v="PA"/>
    <n v="15484"/>
    <n v="13.3"/>
    <n v="36"/>
    <x v="0"/>
    <x v="1"/>
    <x v="4"/>
    <n v="101762"/>
    <s v="RENT"/>
    <n v="0.44"/>
    <n v="0.73"/>
    <n v="17543.37"/>
    <n v="0"/>
    <n v="28"/>
    <n v="-2059.369999999999"/>
    <s v="Loss"/>
  </r>
  <r>
    <s v="L0800"/>
    <x v="572"/>
    <s v="B0800"/>
    <s v="FL"/>
    <n v="35503"/>
    <n v="20.2"/>
    <n v="36"/>
    <x v="0"/>
    <x v="1"/>
    <x v="2"/>
    <n v="117225"/>
    <s v="MORTGAGE"/>
    <n v="0.23"/>
    <n v="0.77"/>
    <n v="42674.61"/>
    <n v="0"/>
    <n v="46"/>
    <n v="-7171.6100000000006"/>
    <s v="Loss"/>
  </r>
  <r>
    <s v="L0801"/>
    <x v="573"/>
    <s v="B0801"/>
    <s v="TX"/>
    <n v="9258"/>
    <n v="8.8000000000000007"/>
    <n v="60"/>
    <x v="1"/>
    <x v="2"/>
    <x v="2"/>
    <n v="126507"/>
    <s v="MORTGAGE"/>
    <n v="0.12"/>
    <n v="0.78"/>
    <n v="3956.83"/>
    <n v="0"/>
    <n v="32"/>
    <n v="5301.17"/>
    <s v="Profit"/>
  </r>
  <r>
    <s v="L0802"/>
    <x v="574"/>
    <s v="B0802"/>
    <s v="CA"/>
    <n v="36196"/>
    <n v="19.399999999999999"/>
    <n v="36"/>
    <x v="3"/>
    <x v="2"/>
    <x v="3"/>
    <n v="55954"/>
    <s v="OWN"/>
    <n v="0.37"/>
    <n v="0.74"/>
    <n v="4744.32"/>
    <n v="13544.73"/>
    <n v="48"/>
    <n v="31451.68"/>
    <s v="Profit"/>
  </r>
  <r>
    <s v="L0803"/>
    <x v="575"/>
    <s v="B0803"/>
    <s v="CA"/>
    <n v="9533"/>
    <n v="22.3"/>
    <n v="36"/>
    <x v="0"/>
    <x v="4"/>
    <x v="3"/>
    <n v="85021"/>
    <s v="OWN"/>
    <n v="0.19"/>
    <n v="0.76"/>
    <n v="11658.86"/>
    <n v="0"/>
    <n v="57"/>
    <n v="-2125.8600000000006"/>
    <s v="Loss"/>
  </r>
  <r>
    <s v="L0804"/>
    <x v="576"/>
    <s v="B0804"/>
    <s v="MI"/>
    <n v="33581"/>
    <n v="14.1"/>
    <n v="60"/>
    <x v="0"/>
    <x v="0"/>
    <x v="1"/>
    <n v="119959"/>
    <s v="MORTGAGE"/>
    <n v="0.2"/>
    <n v="0.81"/>
    <n v="38315.919999999998"/>
    <n v="0"/>
    <n v="44"/>
    <n v="-4734.9199999999983"/>
    <s v="Loss"/>
  </r>
  <r>
    <s v="L0805"/>
    <x v="112"/>
    <s v="B0805"/>
    <s v="NY"/>
    <n v="6249"/>
    <n v="21.4"/>
    <n v="60"/>
    <x v="0"/>
    <x v="1"/>
    <x v="1"/>
    <n v="125927"/>
    <s v="RENT"/>
    <n v="0.22"/>
    <n v="0.84"/>
    <n v="7586.29"/>
    <n v="0"/>
    <n v="29"/>
    <n v="-1337.29"/>
    <s v="Loss"/>
  </r>
  <r>
    <s v="L0806"/>
    <x v="288"/>
    <s v="B0806"/>
    <s v="FL"/>
    <n v="20201"/>
    <n v="16.100000000000001"/>
    <n v="60"/>
    <x v="1"/>
    <x v="4"/>
    <x v="1"/>
    <n v="109866"/>
    <s v="MORTGAGE"/>
    <n v="0.13"/>
    <n v="0.83"/>
    <n v="8625.3799999999992"/>
    <n v="0"/>
    <n v="29"/>
    <n v="11575.62"/>
    <s v="Profit"/>
  </r>
  <r>
    <s v="L0807"/>
    <x v="577"/>
    <s v="B0807"/>
    <s v="TX"/>
    <n v="10686"/>
    <n v="17.7"/>
    <n v="36"/>
    <x v="0"/>
    <x v="5"/>
    <x v="3"/>
    <n v="100427"/>
    <s v="RENT"/>
    <n v="0.17"/>
    <n v="0.89"/>
    <n v="12577.42"/>
    <n v="0"/>
    <n v="31"/>
    <n v="-1891.42"/>
    <s v="Loss"/>
  </r>
  <r>
    <s v="L0808"/>
    <x v="79"/>
    <s v="B0808"/>
    <s v="CA"/>
    <n v="33007"/>
    <n v="15.5"/>
    <n v="60"/>
    <x v="0"/>
    <x v="1"/>
    <x v="3"/>
    <n v="34992"/>
    <s v="OWN"/>
    <n v="0.1"/>
    <n v="0.59"/>
    <n v="38123.08"/>
    <n v="0"/>
    <n v="53"/>
    <n v="-5116.0800000000017"/>
    <s v="Loss"/>
  </r>
  <r>
    <s v="L0809"/>
    <x v="578"/>
    <s v="B0809"/>
    <s v="FL"/>
    <n v="1661"/>
    <n v="14.3"/>
    <n v="60"/>
    <x v="1"/>
    <x v="2"/>
    <x v="4"/>
    <n v="31961"/>
    <s v="RENT"/>
    <n v="0.28000000000000003"/>
    <n v="0.68"/>
    <n v="197.22"/>
    <n v="0"/>
    <n v="56"/>
    <n v="1463.78"/>
    <s v="Profit"/>
  </r>
  <r>
    <s v="L0810"/>
    <x v="579"/>
    <s v="B0810"/>
    <s v="OH"/>
    <n v="31137"/>
    <n v="9.6999999999999993"/>
    <n v="36"/>
    <x v="0"/>
    <x v="4"/>
    <x v="0"/>
    <n v="42497"/>
    <s v="MORTGAGE"/>
    <n v="0.13"/>
    <n v="0.93"/>
    <n v="34157.29"/>
    <n v="0"/>
    <n v="42"/>
    <n v="-3020.2900000000009"/>
    <s v="Loss"/>
  </r>
  <r>
    <s v="L0811"/>
    <x v="580"/>
    <s v="B0811"/>
    <s v="MI"/>
    <n v="11526"/>
    <n v="11.1"/>
    <n v="36"/>
    <x v="1"/>
    <x v="6"/>
    <x v="0"/>
    <n v="147551"/>
    <s v="MORTGAGE"/>
    <n v="0.37"/>
    <n v="0.68"/>
    <n v="1006.42"/>
    <n v="0"/>
    <n v="45"/>
    <n v="10519.58"/>
    <s v="Profit"/>
  </r>
  <r>
    <s v="L0812"/>
    <x v="581"/>
    <s v="B0812"/>
    <s v="PA"/>
    <n v="4374"/>
    <n v="10.8"/>
    <n v="36"/>
    <x v="0"/>
    <x v="4"/>
    <x v="4"/>
    <n v="62551"/>
    <s v="MORTGAGE"/>
    <n v="0.19"/>
    <n v="0.56000000000000005"/>
    <n v="4846.3900000000003"/>
    <n v="0"/>
    <n v="34"/>
    <n v="-472.39000000000033"/>
    <s v="Loss"/>
  </r>
  <r>
    <s v="L0813"/>
    <x v="10"/>
    <s v="B0813"/>
    <s v="PA"/>
    <n v="26592"/>
    <n v="16.3"/>
    <n v="36"/>
    <x v="1"/>
    <x v="1"/>
    <x v="0"/>
    <n v="106384"/>
    <s v="MORTGAGE"/>
    <n v="0.48"/>
    <n v="0.74"/>
    <n v="9009.34"/>
    <n v="0"/>
    <n v="36"/>
    <n v="17582.66"/>
    <s v="Profit"/>
  </r>
  <r>
    <s v="L0814"/>
    <x v="395"/>
    <s v="B0814"/>
    <s v="NC"/>
    <n v="29982"/>
    <n v="7.4"/>
    <n v="36"/>
    <x v="0"/>
    <x v="0"/>
    <x v="3"/>
    <n v="85755"/>
    <s v="MORTGAGE"/>
    <n v="0.45"/>
    <n v="0.55000000000000004"/>
    <n v="32200.67"/>
    <n v="0"/>
    <n v="35"/>
    <n v="-2218.6699999999983"/>
    <s v="Loss"/>
  </r>
  <r>
    <s v="L0815"/>
    <x v="517"/>
    <s v="B0815"/>
    <s v="TX"/>
    <n v="1207"/>
    <n v="23.3"/>
    <n v="60"/>
    <x v="3"/>
    <x v="6"/>
    <x v="0"/>
    <n v="43255"/>
    <s v="RENT"/>
    <n v="0.22"/>
    <n v="0.59"/>
    <n v="291.58999999999997"/>
    <n v="508.63"/>
    <n v="55"/>
    <n v="915.41000000000008"/>
    <s v="Profit"/>
  </r>
  <r>
    <s v="L0816"/>
    <x v="582"/>
    <s v="B0816"/>
    <s v="FL"/>
    <n v="36433"/>
    <n v="19.399999999999999"/>
    <n v="60"/>
    <x v="1"/>
    <x v="0"/>
    <x v="3"/>
    <n v="34567"/>
    <s v="MORTGAGE"/>
    <n v="0.41"/>
    <n v="0.95"/>
    <n v="16706.38"/>
    <n v="0"/>
    <n v="55"/>
    <n v="19726.62"/>
    <s v="Profit"/>
  </r>
  <r>
    <s v="L0817"/>
    <x v="356"/>
    <s v="B0817"/>
    <s v="IL"/>
    <n v="24197"/>
    <n v="13"/>
    <n v="60"/>
    <x v="0"/>
    <x v="1"/>
    <x v="4"/>
    <n v="78847"/>
    <s v="OWN"/>
    <n v="0.42"/>
    <n v="0.74"/>
    <n v="27342.61"/>
    <n v="0"/>
    <n v="31"/>
    <n v="-3145.6100000000006"/>
    <s v="Loss"/>
  </r>
  <r>
    <s v="L0818"/>
    <x v="71"/>
    <s v="B0818"/>
    <s v="CA"/>
    <n v="34400"/>
    <n v="8.1999999999999993"/>
    <n v="36"/>
    <x v="0"/>
    <x v="0"/>
    <x v="1"/>
    <n v="134817"/>
    <s v="MORTGAGE"/>
    <n v="0.49"/>
    <n v="0.63"/>
    <n v="37220.800000000003"/>
    <n v="0"/>
    <n v="62"/>
    <n v="-2820.8000000000029"/>
    <s v="Loss"/>
  </r>
  <r>
    <s v="L0819"/>
    <x v="264"/>
    <s v="B0819"/>
    <s v="GA"/>
    <n v="4083"/>
    <n v="22.6"/>
    <n v="36"/>
    <x v="0"/>
    <x v="4"/>
    <x v="4"/>
    <n v="78003"/>
    <s v="RENT"/>
    <n v="0.34"/>
    <n v="0.95"/>
    <n v="5005.76"/>
    <n v="0"/>
    <n v="61"/>
    <n v="-922.76000000000022"/>
    <s v="Loss"/>
  </r>
  <r>
    <s v="L0820"/>
    <x v="583"/>
    <s v="B0820"/>
    <s v="GA"/>
    <n v="30328"/>
    <n v="21.5"/>
    <n v="36"/>
    <x v="1"/>
    <x v="5"/>
    <x v="0"/>
    <n v="50389"/>
    <s v="MORTGAGE"/>
    <n v="0.13"/>
    <n v="0.93"/>
    <n v="6473.06"/>
    <n v="0"/>
    <n v="52"/>
    <n v="23854.94"/>
    <s v="Profit"/>
  </r>
  <r>
    <s v="L0821"/>
    <x v="584"/>
    <s v="B0821"/>
    <s v="PA"/>
    <n v="21103"/>
    <n v="19.399999999999999"/>
    <n v="60"/>
    <x v="1"/>
    <x v="4"/>
    <x v="3"/>
    <n v="74523"/>
    <s v="MORTGAGE"/>
    <n v="0.36"/>
    <n v="0.7"/>
    <n v="3782.05"/>
    <n v="0"/>
    <n v="34"/>
    <n v="17320.95"/>
    <s v="Profit"/>
  </r>
  <r>
    <s v="L0822"/>
    <x v="585"/>
    <s v="B0822"/>
    <s v="IL"/>
    <n v="11754"/>
    <n v="10.4"/>
    <n v="60"/>
    <x v="0"/>
    <x v="0"/>
    <x v="0"/>
    <n v="91576"/>
    <s v="RENT"/>
    <n v="0.35"/>
    <n v="0.62"/>
    <n v="12976.42"/>
    <n v="0"/>
    <n v="58"/>
    <n v="-1222.42"/>
    <s v="Loss"/>
  </r>
  <r>
    <s v="L0823"/>
    <x v="441"/>
    <s v="B0823"/>
    <s v="GA"/>
    <n v="35447"/>
    <n v="13"/>
    <n v="36"/>
    <x v="3"/>
    <x v="4"/>
    <x v="0"/>
    <n v="73919"/>
    <s v="MORTGAGE"/>
    <n v="0.36"/>
    <n v="0.88"/>
    <n v="8869.57"/>
    <n v="8023.15"/>
    <n v="59"/>
    <n v="26577.43"/>
    <s v="Profit"/>
  </r>
  <r>
    <s v="L0824"/>
    <x v="586"/>
    <s v="B0824"/>
    <s v="NY"/>
    <n v="16901"/>
    <n v="7.1"/>
    <n v="60"/>
    <x v="0"/>
    <x v="1"/>
    <x v="1"/>
    <n v="112103"/>
    <s v="RENT"/>
    <n v="0.22"/>
    <n v="0.82"/>
    <n v="18100.97"/>
    <n v="0"/>
    <n v="42"/>
    <n v="-1199.9700000000012"/>
    <s v="Loss"/>
  </r>
  <r>
    <s v="L0825"/>
    <x v="587"/>
    <s v="B0825"/>
    <s v="NY"/>
    <n v="34004"/>
    <n v="8.8000000000000007"/>
    <n v="36"/>
    <x v="0"/>
    <x v="1"/>
    <x v="0"/>
    <n v="33358"/>
    <s v="MORTGAGE"/>
    <n v="0.44"/>
    <n v="0.81"/>
    <n v="36996.35"/>
    <n v="0"/>
    <n v="37"/>
    <n v="-2992.3499999999985"/>
    <s v="Loss"/>
  </r>
  <r>
    <s v="L0826"/>
    <x v="487"/>
    <s v="B0826"/>
    <s v="TX"/>
    <n v="8446"/>
    <n v="20.7"/>
    <n v="60"/>
    <x v="3"/>
    <x v="0"/>
    <x v="1"/>
    <n v="118535"/>
    <s v="OWN"/>
    <n v="0.48"/>
    <n v="0.9"/>
    <n v="1999.88"/>
    <n v="1314.2"/>
    <n v="36"/>
    <n v="6446.12"/>
    <s v="Profit"/>
  </r>
  <r>
    <s v="L0827"/>
    <x v="468"/>
    <s v="B0827"/>
    <s v="IL"/>
    <n v="38211"/>
    <n v="19.3"/>
    <n v="60"/>
    <x v="1"/>
    <x v="1"/>
    <x v="3"/>
    <n v="137894"/>
    <s v="MORTGAGE"/>
    <n v="0.19"/>
    <n v="0.81"/>
    <n v="7832.97"/>
    <n v="0"/>
    <n v="60"/>
    <n v="30378.03"/>
    <s v="Profit"/>
  </r>
  <r>
    <s v="L0828"/>
    <x v="588"/>
    <s v="B0828"/>
    <s v="NY"/>
    <n v="30301"/>
    <n v="16.899999999999999"/>
    <n v="60"/>
    <x v="0"/>
    <x v="0"/>
    <x v="3"/>
    <n v="106524"/>
    <s v="RENT"/>
    <n v="0.14000000000000001"/>
    <n v="0.63"/>
    <n v="35421.870000000003"/>
    <n v="0"/>
    <n v="62"/>
    <n v="-5120.8700000000026"/>
    <s v="Loss"/>
  </r>
  <r>
    <s v="L0829"/>
    <x v="6"/>
    <s v="B0829"/>
    <s v="NY"/>
    <n v="27116"/>
    <n v="22.9"/>
    <n v="36"/>
    <x v="1"/>
    <x v="5"/>
    <x v="1"/>
    <n v="135982"/>
    <s v="OWN"/>
    <n v="0.18"/>
    <n v="0.81"/>
    <n v="9820.9699999999993"/>
    <n v="0"/>
    <n v="33"/>
    <n v="17295.03"/>
    <s v="Profit"/>
  </r>
  <r>
    <s v="L0830"/>
    <x v="576"/>
    <s v="B0830"/>
    <s v="PA"/>
    <n v="19752"/>
    <n v="16.7"/>
    <n v="60"/>
    <x v="2"/>
    <x v="4"/>
    <x v="4"/>
    <n v="127057"/>
    <s v="RENT"/>
    <n v="0.43"/>
    <n v="0.64"/>
    <n v="0"/>
    <n v="0"/>
    <n v="44"/>
    <n v="19752"/>
    <s v="Profit"/>
  </r>
  <r>
    <s v="L0831"/>
    <x v="589"/>
    <s v="B0831"/>
    <s v="GA"/>
    <n v="33376"/>
    <n v="14.3"/>
    <n v="60"/>
    <x v="1"/>
    <x v="5"/>
    <x v="3"/>
    <n v="35698"/>
    <s v="MORTGAGE"/>
    <n v="0.37"/>
    <n v="0.84"/>
    <n v="13076.81"/>
    <n v="0"/>
    <n v="39"/>
    <n v="20299.190000000002"/>
    <s v="Profit"/>
  </r>
  <r>
    <s v="L0832"/>
    <x v="301"/>
    <s v="B0832"/>
    <s v="TX"/>
    <n v="17669"/>
    <n v="11.8"/>
    <n v="36"/>
    <x v="1"/>
    <x v="4"/>
    <x v="4"/>
    <n v="96809"/>
    <s v="OWN"/>
    <n v="0.35"/>
    <n v="0.78"/>
    <n v="7665.57"/>
    <n v="0"/>
    <n v="61"/>
    <n v="10003.43"/>
    <s v="Profit"/>
  </r>
  <r>
    <s v="L0833"/>
    <x v="395"/>
    <s v="B0833"/>
    <s v="FL"/>
    <n v="33916"/>
    <n v="23.8"/>
    <n v="60"/>
    <x v="1"/>
    <x v="3"/>
    <x v="3"/>
    <n v="123079"/>
    <s v="RENT"/>
    <n v="0.26"/>
    <n v="0.53"/>
    <n v="16543.73"/>
    <n v="0"/>
    <n v="35"/>
    <n v="17372.27"/>
    <s v="Profit"/>
  </r>
  <r>
    <s v="L0834"/>
    <x v="167"/>
    <s v="B0834"/>
    <s v="OH"/>
    <n v="14395"/>
    <n v="6.7"/>
    <n v="36"/>
    <x v="0"/>
    <x v="4"/>
    <x v="3"/>
    <n v="85805"/>
    <s v="OWN"/>
    <n v="0.33"/>
    <n v="0.73"/>
    <n v="15359.46"/>
    <n v="0"/>
    <n v="51"/>
    <n v="-964.45999999999913"/>
    <s v="Loss"/>
  </r>
  <r>
    <s v="L0835"/>
    <x v="213"/>
    <s v="B0835"/>
    <s v="CA"/>
    <n v="21421"/>
    <n v="23.6"/>
    <n v="36"/>
    <x v="1"/>
    <x v="0"/>
    <x v="2"/>
    <n v="61349"/>
    <s v="OWN"/>
    <n v="0.22"/>
    <n v="0.65"/>
    <n v="3641.47"/>
    <n v="0"/>
    <n v="52"/>
    <n v="17779.53"/>
    <s v="Profit"/>
  </r>
  <r>
    <s v="L0836"/>
    <x v="510"/>
    <s v="B0836"/>
    <s v="CA"/>
    <n v="27342"/>
    <n v="21.5"/>
    <n v="36"/>
    <x v="0"/>
    <x v="4"/>
    <x v="0"/>
    <n v="106777"/>
    <s v="RENT"/>
    <n v="0.28999999999999998"/>
    <n v="0.65"/>
    <n v="33220.53"/>
    <n v="0"/>
    <n v="50"/>
    <n v="-5878.5299999999988"/>
    <s v="Loss"/>
  </r>
  <r>
    <s v="L0837"/>
    <x v="346"/>
    <s v="B0837"/>
    <s v="MI"/>
    <n v="5895"/>
    <n v="7.6"/>
    <n v="36"/>
    <x v="3"/>
    <x v="2"/>
    <x v="0"/>
    <n v="80248"/>
    <s v="OWN"/>
    <n v="0.42"/>
    <n v="0.77"/>
    <n v="1855.91"/>
    <n v="1714.08"/>
    <n v="49"/>
    <n v="4039.09"/>
    <s v="Profit"/>
  </r>
  <r>
    <s v="L0838"/>
    <x v="296"/>
    <s v="B0838"/>
    <s v="OH"/>
    <n v="12023"/>
    <n v="16.3"/>
    <n v="36"/>
    <x v="0"/>
    <x v="1"/>
    <x v="4"/>
    <n v="105033"/>
    <s v="RENT"/>
    <n v="0.49"/>
    <n v="0.65"/>
    <n v="13982.75"/>
    <n v="0"/>
    <n v="55"/>
    <n v="-1959.75"/>
    <s v="Loss"/>
  </r>
  <r>
    <s v="L0839"/>
    <x v="590"/>
    <s v="B0839"/>
    <s v="OH"/>
    <n v="11699"/>
    <n v="22.3"/>
    <n v="60"/>
    <x v="1"/>
    <x v="1"/>
    <x v="0"/>
    <n v="137411"/>
    <s v="OWN"/>
    <n v="0.47"/>
    <n v="0.85"/>
    <n v="2660.54"/>
    <n v="0"/>
    <n v="57"/>
    <n v="9038.4599999999991"/>
    <s v="Profit"/>
  </r>
  <r>
    <s v="L0840"/>
    <x v="25"/>
    <s v="B0840"/>
    <s v="CA"/>
    <n v="10715"/>
    <n v="16.399999999999999"/>
    <n v="36"/>
    <x v="0"/>
    <x v="2"/>
    <x v="4"/>
    <n v="128239"/>
    <s v="OWN"/>
    <n v="0.47"/>
    <n v="0.53"/>
    <n v="12472.26"/>
    <n v="0"/>
    <n v="31"/>
    <n v="-1757.2600000000002"/>
    <s v="Loss"/>
  </r>
  <r>
    <s v="L0841"/>
    <x v="591"/>
    <s v="B0841"/>
    <s v="CA"/>
    <n v="20169"/>
    <n v="23.1"/>
    <n v="36"/>
    <x v="0"/>
    <x v="2"/>
    <x v="3"/>
    <n v="74041"/>
    <s v="OWN"/>
    <n v="0.26"/>
    <n v="0.8"/>
    <n v="24828.04"/>
    <n v="0"/>
    <n v="30"/>
    <n v="-4659.0400000000009"/>
    <s v="Loss"/>
  </r>
  <r>
    <s v="L0842"/>
    <x v="216"/>
    <s v="B0842"/>
    <s v="FL"/>
    <n v="17163"/>
    <n v="23.9"/>
    <n v="36"/>
    <x v="0"/>
    <x v="1"/>
    <x v="2"/>
    <n v="61954"/>
    <s v="MORTGAGE"/>
    <n v="0.28999999999999998"/>
    <n v="0.86"/>
    <n v="21264.959999999999"/>
    <n v="0"/>
    <n v="30"/>
    <n v="-4101.9599999999991"/>
    <s v="Loss"/>
  </r>
  <r>
    <s v="L0843"/>
    <x v="236"/>
    <s v="B0843"/>
    <s v="IL"/>
    <n v="6782"/>
    <n v="13.4"/>
    <n v="36"/>
    <x v="2"/>
    <x v="0"/>
    <x v="2"/>
    <n v="38002"/>
    <s v="MORTGAGE"/>
    <n v="0.38"/>
    <n v="0.8"/>
    <n v="0"/>
    <n v="0"/>
    <n v="35"/>
    <n v="6782"/>
    <s v="Profit"/>
  </r>
  <r>
    <s v="L0844"/>
    <x v="592"/>
    <s v="B0844"/>
    <s v="IL"/>
    <n v="23641"/>
    <n v="12.5"/>
    <n v="60"/>
    <x v="2"/>
    <x v="6"/>
    <x v="3"/>
    <n v="99783"/>
    <s v="RENT"/>
    <n v="0.47"/>
    <n v="0.72"/>
    <n v="0"/>
    <n v="0"/>
    <n v="40"/>
    <n v="23641"/>
    <s v="Profit"/>
  </r>
  <r>
    <s v="L0845"/>
    <x v="259"/>
    <s v="B0845"/>
    <s v="FL"/>
    <n v="19792"/>
    <n v="23.7"/>
    <n v="36"/>
    <x v="0"/>
    <x v="0"/>
    <x v="1"/>
    <n v="137524"/>
    <s v="OWN"/>
    <n v="0.16"/>
    <n v="0.93"/>
    <n v="24482.7"/>
    <n v="0"/>
    <n v="29"/>
    <n v="-4690.7000000000007"/>
    <s v="Loss"/>
  </r>
  <r>
    <s v="L0846"/>
    <x v="593"/>
    <s v="B0846"/>
    <s v="GA"/>
    <n v="36585"/>
    <n v="18.5"/>
    <n v="60"/>
    <x v="4"/>
    <x v="1"/>
    <x v="1"/>
    <n v="117234"/>
    <s v="RENT"/>
    <n v="0.22"/>
    <n v="0.63"/>
    <n v="0"/>
    <n v="0"/>
    <n v="50"/>
    <n v="36585"/>
    <s v="Profit"/>
  </r>
  <r>
    <s v="L0847"/>
    <x v="594"/>
    <s v="B0847"/>
    <s v="OH"/>
    <n v="31682"/>
    <n v="7.3"/>
    <n v="36"/>
    <x v="1"/>
    <x v="1"/>
    <x v="0"/>
    <n v="49738"/>
    <s v="MORTGAGE"/>
    <n v="0.16"/>
    <n v="0.51"/>
    <n v="11237.19"/>
    <n v="0"/>
    <n v="29"/>
    <n v="20444.809999999998"/>
    <s v="Profit"/>
  </r>
  <r>
    <s v="L0848"/>
    <x v="595"/>
    <s v="B0848"/>
    <s v="NC"/>
    <n v="19880"/>
    <n v="5.8"/>
    <n v="60"/>
    <x v="1"/>
    <x v="1"/>
    <x v="4"/>
    <n v="40703"/>
    <s v="MORTGAGE"/>
    <n v="0.34"/>
    <n v="0.69"/>
    <n v="5252.13"/>
    <n v="0"/>
    <n v="33"/>
    <n v="14627.869999999999"/>
    <s v="Profit"/>
  </r>
  <r>
    <s v="L0849"/>
    <x v="596"/>
    <s v="B0849"/>
    <s v="OH"/>
    <n v="39067"/>
    <n v="16.3"/>
    <n v="36"/>
    <x v="0"/>
    <x v="5"/>
    <x v="2"/>
    <n v="143776"/>
    <s v="MORTGAGE"/>
    <n v="0.22"/>
    <n v="0.51"/>
    <n v="45434.92"/>
    <n v="0"/>
    <n v="58"/>
    <n v="-6367.9199999999983"/>
    <s v="Loss"/>
  </r>
  <r>
    <s v="L0850"/>
    <x v="292"/>
    <s v="B0850"/>
    <s v="MI"/>
    <n v="19073"/>
    <n v="23.6"/>
    <n v="36"/>
    <x v="3"/>
    <x v="1"/>
    <x v="0"/>
    <n v="79422"/>
    <s v="MORTGAGE"/>
    <n v="0.23"/>
    <n v="0.93"/>
    <n v="7593.57"/>
    <n v="6148.31"/>
    <n v="29"/>
    <n v="11479.43"/>
    <s v="Profit"/>
  </r>
  <r>
    <s v="L0851"/>
    <x v="482"/>
    <s v="B0851"/>
    <s v="CA"/>
    <n v="37035"/>
    <n v="21.9"/>
    <n v="60"/>
    <x v="1"/>
    <x v="2"/>
    <x v="3"/>
    <n v="113106"/>
    <s v="RENT"/>
    <n v="0.13"/>
    <n v="0.59"/>
    <n v="13999.45"/>
    <n v="0"/>
    <n v="42"/>
    <n v="23035.55"/>
    <s v="Profit"/>
  </r>
  <r>
    <s v="L0852"/>
    <x v="597"/>
    <s v="B0852"/>
    <s v="OH"/>
    <n v="38174"/>
    <n v="18.5"/>
    <n v="36"/>
    <x v="3"/>
    <x v="0"/>
    <x v="2"/>
    <n v="91899"/>
    <s v="OWN"/>
    <n v="0.24"/>
    <n v="0.86"/>
    <n v="14725.52"/>
    <n v="11118.32"/>
    <n v="29"/>
    <n v="23448.48"/>
    <s v="Profit"/>
  </r>
  <r>
    <s v="L0853"/>
    <x v="249"/>
    <s v="B0853"/>
    <s v="CA"/>
    <n v="25837"/>
    <n v="7.8"/>
    <n v="60"/>
    <x v="1"/>
    <x v="4"/>
    <x v="4"/>
    <n v="42392"/>
    <s v="RENT"/>
    <n v="0.44"/>
    <n v="0.85"/>
    <n v="10999.75"/>
    <n v="0"/>
    <n v="61"/>
    <n v="14837.25"/>
    <s v="Profit"/>
  </r>
  <r>
    <s v="L0854"/>
    <x v="598"/>
    <s v="B0854"/>
    <s v="OH"/>
    <n v="18826"/>
    <n v="10.1"/>
    <n v="36"/>
    <x v="1"/>
    <x v="5"/>
    <x v="4"/>
    <n v="74724"/>
    <s v="OWN"/>
    <n v="0.19"/>
    <n v="0.6"/>
    <n v="8590.41"/>
    <n v="0"/>
    <n v="28"/>
    <n v="10235.59"/>
    <s v="Profit"/>
  </r>
  <r>
    <s v="L0855"/>
    <x v="599"/>
    <s v="B0855"/>
    <s v="MI"/>
    <n v="25981"/>
    <n v="22.5"/>
    <n v="60"/>
    <x v="1"/>
    <x v="3"/>
    <x v="1"/>
    <n v="62299"/>
    <s v="MORTGAGE"/>
    <n v="0.38"/>
    <n v="0.78"/>
    <n v="10820.79"/>
    <n v="0"/>
    <n v="37"/>
    <n v="15160.21"/>
    <s v="Profit"/>
  </r>
  <r>
    <s v="L0856"/>
    <x v="600"/>
    <s v="B0856"/>
    <s v="GA"/>
    <n v="11382"/>
    <n v="8.6999999999999993"/>
    <n v="36"/>
    <x v="0"/>
    <x v="0"/>
    <x v="0"/>
    <n v="45641"/>
    <s v="OWN"/>
    <n v="0.35"/>
    <n v="0.52"/>
    <n v="12372.23"/>
    <n v="0"/>
    <n v="35"/>
    <n v="-990.22999999999956"/>
    <s v="Loss"/>
  </r>
  <r>
    <s v="L0857"/>
    <x v="574"/>
    <s v="B0857"/>
    <s v="NC"/>
    <n v="5437"/>
    <n v="10.6"/>
    <n v="36"/>
    <x v="0"/>
    <x v="0"/>
    <x v="3"/>
    <n v="109534"/>
    <s v="MORTGAGE"/>
    <n v="0.45"/>
    <n v="0.72"/>
    <n v="6013.32"/>
    <n v="0"/>
    <n v="48"/>
    <n v="-576.31999999999971"/>
    <s v="Loss"/>
  </r>
  <r>
    <s v="L0858"/>
    <x v="601"/>
    <s v="B0858"/>
    <s v="NY"/>
    <n v="6435"/>
    <n v="7.6"/>
    <n v="60"/>
    <x v="0"/>
    <x v="0"/>
    <x v="2"/>
    <n v="36305"/>
    <s v="RENT"/>
    <n v="0.15"/>
    <n v="0.51"/>
    <n v="6924.06"/>
    <n v="0"/>
    <n v="30"/>
    <n v="-489.0600000000004"/>
    <s v="Loss"/>
  </r>
  <r>
    <s v="L0859"/>
    <x v="602"/>
    <s v="B0859"/>
    <s v="FL"/>
    <n v="25819"/>
    <n v="18.5"/>
    <n v="36"/>
    <x v="0"/>
    <x v="0"/>
    <x v="4"/>
    <n v="128262"/>
    <s v="OWN"/>
    <n v="0.49"/>
    <n v="0.91"/>
    <n v="30595.52"/>
    <n v="0"/>
    <n v="35"/>
    <n v="-4776.5200000000004"/>
    <s v="Loss"/>
  </r>
  <r>
    <s v="L0860"/>
    <x v="386"/>
    <s v="B0860"/>
    <s v="FL"/>
    <n v="37875"/>
    <n v="23.9"/>
    <n v="36"/>
    <x v="1"/>
    <x v="2"/>
    <x v="2"/>
    <n v="48782"/>
    <s v="RENT"/>
    <n v="0.33"/>
    <n v="0.94"/>
    <n v="9719.5400000000009"/>
    <n v="0"/>
    <n v="28"/>
    <n v="28155.46"/>
    <s v="Profit"/>
  </r>
  <r>
    <s v="L0861"/>
    <x v="603"/>
    <s v="B0861"/>
    <s v="NC"/>
    <n v="32982"/>
    <n v="10.4"/>
    <n v="36"/>
    <x v="1"/>
    <x v="1"/>
    <x v="3"/>
    <n v="108257"/>
    <s v="MORTGAGE"/>
    <n v="0.5"/>
    <n v="0.6"/>
    <n v="5386.12"/>
    <n v="0"/>
    <n v="43"/>
    <n v="27595.88"/>
    <s v="Profit"/>
  </r>
  <r>
    <s v="L0862"/>
    <x v="604"/>
    <s v="B0862"/>
    <s v="OH"/>
    <n v="34328"/>
    <n v="14.5"/>
    <n v="36"/>
    <x v="3"/>
    <x v="1"/>
    <x v="2"/>
    <n v="135299"/>
    <s v="RENT"/>
    <n v="0.46"/>
    <n v="0.59"/>
    <n v="7246.51"/>
    <n v="14471.77"/>
    <n v="50"/>
    <n v="27081.489999999998"/>
    <s v="Profit"/>
  </r>
  <r>
    <s v="L0863"/>
    <x v="267"/>
    <s v="B0863"/>
    <s v="NY"/>
    <n v="13329"/>
    <n v="17.7"/>
    <n v="36"/>
    <x v="0"/>
    <x v="5"/>
    <x v="0"/>
    <n v="107963"/>
    <s v="MORTGAGE"/>
    <n v="0.19"/>
    <n v="0.84"/>
    <n v="15688.23"/>
    <n v="0"/>
    <n v="31"/>
    <n v="-2359.2299999999996"/>
    <s v="Loss"/>
  </r>
  <r>
    <s v="L0864"/>
    <x v="605"/>
    <s v="B0864"/>
    <s v="MI"/>
    <n v="26169"/>
    <n v="25"/>
    <n v="36"/>
    <x v="0"/>
    <x v="6"/>
    <x v="1"/>
    <n v="142086"/>
    <s v="MORTGAGE"/>
    <n v="0.12"/>
    <n v="0.61"/>
    <n v="32711.25"/>
    <n v="0"/>
    <n v="40"/>
    <n v="-6542.25"/>
    <s v="Loss"/>
  </r>
  <r>
    <s v="L0865"/>
    <x v="606"/>
    <s v="B0865"/>
    <s v="IL"/>
    <n v="22932"/>
    <n v="7.1"/>
    <n v="60"/>
    <x v="0"/>
    <x v="0"/>
    <x v="2"/>
    <n v="50566"/>
    <s v="MORTGAGE"/>
    <n v="0.2"/>
    <n v="0.9"/>
    <n v="24560.17"/>
    <n v="0"/>
    <n v="30"/>
    <n v="-1628.1699999999983"/>
    <s v="Loss"/>
  </r>
  <r>
    <s v="L0866"/>
    <x v="53"/>
    <s v="B0866"/>
    <s v="OH"/>
    <n v="35594"/>
    <n v="15"/>
    <n v="60"/>
    <x v="0"/>
    <x v="4"/>
    <x v="1"/>
    <n v="97766"/>
    <s v="RENT"/>
    <n v="0.31"/>
    <n v="0.76"/>
    <n v="40933.1"/>
    <n v="0"/>
    <n v="55"/>
    <n v="-5339.0999999999985"/>
    <s v="Loss"/>
  </r>
  <r>
    <s v="L0867"/>
    <x v="607"/>
    <s v="B0867"/>
    <s v="GA"/>
    <n v="12421"/>
    <n v="12.7"/>
    <n v="60"/>
    <x v="0"/>
    <x v="5"/>
    <x v="3"/>
    <n v="36511"/>
    <s v="RENT"/>
    <n v="0.17"/>
    <n v="0.66"/>
    <n v="13998.47"/>
    <n v="0"/>
    <n v="52"/>
    <n v="-1577.4699999999993"/>
    <s v="Loss"/>
  </r>
  <r>
    <s v="L0868"/>
    <x v="277"/>
    <s v="B0868"/>
    <s v="CA"/>
    <n v="8629"/>
    <n v="22.3"/>
    <n v="36"/>
    <x v="1"/>
    <x v="0"/>
    <x v="1"/>
    <n v="144816"/>
    <s v="OWN"/>
    <n v="0.17"/>
    <n v="0.87"/>
    <n v="510.03"/>
    <n v="0"/>
    <n v="58"/>
    <n v="8118.97"/>
    <s v="Profit"/>
  </r>
  <r>
    <s v="L0869"/>
    <x v="608"/>
    <s v="B0869"/>
    <s v="TX"/>
    <n v="9325"/>
    <n v="14.5"/>
    <n v="60"/>
    <x v="0"/>
    <x v="4"/>
    <x v="2"/>
    <n v="137765"/>
    <s v="OWN"/>
    <n v="0.28999999999999998"/>
    <n v="0.72"/>
    <n v="10677.12"/>
    <n v="0"/>
    <n v="31"/>
    <n v="-1352.1200000000008"/>
    <s v="Loss"/>
  </r>
  <r>
    <s v="L0870"/>
    <x v="250"/>
    <s v="B0870"/>
    <s v="OH"/>
    <n v="29495"/>
    <n v="7.2"/>
    <n v="36"/>
    <x v="1"/>
    <x v="4"/>
    <x v="2"/>
    <n v="148360"/>
    <s v="RENT"/>
    <n v="0.11"/>
    <n v="0.91"/>
    <n v="8429.58"/>
    <n v="0"/>
    <n v="43"/>
    <n v="21065.42"/>
    <s v="Profit"/>
  </r>
  <r>
    <s v="L0871"/>
    <x v="609"/>
    <s v="B0871"/>
    <s v="TX"/>
    <n v="32750"/>
    <n v="17.7"/>
    <n v="36"/>
    <x v="0"/>
    <x v="0"/>
    <x v="4"/>
    <n v="56177"/>
    <s v="RENT"/>
    <n v="0.15"/>
    <n v="0.92"/>
    <n v="38546.75"/>
    <n v="0"/>
    <n v="54"/>
    <n v="-5796.75"/>
    <s v="Loss"/>
  </r>
  <r>
    <s v="L0872"/>
    <x v="513"/>
    <s v="B0872"/>
    <s v="OH"/>
    <n v="30619"/>
    <n v="20.399999999999999"/>
    <n v="36"/>
    <x v="3"/>
    <x v="0"/>
    <x v="2"/>
    <n v="34765"/>
    <s v="RENT"/>
    <n v="0.27"/>
    <n v="0.56999999999999995"/>
    <n v="7701.21"/>
    <n v="8440.1"/>
    <n v="44"/>
    <n v="22917.79"/>
    <s v="Profit"/>
  </r>
  <r>
    <s v="L0873"/>
    <x v="451"/>
    <s v="B0873"/>
    <s v="NC"/>
    <n v="9264"/>
    <n v="5.0999999999999996"/>
    <n v="36"/>
    <x v="1"/>
    <x v="1"/>
    <x v="1"/>
    <n v="50354"/>
    <s v="RENT"/>
    <n v="0.13"/>
    <n v="0.5"/>
    <n v="2652.86"/>
    <n v="0"/>
    <n v="60"/>
    <n v="6611.1399999999994"/>
    <s v="Profit"/>
  </r>
  <r>
    <s v="L0874"/>
    <x v="11"/>
    <s v="B0874"/>
    <s v="TX"/>
    <n v="13686"/>
    <n v="22.2"/>
    <n v="60"/>
    <x v="2"/>
    <x v="0"/>
    <x v="4"/>
    <n v="53929"/>
    <s v="MORTGAGE"/>
    <n v="0.26"/>
    <n v="0.94"/>
    <n v="0"/>
    <n v="0"/>
    <n v="49"/>
    <n v="13686"/>
    <s v="Profit"/>
  </r>
  <r>
    <s v="L0875"/>
    <x v="19"/>
    <s v="B0875"/>
    <s v="OH"/>
    <n v="25226"/>
    <n v="8.6999999999999993"/>
    <n v="36"/>
    <x v="3"/>
    <x v="2"/>
    <x v="2"/>
    <n v="58820"/>
    <s v="MORTGAGE"/>
    <n v="0.28999999999999998"/>
    <n v="0.91"/>
    <n v="9893.8700000000008"/>
    <n v="7297.15"/>
    <n v="47"/>
    <n v="15332.13"/>
    <s v="Profit"/>
  </r>
  <r>
    <s v="L0876"/>
    <x v="325"/>
    <s v="B0876"/>
    <s v="FL"/>
    <n v="7721"/>
    <n v="16"/>
    <n v="60"/>
    <x v="3"/>
    <x v="0"/>
    <x v="2"/>
    <n v="141576"/>
    <s v="MORTGAGE"/>
    <n v="0.28000000000000003"/>
    <n v="0.52"/>
    <n v="2883.3"/>
    <n v="822.57"/>
    <n v="48"/>
    <n v="4837.7"/>
    <s v="Profit"/>
  </r>
  <r>
    <s v="L0877"/>
    <x v="610"/>
    <s v="B0877"/>
    <s v="TX"/>
    <n v="21609"/>
    <n v="13.3"/>
    <n v="36"/>
    <x v="3"/>
    <x v="6"/>
    <x v="3"/>
    <n v="59523"/>
    <s v="RENT"/>
    <n v="0.45"/>
    <n v="0.87"/>
    <n v="3209.24"/>
    <n v="5044.0600000000004"/>
    <n v="51"/>
    <n v="18399.760000000002"/>
    <s v="Profit"/>
  </r>
  <r>
    <s v="L0878"/>
    <x v="190"/>
    <s v="B0878"/>
    <s v="OH"/>
    <n v="8373"/>
    <n v="19.399999999999999"/>
    <n v="60"/>
    <x v="1"/>
    <x v="2"/>
    <x v="4"/>
    <n v="101088"/>
    <s v="MORTGAGE"/>
    <n v="0.31"/>
    <n v="0.71"/>
    <n v="1808.54"/>
    <n v="0"/>
    <n v="41"/>
    <n v="6564.46"/>
    <s v="Profit"/>
  </r>
  <r>
    <s v="L0879"/>
    <x v="611"/>
    <s v="B0879"/>
    <s v="IL"/>
    <n v="39675"/>
    <n v="12.4"/>
    <n v="60"/>
    <x v="0"/>
    <x v="2"/>
    <x v="3"/>
    <n v="96163"/>
    <s v="MORTGAGE"/>
    <n v="0.28999999999999998"/>
    <n v="0.62"/>
    <n v="44594.7"/>
    <n v="0"/>
    <n v="31"/>
    <n v="-4919.6999999999971"/>
    <s v="Loss"/>
  </r>
  <r>
    <s v="L0880"/>
    <x v="157"/>
    <s v="B0880"/>
    <s v="CA"/>
    <n v="29937"/>
    <n v="22.4"/>
    <n v="60"/>
    <x v="0"/>
    <x v="6"/>
    <x v="3"/>
    <n v="107525"/>
    <s v="OWN"/>
    <n v="0.26"/>
    <n v="0.9"/>
    <n v="36642.89"/>
    <n v="0"/>
    <n v="31"/>
    <n v="-6705.8899999999994"/>
    <s v="Loss"/>
  </r>
  <r>
    <s v="L0881"/>
    <x v="377"/>
    <s v="B0881"/>
    <s v="IL"/>
    <n v="6656"/>
    <n v="19.600000000000001"/>
    <n v="60"/>
    <x v="0"/>
    <x v="4"/>
    <x v="3"/>
    <n v="43780"/>
    <s v="OWN"/>
    <n v="0.43"/>
    <n v="0.59"/>
    <n v="7960.58"/>
    <n v="0"/>
    <n v="33"/>
    <n v="-1304.58"/>
    <s v="Loss"/>
  </r>
  <r>
    <s v="L0882"/>
    <x v="449"/>
    <s v="B0882"/>
    <s v="NY"/>
    <n v="9984"/>
    <n v="18"/>
    <n v="60"/>
    <x v="1"/>
    <x v="4"/>
    <x v="0"/>
    <n v="36589"/>
    <s v="MORTGAGE"/>
    <n v="0.46"/>
    <n v="0.93"/>
    <n v="2403.9499999999998"/>
    <n v="0"/>
    <n v="37"/>
    <n v="7580.05"/>
    <s v="Profit"/>
  </r>
  <r>
    <s v="L0883"/>
    <x v="131"/>
    <s v="B0883"/>
    <s v="OH"/>
    <n v="30984"/>
    <n v="20.9"/>
    <n v="60"/>
    <x v="0"/>
    <x v="4"/>
    <x v="3"/>
    <n v="64812"/>
    <s v="MORTGAGE"/>
    <n v="0.44"/>
    <n v="0.59"/>
    <n v="37459.660000000003"/>
    <n v="0"/>
    <n v="40"/>
    <n v="-6475.6600000000035"/>
    <s v="Loss"/>
  </r>
  <r>
    <s v="L0884"/>
    <x v="515"/>
    <s v="B0884"/>
    <s v="PA"/>
    <n v="9286"/>
    <n v="20.100000000000001"/>
    <n v="36"/>
    <x v="3"/>
    <x v="0"/>
    <x v="1"/>
    <n v="123664"/>
    <s v="MORTGAGE"/>
    <n v="0.37"/>
    <n v="0.78"/>
    <n v="1932.97"/>
    <n v="2167.4899999999998"/>
    <n v="61"/>
    <n v="7353.03"/>
    <s v="Profit"/>
  </r>
  <r>
    <s v="L0885"/>
    <x v="128"/>
    <s v="B0885"/>
    <s v="GA"/>
    <n v="6901"/>
    <n v="5.7"/>
    <n v="60"/>
    <x v="2"/>
    <x v="0"/>
    <x v="2"/>
    <n v="75939"/>
    <s v="RENT"/>
    <n v="0.15"/>
    <n v="0.6"/>
    <n v="0"/>
    <n v="0"/>
    <n v="39"/>
    <n v="6901"/>
    <s v="Profit"/>
  </r>
  <r>
    <s v="L0886"/>
    <x v="345"/>
    <s v="B0886"/>
    <s v="IL"/>
    <n v="32552"/>
    <n v="12.9"/>
    <n v="36"/>
    <x v="0"/>
    <x v="6"/>
    <x v="0"/>
    <n v="81493"/>
    <s v="OWN"/>
    <n v="0.21"/>
    <n v="0.75"/>
    <n v="36751.21"/>
    <n v="0"/>
    <n v="56"/>
    <n v="-4199.2099999999991"/>
    <s v="Loss"/>
  </r>
  <r>
    <s v="L0887"/>
    <x v="316"/>
    <s v="B0887"/>
    <s v="TX"/>
    <n v="26709"/>
    <n v="23.6"/>
    <n v="60"/>
    <x v="0"/>
    <x v="5"/>
    <x v="3"/>
    <n v="134188"/>
    <s v="OWN"/>
    <n v="0.12"/>
    <n v="0.81"/>
    <n v="33012.32"/>
    <n v="0"/>
    <n v="53"/>
    <n v="-6303.32"/>
    <s v="Loss"/>
  </r>
  <r>
    <s v="L0888"/>
    <x v="428"/>
    <s v="B0888"/>
    <s v="NC"/>
    <n v="32055"/>
    <n v="7.5"/>
    <n v="36"/>
    <x v="2"/>
    <x v="5"/>
    <x v="2"/>
    <n v="123326"/>
    <s v="OWN"/>
    <n v="0.47"/>
    <n v="0.59"/>
    <n v="0"/>
    <n v="0"/>
    <n v="60"/>
    <n v="32055"/>
    <s v="Profit"/>
  </r>
  <r>
    <s v="L0889"/>
    <x v="256"/>
    <s v="B0889"/>
    <s v="GA"/>
    <n v="38685"/>
    <n v="19.7"/>
    <n v="60"/>
    <x v="0"/>
    <x v="2"/>
    <x v="4"/>
    <n v="70953"/>
    <s v="MORTGAGE"/>
    <n v="0.36"/>
    <n v="0.73"/>
    <n v="46305.94"/>
    <n v="0"/>
    <n v="29"/>
    <n v="-7620.9400000000023"/>
    <s v="Loss"/>
  </r>
  <r>
    <s v="L0890"/>
    <x v="523"/>
    <s v="B0890"/>
    <s v="PA"/>
    <n v="9429"/>
    <n v="24.5"/>
    <n v="60"/>
    <x v="1"/>
    <x v="1"/>
    <x v="4"/>
    <n v="95785"/>
    <s v="RENT"/>
    <n v="0.4"/>
    <n v="0.71"/>
    <n v="3859.51"/>
    <n v="0"/>
    <n v="40"/>
    <n v="5569.49"/>
    <s v="Profit"/>
  </r>
  <r>
    <s v="L0891"/>
    <x v="507"/>
    <s v="B0891"/>
    <s v="MI"/>
    <n v="15716"/>
    <n v="6"/>
    <n v="36"/>
    <x v="0"/>
    <x v="1"/>
    <x v="2"/>
    <n v="49309"/>
    <s v="OWN"/>
    <n v="0.22"/>
    <n v="0.53"/>
    <n v="16658.96"/>
    <n v="0"/>
    <n v="40"/>
    <n v="-942.95999999999913"/>
    <s v="Loss"/>
  </r>
  <r>
    <s v="L0892"/>
    <x v="612"/>
    <s v="B0892"/>
    <s v="OH"/>
    <n v="12138"/>
    <n v="18.600000000000001"/>
    <n v="60"/>
    <x v="1"/>
    <x v="6"/>
    <x v="1"/>
    <n v="84195"/>
    <s v="OWN"/>
    <n v="0.44"/>
    <n v="0.87"/>
    <n v="3469.25"/>
    <n v="0"/>
    <n v="57"/>
    <n v="8668.75"/>
    <s v="Profit"/>
  </r>
  <r>
    <s v="L0893"/>
    <x v="206"/>
    <s v="B0893"/>
    <s v="NC"/>
    <n v="36298"/>
    <n v="14.4"/>
    <n v="60"/>
    <x v="0"/>
    <x v="0"/>
    <x v="2"/>
    <n v="145662"/>
    <s v="RENT"/>
    <n v="0.2"/>
    <n v="0.65"/>
    <n v="41524.910000000003"/>
    <n v="0"/>
    <n v="27"/>
    <n v="-5226.9100000000035"/>
    <s v="Loss"/>
  </r>
  <r>
    <s v="L0894"/>
    <x v="613"/>
    <s v="B0894"/>
    <s v="OH"/>
    <n v="24429"/>
    <n v="16.600000000000001"/>
    <n v="60"/>
    <x v="3"/>
    <x v="4"/>
    <x v="2"/>
    <n v="55901"/>
    <s v="MORTGAGE"/>
    <n v="0.1"/>
    <n v="0.76"/>
    <n v="6635.65"/>
    <n v="6328.17"/>
    <n v="30"/>
    <n v="17793.349999999999"/>
    <s v="Profit"/>
  </r>
  <r>
    <s v="L0895"/>
    <x v="321"/>
    <s v="B0895"/>
    <s v="NY"/>
    <n v="6772"/>
    <n v="6.7"/>
    <n v="36"/>
    <x v="1"/>
    <x v="3"/>
    <x v="0"/>
    <n v="53576"/>
    <s v="MORTGAGE"/>
    <n v="0.25"/>
    <n v="0.73"/>
    <n v="2938.07"/>
    <n v="0"/>
    <n v="34"/>
    <n v="3833.93"/>
    <s v="Profit"/>
  </r>
  <r>
    <s v="L0896"/>
    <x v="430"/>
    <s v="B0896"/>
    <s v="PA"/>
    <n v="36732"/>
    <n v="5.9"/>
    <n v="60"/>
    <x v="0"/>
    <x v="2"/>
    <x v="4"/>
    <n v="61508"/>
    <s v="OWN"/>
    <n v="0.33"/>
    <n v="0.73"/>
    <n v="38899.19"/>
    <n v="0"/>
    <n v="40"/>
    <n v="-2167.1900000000023"/>
    <s v="Loss"/>
  </r>
  <r>
    <s v="L0897"/>
    <x v="614"/>
    <s v="B0897"/>
    <s v="OH"/>
    <n v="18347"/>
    <n v="18.3"/>
    <n v="36"/>
    <x v="0"/>
    <x v="2"/>
    <x v="4"/>
    <n v="104711"/>
    <s v="OWN"/>
    <n v="0.28999999999999998"/>
    <n v="0.55000000000000004"/>
    <n v="21704.5"/>
    <n v="0"/>
    <n v="57"/>
    <n v="-3357.5"/>
    <s v="Loss"/>
  </r>
  <r>
    <s v="L0898"/>
    <x v="615"/>
    <s v="B0898"/>
    <s v="TX"/>
    <n v="17920"/>
    <n v="21.5"/>
    <n v="60"/>
    <x v="0"/>
    <x v="5"/>
    <x v="3"/>
    <n v="55464"/>
    <s v="RENT"/>
    <n v="0.44"/>
    <n v="0.69"/>
    <n v="21772.799999999999"/>
    <n v="0"/>
    <n v="51"/>
    <n v="-3852.7999999999993"/>
    <s v="Loss"/>
  </r>
  <r>
    <s v="L0899"/>
    <x v="383"/>
    <s v="B0899"/>
    <s v="NY"/>
    <n v="32822"/>
    <n v="20.6"/>
    <n v="60"/>
    <x v="2"/>
    <x v="6"/>
    <x v="2"/>
    <n v="90281"/>
    <s v="OWN"/>
    <n v="0.14000000000000001"/>
    <n v="0.7"/>
    <n v="0"/>
    <n v="0"/>
    <n v="46"/>
    <n v="32822"/>
    <s v="Profit"/>
  </r>
  <r>
    <s v="L0900"/>
    <x v="75"/>
    <s v="B0900"/>
    <s v="FL"/>
    <n v="24563"/>
    <n v="15.9"/>
    <n v="36"/>
    <x v="1"/>
    <x v="0"/>
    <x v="2"/>
    <n v="46260"/>
    <s v="RENT"/>
    <n v="0.32"/>
    <n v="0.83"/>
    <n v="10136.36"/>
    <n v="0"/>
    <n v="26"/>
    <n v="14426.64"/>
    <s v="Profit"/>
  </r>
  <r>
    <s v="L0901"/>
    <x v="616"/>
    <s v="B0901"/>
    <s v="MI"/>
    <n v="8967"/>
    <n v="7"/>
    <n v="60"/>
    <x v="0"/>
    <x v="0"/>
    <x v="1"/>
    <n v="65440"/>
    <s v="OWN"/>
    <n v="0.31"/>
    <n v="0.88"/>
    <n v="9594.69"/>
    <n v="0"/>
    <n v="44"/>
    <n v="-627.69000000000051"/>
    <s v="Loss"/>
  </r>
  <r>
    <s v="L0902"/>
    <x v="617"/>
    <s v="B0902"/>
    <s v="PA"/>
    <n v="12871"/>
    <n v="18.8"/>
    <n v="60"/>
    <x v="0"/>
    <x v="4"/>
    <x v="4"/>
    <n v="125082"/>
    <s v="OWN"/>
    <n v="0.21"/>
    <n v="0.75"/>
    <n v="15290.75"/>
    <n v="0"/>
    <n v="51"/>
    <n v="-2419.75"/>
    <s v="Loss"/>
  </r>
  <r>
    <s v="L0903"/>
    <x v="448"/>
    <s v="B0903"/>
    <s v="CA"/>
    <n v="29763"/>
    <n v="9.8000000000000007"/>
    <n v="36"/>
    <x v="0"/>
    <x v="5"/>
    <x v="1"/>
    <n v="135583"/>
    <s v="OWN"/>
    <n v="0.43"/>
    <n v="0.54"/>
    <n v="32679.77"/>
    <n v="0"/>
    <n v="30"/>
    <n v="-2916.7700000000004"/>
    <s v="Loss"/>
  </r>
  <r>
    <s v="L0904"/>
    <x v="618"/>
    <s v="B0904"/>
    <s v="NC"/>
    <n v="12916"/>
    <n v="23.2"/>
    <n v="60"/>
    <x v="1"/>
    <x v="4"/>
    <x v="0"/>
    <n v="86683"/>
    <s v="MORTGAGE"/>
    <n v="0.4"/>
    <n v="0.61"/>
    <n v="1414.24"/>
    <n v="0"/>
    <n v="55"/>
    <n v="11501.76"/>
    <s v="Profit"/>
  </r>
  <r>
    <s v="L0905"/>
    <x v="452"/>
    <s v="B0905"/>
    <s v="IL"/>
    <n v="9734"/>
    <n v="21.8"/>
    <n v="36"/>
    <x v="1"/>
    <x v="4"/>
    <x v="3"/>
    <n v="71430"/>
    <s v="RENT"/>
    <n v="0.39"/>
    <n v="0.56999999999999995"/>
    <n v="3613.86"/>
    <n v="0"/>
    <n v="48"/>
    <n v="6120.1399999999994"/>
    <s v="Profit"/>
  </r>
  <r>
    <s v="L0906"/>
    <x v="133"/>
    <s v="B0906"/>
    <s v="OH"/>
    <n v="34613"/>
    <n v="19.2"/>
    <n v="36"/>
    <x v="0"/>
    <x v="0"/>
    <x v="1"/>
    <n v="31987"/>
    <s v="RENT"/>
    <n v="0.45"/>
    <n v="0.56000000000000005"/>
    <n v="41258.699999999997"/>
    <n v="0"/>
    <n v="31"/>
    <n v="-6645.6999999999971"/>
    <s v="Loss"/>
  </r>
  <r>
    <s v="L0907"/>
    <x v="619"/>
    <s v="B0907"/>
    <s v="NC"/>
    <n v="29179"/>
    <n v="24"/>
    <n v="36"/>
    <x v="1"/>
    <x v="5"/>
    <x v="4"/>
    <n v="144778"/>
    <s v="MORTGAGE"/>
    <n v="0.39"/>
    <n v="0.66"/>
    <n v="7176.47"/>
    <n v="0"/>
    <n v="38"/>
    <n v="22002.53"/>
    <s v="Profit"/>
  </r>
  <r>
    <s v="L0908"/>
    <x v="620"/>
    <s v="B0908"/>
    <s v="NC"/>
    <n v="36262"/>
    <n v="5.6"/>
    <n v="60"/>
    <x v="1"/>
    <x v="6"/>
    <x v="0"/>
    <n v="55105"/>
    <s v="MORTGAGE"/>
    <n v="0.19"/>
    <n v="0.6"/>
    <n v="6621.15"/>
    <n v="0"/>
    <n v="61"/>
    <n v="29640.85"/>
    <s v="Profit"/>
  </r>
  <r>
    <s v="L0909"/>
    <x v="621"/>
    <s v="B0909"/>
    <s v="CA"/>
    <n v="13677"/>
    <n v="19.7"/>
    <n v="36"/>
    <x v="2"/>
    <x v="1"/>
    <x v="2"/>
    <n v="108484"/>
    <s v="MORTGAGE"/>
    <n v="0.38"/>
    <n v="0.6"/>
    <n v="0"/>
    <n v="0"/>
    <n v="40"/>
    <n v="13677"/>
    <s v="Profit"/>
  </r>
  <r>
    <s v="L0910"/>
    <x v="316"/>
    <s v="B0910"/>
    <s v="CA"/>
    <n v="19268"/>
    <n v="11.6"/>
    <n v="36"/>
    <x v="3"/>
    <x v="0"/>
    <x v="0"/>
    <n v="148747"/>
    <s v="RENT"/>
    <n v="0.22"/>
    <n v="0.52"/>
    <n v="2215.9299999999998"/>
    <n v="9626.5400000000009"/>
    <n v="53"/>
    <n v="17052.07"/>
    <s v="Profit"/>
  </r>
  <r>
    <s v="L0911"/>
    <x v="622"/>
    <s v="B0911"/>
    <s v="NY"/>
    <n v="13330"/>
    <n v="23.1"/>
    <n v="60"/>
    <x v="1"/>
    <x v="5"/>
    <x v="1"/>
    <n v="43026"/>
    <s v="OWN"/>
    <n v="0.2"/>
    <n v="0.51"/>
    <n v="3589.27"/>
    <n v="0"/>
    <n v="48"/>
    <n v="9740.73"/>
    <s v="Profit"/>
  </r>
  <r>
    <s v="L0912"/>
    <x v="623"/>
    <s v="B0912"/>
    <s v="PA"/>
    <n v="21733"/>
    <n v="10.3"/>
    <n v="36"/>
    <x v="1"/>
    <x v="1"/>
    <x v="4"/>
    <n v="98309"/>
    <s v="MORTGAGE"/>
    <n v="0.13"/>
    <n v="0.55000000000000004"/>
    <n v="4562.7700000000004"/>
    <n v="0"/>
    <n v="53"/>
    <n v="17170.23"/>
    <s v="Profit"/>
  </r>
  <r>
    <s v="L0913"/>
    <x v="344"/>
    <s v="B0913"/>
    <s v="TX"/>
    <n v="38947"/>
    <n v="19.5"/>
    <n v="60"/>
    <x v="0"/>
    <x v="5"/>
    <x v="1"/>
    <n v="75927"/>
    <s v="MORTGAGE"/>
    <n v="0.4"/>
    <n v="0.57999999999999996"/>
    <n v="46541.66"/>
    <n v="0"/>
    <n v="28"/>
    <n v="-7594.6600000000035"/>
    <s v="Loss"/>
  </r>
  <r>
    <s v="L0914"/>
    <x v="221"/>
    <s v="B0914"/>
    <s v="MI"/>
    <n v="28286"/>
    <n v="22.6"/>
    <n v="60"/>
    <x v="1"/>
    <x v="4"/>
    <x v="2"/>
    <n v="105414"/>
    <s v="MORTGAGE"/>
    <n v="0.38"/>
    <n v="0.69"/>
    <n v="4615.7299999999996"/>
    <n v="0"/>
    <n v="62"/>
    <n v="23670.27"/>
    <s v="Profit"/>
  </r>
  <r>
    <s v="L0915"/>
    <x v="304"/>
    <s v="B0915"/>
    <s v="CA"/>
    <n v="7610"/>
    <n v="5.8"/>
    <n v="60"/>
    <x v="0"/>
    <x v="5"/>
    <x v="2"/>
    <n v="87535"/>
    <s v="OWN"/>
    <n v="0.19"/>
    <n v="0.73"/>
    <n v="8051.38"/>
    <n v="0"/>
    <n v="37"/>
    <n v="-441.38000000000011"/>
    <s v="Loss"/>
  </r>
  <r>
    <s v="L0916"/>
    <x v="624"/>
    <s v="B0916"/>
    <s v="CA"/>
    <n v="7430"/>
    <n v="13"/>
    <n v="60"/>
    <x v="0"/>
    <x v="3"/>
    <x v="4"/>
    <n v="72946"/>
    <s v="OWN"/>
    <n v="0.4"/>
    <n v="0.56000000000000005"/>
    <n v="8395.9"/>
    <n v="0"/>
    <n v="43"/>
    <n v="-965.89999999999964"/>
    <s v="Loss"/>
  </r>
  <r>
    <s v="L0917"/>
    <x v="625"/>
    <s v="B0917"/>
    <s v="IL"/>
    <n v="14828"/>
    <n v="20.2"/>
    <n v="36"/>
    <x v="0"/>
    <x v="0"/>
    <x v="3"/>
    <n v="86561"/>
    <s v="MORTGAGE"/>
    <n v="0.47"/>
    <n v="0.69"/>
    <n v="17823.259999999998"/>
    <n v="0"/>
    <n v="29"/>
    <n v="-2995.2599999999984"/>
    <s v="Loss"/>
  </r>
  <r>
    <s v="L0918"/>
    <x v="537"/>
    <s v="B0918"/>
    <s v="FL"/>
    <n v="32497"/>
    <n v="14.1"/>
    <n v="36"/>
    <x v="1"/>
    <x v="4"/>
    <x v="0"/>
    <n v="40377"/>
    <s v="OWN"/>
    <n v="0.14000000000000001"/>
    <n v="0.65"/>
    <n v="11783.49"/>
    <n v="0"/>
    <n v="56"/>
    <n v="20713.510000000002"/>
    <s v="Profit"/>
  </r>
  <r>
    <s v="L0919"/>
    <x v="412"/>
    <s v="B0919"/>
    <s v="CA"/>
    <n v="37618"/>
    <n v="10.3"/>
    <n v="36"/>
    <x v="0"/>
    <x v="4"/>
    <x v="0"/>
    <n v="83592"/>
    <s v="MORTGAGE"/>
    <n v="0.19"/>
    <n v="0.57999999999999996"/>
    <n v="41492.65"/>
    <n v="0"/>
    <n v="46"/>
    <n v="-3874.6500000000015"/>
    <s v="Loss"/>
  </r>
  <r>
    <s v="L0920"/>
    <x v="626"/>
    <s v="B0920"/>
    <s v="FL"/>
    <n v="27526"/>
    <n v="9.4"/>
    <n v="36"/>
    <x v="0"/>
    <x v="5"/>
    <x v="2"/>
    <n v="37347"/>
    <s v="OWN"/>
    <n v="0.4"/>
    <n v="0.5"/>
    <n v="30113.439999999999"/>
    <n v="0"/>
    <n v="30"/>
    <n v="-2587.4399999999987"/>
    <s v="Loss"/>
  </r>
  <r>
    <s v="L0921"/>
    <x v="627"/>
    <s v="B0921"/>
    <s v="NY"/>
    <n v="31158"/>
    <n v="7.6"/>
    <n v="36"/>
    <x v="0"/>
    <x v="0"/>
    <x v="1"/>
    <n v="63776"/>
    <s v="RENT"/>
    <n v="0.21"/>
    <n v="0.71"/>
    <n v="33526.01"/>
    <n v="0"/>
    <n v="58"/>
    <n v="-2368.010000000002"/>
    <s v="Loss"/>
  </r>
  <r>
    <s v="L0922"/>
    <x v="535"/>
    <s v="B0922"/>
    <s v="TX"/>
    <n v="26032"/>
    <n v="22.1"/>
    <n v="60"/>
    <x v="0"/>
    <x v="0"/>
    <x v="1"/>
    <n v="33783"/>
    <s v="RENT"/>
    <n v="0.35"/>
    <n v="0.81"/>
    <n v="31785.07"/>
    <n v="0"/>
    <n v="31"/>
    <n v="-5753.07"/>
    <s v="Loss"/>
  </r>
  <r>
    <s v="L0923"/>
    <x v="274"/>
    <s v="B0923"/>
    <s v="NC"/>
    <n v="38846"/>
    <n v="16.5"/>
    <n v="36"/>
    <x v="0"/>
    <x v="4"/>
    <x v="3"/>
    <n v="85798"/>
    <s v="OWN"/>
    <n v="0.13"/>
    <n v="0.6"/>
    <n v="45255.59"/>
    <n v="0"/>
    <n v="35"/>
    <n v="-6409.5899999999965"/>
    <s v="Loss"/>
  </r>
  <r>
    <s v="L0924"/>
    <x v="415"/>
    <s v="B0924"/>
    <s v="CA"/>
    <n v="30794"/>
    <n v="6.5"/>
    <n v="36"/>
    <x v="1"/>
    <x v="2"/>
    <x v="1"/>
    <n v="34298"/>
    <s v="RENT"/>
    <n v="0.28000000000000003"/>
    <n v="0.56000000000000005"/>
    <n v="12202.69"/>
    <n v="0"/>
    <n v="32"/>
    <n v="18591.309999999998"/>
    <s v="Profit"/>
  </r>
  <r>
    <s v="L0925"/>
    <x v="628"/>
    <s v="B0925"/>
    <s v="OH"/>
    <n v="6448"/>
    <n v="12.7"/>
    <n v="36"/>
    <x v="1"/>
    <x v="1"/>
    <x v="0"/>
    <n v="100204"/>
    <s v="RENT"/>
    <n v="0.4"/>
    <n v="0.9"/>
    <n v="1032.68"/>
    <n v="0"/>
    <n v="60"/>
    <n v="5415.32"/>
    <s v="Profit"/>
  </r>
  <r>
    <s v="L0926"/>
    <x v="563"/>
    <s v="B0926"/>
    <s v="FL"/>
    <n v="29861"/>
    <n v="12.4"/>
    <n v="60"/>
    <x v="0"/>
    <x v="1"/>
    <x v="1"/>
    <n v="116207"/>
    <s v="RENT"/>
    <n v="0.37"/>
    <n v="0.62"/>
    <n v="33563.760000000002"/>
    <n v="0"/>
    <n v="36"/>
    <n v="-3702.760000000002"/>
    <s v="Loss"/>
  </r>
  <r>
    <s v="L0927"/>
    <x v="629"/>
    <s v="B0927"/>
    <s v="IL"/>
    <n v="29141"/>
    <n v="8.6"/>
    <n v="60"/>
    <x v="3"/>
    <x v="6"/>
    <x v="3"/>
    <n v="130356"/>
    <s v="MORTGAGE"/>
    <n v="0.43"/>
    <n v="0.6"/>
    <n v="3346.38"/>
    <n v="13855.54"/>
    <n v="37"/>
    <n v="25794.62"/>
    <s v="Profit"/>
  </r>
  <r>
    <s v="L0928"/>
    <x v="52"/>
    <s v="B0928"/>
    <s v="MI"/>
    <n v="10074"/>
    <n v="13.7"/>
    <n v="36"/>
    <x v="1"/>
    <x v="0"/>
    <x v="0"/>
    <n v="85161"/>
    <s v="OWN"/>
    <n v="0.45"/>
    <n v="0.89"/>
    <n v="4351.3500000000004"/>
    <n v="0"/>
    <n v="57"/>
    <n v="5722.65"/>
    <s v="Profit"/>
  </r>
  <r>
    <s v="L0929"/>
    <x v="630"/>
    <s v="B0929"/>
    <s v="IL"/>
    <n v="7406"/>
    <n v="11.6"/>
    <n v="60"/>
    <x v="0"/>
    <x v="6"/>
    <x v="1"/>
    <n v="90652"/>
    <s v="OWN"/>
    <n v="0.41"/>
    <n v="0.87"/>
    <n v="8265.1"/>
    <n v="0"/>
    <n v="59"/>
    <n v="-859.10000000000036"/>
    <s v="Loss"/>
  </r>
  <r>
    <s v="L0930"/>
    <x v="628"/>
    <s v="B0930"/>
    <s v="CA"/>
    <n v="32823"/>
    <n v="11.8"/>
    <n v="36"/>
    <x v="1"/>
    <x v="5"/>
    <x v="0"/>
    <n v="64484"/>
    <s v="OWN"/>
    <n v="0.37"/>
    <n v="0.7"/>
    <n v="1788.26"/>
    <n v="0"/>
    <n v="60"/>
    <n v="31034.74"/>
    <s v="Profit"/>
  </r>
  <r>
    <s v="L0931"/>
    <x v="406"/>
    <s v="B0931"/>
    <s v="PA"/>
    <n v="24291"/>
    <n v="19.8"/>
    <n v="36"/>
    <x v="2"/>
    <x v="4"/>
    <x v="2"/>
    <n v="128614"/>
    <s v="RENT"/>
    <n v="0.11"/>
    <n v="0.72"/>
    <n v="0"/>
    <n v="0"/>
    <n v="28"/>
    <n v="24291"/>
    <s v="Profit"/>
  </r>
  <r>
    <s v="L0932"/>
    <x v="631"/>
    <s v="B0932"/>
    <s v="NC"/>
    <n v="33003"/>
    <n v="9.5"/>
    <n v="60"/>
    <x v="0"/>
    <x v="6"/>
    <x v="2"/>
    <n v="142695"/>
    <s v="MORTGAGE"/>
    <n v="0.31"/>
    <n v="0.6"/>
    <n v="36138.28"/>
    <n v="0"/>
    <n v="35"/>
    <n v="-3135.2799999999988"/>
    <s v="Loss"/>
  </r>
  <r>
    <s v="L0933"/>
    <x v="607"/>
    <s v="B0933"/>
    <s v="TX"/>
    <n v="35406"/>
    <n v="17.8"/>
    <n v="60"/>
    <x v="0"/>
    <x v="6"/>
    <x v="2"/>
    <n v="50922"/>
    <s v="OWN"/>
    <n v="0.12"/>
    <n v="0.54"/>
    <n v="41708.269999999997"/>
    <n v="0"/>
    <n v="52"/>
    <n v="-6302.2699999999968"/>
    <s v="Loss"/>
  </r>
  <r>
    <s v="L0934"/>
    <x v="232"/>
    <s v="B0934"/>
    <s v="OH"/>
    <n v="24312"/>
    <n v="16.399999999999999"/>
    <n v="36"/>
    <x v="3"/>
    <x v="6"/>
    <x v="1"/>
    <n v="64028"/>
    <s v="RENT"/>
    <n v="0.42"/>
    <n v="0.76"/>
    <n v="9266.1200000000008"/>
    <n v="2516.62"/>
    <n v="37"/>
    <n v="15045.88"/>
    <s v="Profit"/>
  </r>
  <r>
    <s v="L0935"/>
    <x v="632"/>
    <s v="B0935"/>
    <s v="PA"/>
    <n v="2382"/>
    <n v="16.399999999999999"/>
    <n v="36"/>
    <x v="1"/>
    <x v="0"/>
    <x v="3"/>
    <n v="141461"/>
    <s v="MORTGAGE"/>
    <n v="0.23"/>
    <n v="0.54"/>
    <n v="791.85"/>
    <n v="0"/>
    <n v="48"/>
    <n v="1590.15"/>
    <s v="Profit"/>
  </r>
  <r>
    <s v="L0936"/>
    <x v="633"/>
    <s v="B0936"/>
    <s v="IL"/>
    <n v="35171"/>
    <n v="18.3"/>
    <n v="60"/>
    <x v="0"/>
    <x v="3"/>
    <x v="0"/>
    <n v="50316"/>
    <s v="MORTGAGE"/>
    <n v="0.32"/>
    <n v="0.7"/>
    <n v="41607.29"/>
    <n v="0"/>
    <n v="51"/>
    <n v="-6436.2900000000009"/>
    <s v="Loss"/>
  </r>
  <r>
    <s v="L0937"/>
    <x v="255"/>
    <s v="B0937"/>
    <s v="FL"/>
    <n v="4292"/>
    <n v="16"/>
    <n v="36"/>
    <x v="1"/>
    <x v="2"/>
    <x v="4"/>
    <n v="106996"/>
    <s v="OWN"/>
    <n v="0.21"/>
    <n v="0.92"/>
    <n v="836.21"/>
    <n v="0"/>
    <n v="27"/>
    <n v="3455.79"/>
    <s v="Profit"/>
  </r>
  <r>
    <s v="L0938"/>
    <x v="331"/>
    <s v="B0938"/>
    <s v="FL"/>
    <n v="34187"/>
    <n v="22.6"/>
    <n v="60"/>
    <x v="0"/>
    <x v="4"/>
    <x v="2"/>
    <n v="46968"/>
    <s v="OWN"/>
    <n v="0.41"/>
    <n v="0.93"/>
    <n v="41913.26"/>
    <n v="0"/>
    <n v="37"/>
    <n v="-7726.260000000002"/>
    <s v="Loss"/>
  </r>
  <r>
    <s v="L0939"/>
    <x v="569"/>
    <s v="B0939"/>
    <s v="PA"/>
    <n v="13411"/>
    <n v="18.5"/>
    <n v="36"/>
    <x v="3"/>
    <x v="0"/>
    <x v="2"/>
    <n v="60266"/>
    <s v="RENT"/>
    <n v="0.45"/>
    <n v="0.61"/>
    <n v="2332.75"/>
    <n v="2064.9299999999998"/>
    <n v="43"/>
    <n v="11078.25"/>
    <s v="Profit"/>
  </r>
  <r>
    <s v="L0940"/>
    <x v="481"/>
    <s v="B0940"/>
    <s v="FL"/>
    <n v="38285"/>
    <n v="15.9"/>
    <n v="60"/>
    <x v="0"/>
    <x v="0"/>
    <x v="4"/>
    <n v="125745"/>
    <s v="OWN"/>
    <n v="0.26"/>
    <n v="0.78"/>
    <n v="44372.32"/>
    <n v="0"/>
    <n v="27"/>
    <n v="-6087.32"/>
    <s v="Loss"/>
  </r>
  <r>
    <s v="L0941"/>
    <x v="567"/>
    <s v="B0941"/>
    <s v="IL"/>
    <n v="16422"/>
    <n v="21.6"/>
    <n v="36"/>
    <x v="0"/>
    <x v="3"/>
    <x v="4"/>
    <n v="54000"/>
    <s v="RENT"/>
    <n v="0.45"/>
    <n v="0.71"/>
    <n v="19969.150000000001"/>
    <n v="0"/>
    <n v="29"/>
    <n v="-3547.1500000000015"/>
    <s v="Loss"/>
  </r>
  <r>
    <s v="L0942"/>
    <x v="113"/>
    <s v="B0942"/>
    <s v="PA"/>
    <n v="33371"/>
    <n v="17.100000000000001"/>
    <n v="36"/>
    <x v="1"/>
    <x v="5"/>
    <x v="1"/>
    <n v="44011"/>
    <s v="MORTGAGE"/>
    <n v="0.21"/>
    <n v="0.89"/>
    <n v="1803.79"/>
    <n v="0"/>
    <n v="59"/>
    <n v="31567.21"/>
    <s v="Profit"/>
  </r>
  <r>
    <s v="L0943"/>
    <x v="600"/>
    <s v="B0943"/>
    <s v="IL"/>
    <n v="6693"/>
    <n v="10.8"/>
    <n v="60"/>
    <x v="0"/>
    <x v="4"/>
    <x v="0"/>
    <n v="32866"/>
    <s v="MORTGAGE"/>
    <n v="0.31"/>
    <n v="0.62"/>
    <n v="7415.84"/>
    <n v="0"/>
    <n v="35"/>
    <n v="-722.84000000000015"/>
    <s v="Loss"/>
  </r>
  <r>
    <s v="L0944"/>
    <x v="634"/>
    <s v="B0944"/>
    <s v="OH"/>
    <n v="34535"/>
    <n v="9.1"/>
    <n v="36"/>
    <x v="0"/>
    <x v="4"/>
    <x v="2"/>
    <n v="142669"/>
    <s v="MORTGAGE"/>
    <n v="0.44"/>
    <n v="0.5"/>
    <n v="37677.68"/>
    <n v="0"/>
    <n v="46"/>
    <n v="-3142.6800000000003"/>
    <s v="Loss"/>
  </r>
  <r>
    <s v="L0945"/>
    <x v="635"/>
    <s v="B0945"/>
    <s v="NC"/>
    <n v="15818"/>
    <n v="8"/>
    <n v="36"/>
    <x v="1"/>
    <x v="4"/>
    <x v="3"/>
    <n v="35898"/>
    <s v="MORTGAGE"/>
    <n v="0.23"/>
    <n v="0.56999999999999995"/>
    <n v="2467.0100000000002"/>
    <n v="0"/>
    <n v="47"/>
    <n v="13350.99"/>
    <s v="Profit"/>
  </r>
  <r>
    <s v="L0946"/>
    <x v="636"/>
    <s v="B0946"/>
    <s v="MI"/>
    <n v="32238"/>
    <n v="23"/>
    <n v="60"/>
    <x v="1"/>
    <x v="1"/>
    <x v="1"/>
    <n v="48395"/>
    <s v="OWN"/>
    <n v="0.48"/>
    <n v="0.66"/>
    <n v="3609.94"/>
    <n v="0"/>
    <n v="57"/>
    <n v="28628.06"/>
    <s v="Profit"/>
  </r>
  <r>
    <s v="L0947"/>
    <x v="637"/>
    <s v="B0947"/>
    <s v="OH"/>
    <n v="31874"/>
    <n v="19.2"/>
    <n v="36"/>
    <x v="0"/>
    <x v="4"/>
    <x v="1"/>
    <n v="69019"/>
    <s v="OWN"/>
    <n v="0.15"/>
    <n v="0.64"/>
    <n v="37993.81"/>
    <n v="0"/>
    <n v="56"/>
    <n v="-6119.8099999999977"/>
    <s v="Loss"/>
  </r>
  <r>
    <s v="L0948"/>
    <x v="638"/>
    <s v="B0948"/>
    <s v="OH"/>
    <n v="27715"/>
    <n v="23.7"/>
    <n v="36"/>
    <x v="1"/>
    <x v="3"/>
    <x v="3"/>
    <n v="133243"/>
    <s v="RENT"/>
    <n v="0.11"/>
    <n v="0.86"/>
    <n v="9020.5300000000007"/>
    <n v="0"/>
    <n v="47"/>
    <n v="18694.47"/>
    <s v="Profit"/>
  </r>
  <r>
    <s v="L0949"/>
    <x v="639"/>
    <s v="B0949"/>
    <s v="FL"/>
    <n v="28605"/>
    <n v="17.100000000000001"/>
    <n v="36"/>
    <x v="0"/>
    <x v="1"/>
    <x v="3"/>
    <n v="34006"/>
    <s v="RENT"/>
    <n v="0.46"/>
    <n v="0.81"/>
    <n v="33496.46"/>
    <n v="0"/>
    <n v="32"/>
    <n v="-4891.4599999999991"/>
    <s v="Loss"/>
  </r>
  <r>
    <s v="L0950"/>
    <x v="352"/>
    <s v="B0950"/>
    <s v="CA"/>
    <n v="35317"/>
    <n v="14.5"/>
    <n v="60"/>
    <x v="0"/>
    <x v="6"/>
    <x v="3"/>
    <n v="64393"/>
    <s v="RENT"/>
    <n v="0.13"/>
    <n v="0.63"/>
    <n v="40437.97"/>
    <n v="0"/>
    <n v="38"/>
    <n v="-5120.9700000000012"/>
    <s v="Loss"/>
  </r>
  <r>
    <s v="L0951"/>
    <x v="266"/>
    <s v="B0951"/>
    <s v="GA"/>
    <n v="32174"/>
    <n v="6.2"/>
    <n v="60"/>
    <x v="0"/>
    <x v="4"/>
    <x v="4"/>
    <n v="40956"/>
    <s v="RENT"/>
    <n v="0.5"/>
    <n v="0.71"/>
    <n v="34168.79"/>
    <n v="0"/>
    <n v="35"/>
    <n v="-1994.7900000000009"/>
    <s v="Loss"/>
  </r>
  <r>
    <s v="L0952"/>
    <x v="640"/>
    <s v="B0952"/>
    <s v="FL"/>
    <n v="10956"/>
    <n v="18.399999999999999"/>
    <n v="60"/>
    <x v="0"/>
    <x v="0"/>
    <x v="2"/>
    <n v="80042"/>
    <s v="RENT"/>
    <n v="0.48"/>
    <n v="0.54"/>
    <n v="12971.9"/>
    <n v="0"/>
    <n v="31"/>
    <n v="-2015.8999999999996"/>
    <s v="Loss"/>
  </r>
  <r>
    <s v="L0953"/>
    <x v="641"/>
    <s v="B0953"/>
    <s v="CA"/>
    <n v="39908"/>
    <n v="16.600000000000001"/>
    <n v="36"/>
    <x v="1"/>
    <x v="5"/>
    <x v="4"/>
    <n v="126199"/>
    <s v="MORTGAGE"/>
    <n v="0.15"/>
    <n v="0.9"/>
    <n v="4986.33"/>
    <n v="0"/>
    <n v="62"/>
    <n v="34921.67"/>
    <s v="Profit"/>
  </r>
  <r>
    <s v="L0954"/>
    <x v="642"/>
    <s v="B0954"/>
    <s v="IL"/>
    <n v="11837"/>
    <n v="24.8"/>
    <n v="36"/>
    <x v="0"/>
    <x v="4"/>
    <x v="2"/>
    <n v="36078"/>
    <s v="MORTGAGE"/>
    <n v="0.32"/>
    <n v="0.92"/>
    <n v="14772.58"/>
    <n v="0"/>
    <n v="51"/>
    <n v="-2935.58"/>
    <s v="Loss"/>
  </r>
  <r>
    <s v="L0955"/>
    <x v="643"/>
    <s v="B0955"/>
    <s v="GA"/>
    <n v="4716"/>
    <n v="9.8000000000000007"/>
    <n v="36"/>
    <x v="1"/>
    <x v="0"/>
    <x v="4"/>
    <n v="59631"/>
    <s v="MORTGAGE"/>
    <n v="0.17"/>
    <n v="0.94"/>
    <n v="1357.66"/>
    <n v="0"/>
    <n v="37"/>
    <n v="3358.34"/>
    <s v="Profit"/>
  </r>
  <r>
    <s v="L0956"/>
    <x v="165"/>
    <s v="B0956"/>
    <s v="FL"/>
    <n v="5481"/>
    <n v="15.6"/>
    <n v="36"/>
    <x v="0"/>
    <x v="2"/>
    <x v="0"/>
    <n v="125676"/>
    <s v="RENT"/>
    <n v="0.27"/>
    <n v="0.89"/>
    <n v="6336.04"/>
    <n v="0"/>
    <n v="57"/>
    <n v="-855.04"/>
    <s v="Loss"/>
  </r>
  <r>
    <s v="L0957"/>
    <x v="159"/>
    <s v="B0957"/>
    <s v="GA"/>
    <n v="25282"/>
    <n v="18"/>
    <n v="60"/>
    <x v="2"/>
    <x v="4"/>
    <x v="2"/>
    <n v="92901"/>
    <s v="MORTGAGE"/>
    <n v="0.12"/>
    <n v="0.57999999999999996"/>
    <n v="0"/>
    <n v="0"/>
    <n v="57"/>
    <n v="25282"/>
    <s v="Profit"/>
  </r>
  <r>
    <s v="L0958"/>
    <x v="644"/>
    <s v="B0958"/>
    <s v="GA"/>
    <n v="7548"/>
    <n v="17.899999999999999"/>
    <n v="36"/>
    <x v="1"/>
    <x v="0"/>
    <x v="1"/>
    <n v="137227"/>
    <s v="MORTGAGE"/>
    <n v="0.19"/>
    <n v="0.52"/>
    <n v="2381.79"/>
    <n v="0"/>
    <n v="32"/>
    <n v="5166.21"/>
    <s v="Profit"/>
  </r>
  <r>
    <s v="L0959"/>
    <x v="22"/>
    <s v="B0959"/>
    <s v="NY"/>
    <n v="38605"/>
    <n v="16.2"/>
    <n v="36"/>
    <x v="1"/>
    <x v="0"/>
    <x v="2"/>
    <n v="99497"/>
    <s v="MORTGAGE"/>
    <n v="0.25"/>
    <n v="0.76"/>
    <n v="7107.9"/>
    <n v="0"/>
    <n v="39"/>
    <n v="31497.1"/>
    <s v="Profit"/>
  </r>
  <r>
    <s v="L0960"/>
    <x v="645"/>
    <s v="B0960"/>
    <s v="NC"/>
    <n v="8758"/>
    <n v="20.5"/>
    <n v="36"/>
    <x v="0"/>
    <x v="4"/>
    <x v="2"/>
    <n v="124813"/>
    <s v="MORTGAGE"/>
    <n v="0.28000000000000003"/>
    <n v="0.91"/>
    <n v="10553.39"/>
    <n v="0"/>
    <n v="59"/>
    <n v="-1795.3899999999994"/>
    <s v="Loss"/>
  </r>
  <r>
    <s v="L0961"/>
    <x v="646"/>
    <s v="B0961"/>
    <s v="NY"/>
    <n v="24177"/>
    <n v="9.1"/>
    <n v="60"/>
    <x v="0"/>
    <x v="3"/>
    <x v="2"/>
    <n v="147192"/>
    <s v="OWN"/>
    <n v="0.49"/>
    <n v="0.57999999999999996"/>
    <n v="26377.11"/>
    <n v="0"/>
    <n v="45"/>
    <n v="-2200.1100000000006"/>
    <s v="Loss"/>
  </r>
  <r>
    <s v="L0962"/>
    <x v="395"/>
    <s v="B0962"/>
    <s v="CA"/>
    <n v="25022"/>
    <n v="19.5"/>
    <n v="36"/>
    <x v="0"/>
    <x v="4"/>
    <x v="0"/>
    <n v="71574"/>
    <s v="RENT"/>
    <n v="0.42"/>
    <n v="0.5"/>
    <n v="29901.29"/>
    <n v="0"/>
    <n v="35"/>
    <n v="-4879.2900000000009"/>
    <s v="Loss"/>
  </r>
  <r>
    <s v="L0963"/>
    <x v="420"/>
    <s v="B0963"/>
    <s v="TX"/>
    <n v="6542"/>
    <n v="17.399999999999999"/>
    <n v="36"/>
    <x v="3"/>
    <x v="4"/>
    <x v="4"/>
    <n v="148494"/>
    <s v="RENT"/>
    <n v="0.39"/>
    <n v="0.86"/>
    <n v="723.02"/>
    <n v="1622.45"/>
    <n v="39"/>
    <n v="5818.98"/>
    <s v="Profit"/>
  </r>
  <r>
    <s v="L0964"/>
    <x v="647"/>
    <s v="B0964"/>
    <s v="PA"/>
    <n v="26476"/>
    <n v="22.9"/>
    <n v="36"/>
    <x v="0"/>
    <x v="1"/>
    <x v="1"/>
    <n v="61417"/>
    <s v="OWN"/>
    <n v="0.31"/>
    <n v="0.53"/>
    <n v="32539"/>
    <n v="0"/>
    <n v="38"/>
    <n v="-6063"/>
    <s v="Loss"/>
  </r>
  <r>
    <s v="L0965"/>
    <x v="648"/>
    <s v="B0965"/>
    <s v="MI"/>
    <n v="31784"/>
    <n v="21.9"/>
    <n v="36"/>
    <x v="1"/>
    <x v="4"/>
    <x v="4"/>
    <n v="118020"/>
    <s v="MORTGAGE"/>
    <n v="0.44"/>
    <n v="0.69"/>
    <n v="2122.0300000000002"/>
    <n v="0"/>
    <n v="29"/>
    <n v="29661.97"/>
    <s v="Profit"/>
  </r>
  <r>
    <s v="L0966"/>
    <x v="649"/>
    <s v="B0966"/>
    <s v="TX"/>
    <n v="23740"/>
    <n v="11.3"/>
    <n v="36"/>
    <x v="1"/>
    <x v="0"/>
    <x v="4"/>
    <n v="113639"/>
    <s v="MORTGAGE"/>
    <n v="0.24"/>
    <n v="0.81"/>
    <n v="1468.47"/>
    <n v="0"/>
    <n v="39"/>
    <n v="22271.53"/>
    <s v="Profit"/>
  </r>
  <r>
    <s v="L0967"/>
    <x v="246"/>
    <s v="B0967"/>
    <s v="PA"/>
    <n v="25817"/>
    <n v="10.5"/>
    <n v="60"/>
    <x v="0"/>
    <x v="0"/>
    <x v="3"/>
    <n v="95006"/>
    <s v="MORTGAGE"/>
    <n v="0.38"/>
    <n v="0.61"/>
    <n v="28527.78"/>
    <n v="0"/>
    <n v="47"/>
    <n v="-2710.7799999999988"/>
    <s v="Loss"/>
  </r>
  <r>
    <s v="L0968"/>
    <x v="346"/>
    <s v="B0968"/>
    <s v="CA"/>
    <n v="17052"/>
    <n v="24.6"/>
    <n v="36"/>
    <x v="1"/>
    <x v="4"/>
    <x v="0"/>
    <n v="124881"/>
    <s v="RENT"/>
    <n v="0.5"/>
    <n v="0.54"/>
    <n v="6524.2"/>
    <n v="0"/>
    <n v="49"/>
    <n v="10527.8"/>
    <s v="Profit"/>
  </r>
  <r>
    <s v="L0969"/>
    <x v="551"/>
    <s v="B0969"/>
    <s v="CA"/>
    <n v="36153"/>
    <n v="15.5"/>
    <n v="36"/>
    <x v="1"/>
    <x v="0"/>
    <x v="3"/>
    <n v="141862"/>
    <s v="RENT"/>
    <n v="0.23"/>
    <n v="0.85"/>
    <n v="6981.3"/>
    <n v="0"/>
    <n v="54"/>
    <n v="29171.7"/>
    <s v="Profit"/>
  </r>
  <r>
    <s v="L0970"/>
    <x v="93"/>
    <s v="B0970"/>
    <s v="IL"/>
    <n v="1671"/>
    <n v="23.1"/>
    <n v="36"/>
    <x v="1"/>
    <x v="0"/>
    <x v="0"/>
    <n v="69454"/>
    <s v="RENT"/>
    <n v="0.37"/>
    <n v="0.78"/>
    <n v="682.33"/>
    <n v="0"/>
    <n v="36"/>
    <n v="988.67"/>
    <s v="Profit"/>
  </r>
  <r>
    <s v="L0971"/>
    <x v="391"/>
    <s v="B0971"/>
    <s v="MI"/>
    <n v="1163"/>
    <n v="8.3000000000000007"/>
    <n v="36"/>
    <x v="0"/>
    <x v="6"/>
    <x v="4"/>
    <n v="31587"/>
    <s v="RENT"/>
    <n v="0.44"/>
    <n v="0.94"/>
    <n v="1259.53"/>
    <n v="0"/>
    <n v="31"/>
    <n v="-96.529999999999973"/>
    <s v="Loss"/>
  </r>
  <r>
    <s v="L0972"/>
    <x v="650"/>
    <s v="B0972"/>
    <s v="NC"/>
    <n v="5795"/>
    <n v="17.899999999999999"/>
    <n v="36"/>
    <x v="0"/>
    <x v="0"/>
    <x v="4"/>
    <n v="138107"/>
    <s v="RENT"/>
    <n v="0.47"/>
    <n v="0.65"/>
    <n v="6832.3"/>
    <n v="0"/>
    <n v="32"/>
    <n v="-1037.3000000000002"/>
    <s v="Loss"/>
  </r>
  <r>
    <s v="L0973"/>
    <x v="63"/>
    <s v="B0973"/>
    <s v="GA"/>
    <n v="11634"/>
    <n v="21.2"/>
    <n v="36"/>
    <x v="0"/>
    <x v="1"/>
    <x v="0"/>
    <n v="145584"/>
    <s v="OWN"/>
    <n v="0.39"/>
    <n v="0.53"/>
    <n v="14100.41"/>
    <n v="0"/>
    <n v="27"/>
    <n v="-2466.41"/>
    <s v="Loss"/>
  </r>
  <r>
    <s v="L0974"/>
    <x v="651"/>
    <s v="B0974"/>
    <s v="NY"/>
    <n v="5798"/>
    <n v="23.9"/>
    <n v="36"/>
    <x v="1"/>
    <x v="6"/>
    <x v="4"/>
    <n v="84710"/>
    <s v="RENT"/>
    <n v="0.21"/>
    <n v="0.83"/>
    <n v="1416.33"/>
    <n v="0"/>
    <n v="31"/>
    <n v="4381.67"/>
    <s v="Profit"/>
  </r>
  <r>
    <s v="L0975"/>
    <x v="225"/>
    <s v="B0975"/>
    <s v="NY"/>
    <n v="23420"/>
    <n v="11.7"/>
    <n v="36"/>
    <x v="1"/>
    <x v="5"/>
    <x v="4"/>
    <n v="116567"/>
    <s v="MORTGAGE"/>
    <n v="0.23"/>
    <n v="0.73"/>
    <n v="5945.15"/>
    <n v="0"/>
    <n v="34"/>
    <n v="17474.849999999999"/>
    <s v="Profit"/>
  </r>
  <r>
    <s v="L0976"/>
    <x v="76"/>
    <s v="B0976"/>
    <s v="CA"/>
    <n v="30300"/>
    <n v="19.5"/>
    <n v="36"/>
    <x v="0"/>
    <x v="4"/>
    <x v="1"/>
    <n v="121748"/>
    <s v="RENT"/>
    <n v="0.11"/>
    <n v="0.6"/>
    <n v="36208.5"/>
    <n v="0"/>
    <n v="43"/>
    <n v="-5908.5"/>
    <s v="Loss"/>
  </r>
  <r>
    <s v="L0977"/>
    <x v="379"/>
    <s v="B0977"/>
    <s v="NY"/>
    <n v="25345"/>
    <n v="15.8"/>
    <n v="36"/>
    <x v="3"/>
    <x v="0"/>
    <x v="3"/>
    <n v="105886"/>
    <s v="OWN"/>
    <n v="0.4"/>
    <n v="0.85"/>
    <n v="6434.2"/>
    <n v="4640.18"/>
    <n v="39"/>
    <n v="18910.8"/>
    <s v="Profit"/>
  </r>
  <r>
    <s v="L0978"/>
    <x v="652"/>
    <s v="B0978"/>
    <s v="CA"/>
    <n v="11749"/>
    <n v="6.2"/>
    <n v="60"/>
    <x v="0"/>
    <x v="1"/>
    <x v="3"/>
    <n v="48816"/>
    <s v="MORTGAGE"/>
    <n v="0.12"/>
    <n v="0.59"/>
    <n v="12477.44"/>
    <n v="0"/>
    <n v="41"/>
    <n v="-728.44000000000051"/>
    <s v="Loss"/>
  </r>
  <r>
    <s v="L0979"/>
    <x v="653"/>
    <s v="B0979"/>
    <s v="GA"/>
    <n v="39595"/>
    <n v="18.8"/>
    <n v="60"/>
    <x v="3"/>
    <x v="5"/>
    <x v="3"/>
    <n v="115824"/>
    <s v="OWN"/>
    <n v="0.45"/>
    <n v="0.62"/>
    <n v="12429.24"/>
    <n v="11066.94"/>
    <n v="60"/>
    <n v="27165.760000000002"/>
    <s v="Profit"/>
  </r>
  <r>
    <s v="L0980"/>
    <x v="220"/>
    <s v="B0980"/>
    <s v="CA"/>
    <n v="26121"/>
    <n v="18.8"/>
    <n v="60"/>
    <x v="4"/>
    <x v="1"/>
    <x v="2"/>
    <n v="59432"/>
    <s v="MORTGAGE"/>
    <n v="0.15"/>
    <n v="0.54"/>
    <n v="0"/>
    <n v="0"/>
    <n v="58"/>
    <n v="26121"/>
    <s v="Profit"/>
  </r>
  <r>
    <s v="L0981"/>
    <x v="400"/>
    <s v="B0981"/>
    <s v="IL"/>
    <n v="38487"/>
    <n v="23.6"/>
    <n v="60"/>
    <x v="3"/>
    <x v="0"/>
    <x v="1"/>
    <n v="139758"/>
    <s v="RENT"/>
    <n v="0.17"/>
    <n v="0.68"/>
    <n v="7006.59"/>
    <n v="17357.919999999998"/>
    <n v="38"/>
    <n v="31480.41"/>
    <s v="Profit"/>
  </r>
  <r>
    <s v="L0982"/>
    <x v="654"/>
    <s v="B0982"/>
    <s v="NC"/>
    <n v="29411"/>
    <n v="14.9"/>
    <n v="36"/>
    <x v="1"/>
    <x v="2"/>
    <x v="3"/>
    <n v="78617"/>
    <s v="OWN"/>
    <n v="0.28999999999999998"/>
    <n v="0.69"/>
    <n v="3079.75"/>
    <n v="0"/>
    <n v="38"/>
    <n v="26331.25"/>
    <s v="Profit"/>
  </r>
  <r>
    <s v="L0983"/>
    <x v="503"/>
    <s v="B0983"/>
    <s v="OH"/>
    <n v="34361"/>
    <n v="9.6"/>
    <n v="60"/>
    <x v="0"/>
    <x v="0"/>
    <x v="3"/>
    <n v="102373"/>
    <s v="MORTGAGE"/>
    <n v="0.4"/>
    <n v="0.73"/>
    <n v="37659.660000000003"/>
    <n v="0"/>
    <n v="45"/>
    <n v="-3298.6600000000035"/>
    <s v="Loss"/>
  </r>
  <r>
    <s v="L0984"/>
    <x v="73"/>
    <s v="B0984"/>
    <s v="FL"/>
    <n v="22223"/>
    <n v="5.9"/>
    <n v="60"/>
    <x v="0"/>
    <x v="4"/>
    <x v="1"/>
    <n v="64217"/>
    <s v="RENT"/>
    <n v="0.16"/>
    <n v="0.82"/>
    <n v="23534.16"/>
    <n v="0"/>
    <n v="45"/>
    <n v="-1311.1599999999999"/>
    <s v="Loss"/>
  </r>
  <r>
    <s v="L0985"/>
    <x v="655"/>
    <s v="B0985"/>
    <s v="NC"/>
    <n v="8394"/>
    <n v="13.3"/>
    <n v="36"/>
    <x v="1"/>
    <x v="4"/>
    <x v="4"/>
    <n v="50884"/>
    <s v="MORTGAGE"/>
    <n v="0.28000000000000003"/>
    <n v="0.91"/>
    <n v="2520.1"/>
    <n v="0"/>
    <n v="44"/>
    <n v="5873.9"/>
    <s v="Profit"/>
  </r>
  <r>
    <s v="L0986"/>
    <x v="656"/>
    <s v="B0986"/>
    <s v="NC"/>
    <n v="15056"/>
    <n v="11"/>
    <n v="60"/>
    <x v="0"/>
    <x v="0"/>
    <x v="3"/>
    <n v="35454"/>
    <s v="OWN"/>
    <n v="0.28999999999999998"/>
    <n v="0.56000000000000005"/>
    <n v="16712.16"/>
    <n v="0"/>
    <n v="54"/>
    <n v="-1656.1599999999999"/>
    <s v="Loss"/>
  </r>
  <r>
    <s v="L0987"/>
    <x v="657"/>
    <s v="B0987"/>
    <s v="TX"/>
    <n v="29380"/>
    <n v="20.2"/>
    <n v="60"/>
    <x v="0"/>
    <x v="5"/>
    <x v="4"/>
    <n v="104960"/>
    <s v="OWN"/>
    <n v="0.18"/>
    <n v="0.52"/>
    <n v="35314.76"/>
    <n v="0"/>
    <n v="46"/>
    <n v="-5934.760000000002"/>
    <s v="Loss"/>
  </r>
  <r>
    <s v="L0988"/>
    <x v="533"/>
    <s v="B0988"/>
    <s v="MI"/>
    <n v="27035"/>
    <n v="12.1"/>
    <n v="36"/>
    <x v="1"/>
    <x v="1"/>
    <x v="3"/>
    <n v="132421"/>
    <s v="OWN"/>
    <n v="0.15"/>
    <n v="0.51"/>
    <n v="5329.68"/>
    <n v="0"/>
    <n v="62"/>
    <n v="21705.32"/>
    <s v="Profit"/>
  </r>
  <r>
    <s v="L0989"/>
    <x v="507"/>
    <s v="B0989"/>
    <s v="MI"/>
    <n v="31620"/>
    <n v="24"/>
    <n v="36"/>
    <x v="0"/>
    <x v="6"/>
    <x v="0"/>
    <n v="137173"/>
    <s v="OWN"/>
    <n v="0.43"/>
    <n v="0.56000000000000005"/>
    <n v="39208.800000000003"/>
    <n v="0"/>
    <n v="40"/>
    <n v="-7588.8000000000029"/>
    <s v="Loss"/>
  </r>
  <r>
    <s v="L0990"/>
    <x v="132"/>
    <s v="B0990"/>
    <s v="PA"/>
    <n v="20877"/>
    <n v="24.2"/>
    <n v="36"/>
    <x v="3"/>
    <x v="6"/>
    <x v="2"/>
    <n v="73618"/>
    <s v="RENT"/>
    <n v="0.3"/>
    <n v="0.8"/>
    <n v="4859.07"/>
    <n v="9308.75"/>
    <n v="48"/>
    <n v="16017.93"/>
    <s v="Profit"/>
  </r>
  <r>
    <s v="L0991"/>
    <x v="373"/>
    <s v="B0991"/>
    <s v="FL"/>
    <n v="31911"/>
    <n v="17.399999999999999"/>
    <n v="60"/>
    <x v="1"/>
    <x v="5"/>
    <x v="3"/>
    <n v="113948"/>
    <s v="MORTGAGE"/>
    <n v="0.11"/>
    <n v="0.83"/>
    <n v="10885.67"/>
    <n v="0"/>
    <n v="61"/>
    <n v="21025.33"/>
    <s v="Profit"/>
  </r>
  <r>
    <s v="L0992"/>
    <x v="658"/>
    <s v="B0992"/>
    <s v="GA"/>
    <n v="33784"/>
    <n v="23.6"/>
    <n v="60"/>
    <x v="1"/>
    <x v="1"/>
    <x v="0"/>
    <n v="92671"/>
    <s v="RENT"/>
    <n v="0.42"/>
    <n v="0.85"/>
    <n v="9201.2900000000009"/>
    <n v="0"/>
    <n v="42"/>
    <n v="24582.71"/>
    <s v="Profit"/>
  </r>
  <r>
    <s v="L0993"/>
    <x v="93"/>
    <s v="B0993"/>
    <s v="OH"/>
    <n v="4191"/>
    <n v="20.2"/>
    <n v="36"/>
    <x v="1"/>
    <x v="0"/>
    <x v="1"/>
    <n v="77111"/>
    <s v="OWN"/>
    <n v="0.49"/>
    <n v="0.61"/>
    <n v="1379.36"/>
    <n v="0"/>
    <n v="36"/>
    <n v="2811.6400000000003"/>
    <s v="Profit"/>
  </r>
  <r>
    <s v="L0994"/>
    <x v="451"/>
    <s v="B0994"/>
    <s v="OH"/>
    <n v="34160"/>
    <n v="15.9"/>
    <n v="36"/>
    <x v="3"/>
    <x v="5"/>
    <x v="0"/>
    <n v="69613"/>
    <s v="MORTGAGE"/>
    <n v="0.34"/>
    <n v="0.64"/>
    <n v="8992.9599999999991"/>
    <n v="10741.33"/>
    <n v="60"/>
    <n v="25167.040000000001"/>
    <s v="Profit"/>
  </r>
  <r>
    <s v="L0995"/>
    <x v="254"/>
    <s v="B0995"/>
    <s v="MI"/>
    <n v="26000"/>
    <n v="8.6"/>
    <n v="60"/>
    <x v="1"/>
    <x v="0"/>
    <x v="1"/>
    <n v="115678"/>
    <s v="OWN"/>
    <n v="0.3"/>
    <n v="0.72"/>
    <n v="9955.6200000000008"/>
    <n v="0"/>
    <n v="35"/>
    <n v="16044.38"/>
    <s v="Profit"/>
  </r>
  <r>
    <s v="L0996"/>
    <x v="220"/>
    <s v="B0996"/>
    <s v="NC"/>
    <n v="4631"/>
    <n v="14.2"/>
    <n v="36"/>
    <x v="1"/>
    <x v="4"/>
    <x v="3"/>
    <n v="132928"/>
    <s v="RENT"/>
    <n v="0.45"/>
    <n v="0.53"/>
    <n v="1702.69"/>
    <n v="0"/>
    <n v="58"/>
    <n v="2928.31"/>
    <s v="Profit"/>
  </r>
  <r>
    <s v="L0997"/>
    <x v="659"/>
    <s v="B0997"/>
    <s v="IL"/>
    <n v="7172"/>
    <n v="16.2"/>
    <n v="60"/>
    <x v="0"/>
    <x v="4"/>
    <x v="1"/>
    <n v="89993"/>
    <s v="RENT"/>
    <n v="0.48"/>
    <n v="0.78"/>
    <n v="8333.86"/>
    <n v="0"/>
    <n v="61"/>
    <n v="-1161.8600000000006"/>
    <s v="Loss"/>
  </r>
  <r>
    <s v="L0998"/>
    <x v="83"/>
    <s v="B0998"/>
    <s v="PA"/>
    <n v="24561"/>
    <n v="22.3"/>
    <n v="36"/>
    <x v="3"/>
    <x v="4"/>
    <x v="0"/>
    <n v="38848"/>
    <s v="RENT"/>
    <n v="0.4"/>
    <n v="0.94"/>
    <n v="6392.17"/>
    <n v="9431.07"/>
    <n v="61"/>
    <n v="18168.830000000002"/>
    <s v="Profit"/>
  </r>
  <r>
    <s v="L0999"/>
    <x v="391"/>
    <s v="B0999"/>
    <s v="CA"/>
    <n v="25817"/>
    <n v="14.6"/>
    <n v="36"/>
    <x v="1"/>
    <x v="5"/>
    <x v="2"/>
    <n v="144853"/>
    <s v="MORTGAGE"/>
    <n v="0.28000000000000003"/>
    <n v="0.66"/>
    <n v="9178.11"/>
    <n v="0"/>
    <n v="31"/>
    <n v="16638.89"/>
    <s v="Profit"/>
  </r>
  <r>
    <s v="L1000"/>
    <x v="440"/>
    <s v="B1000"/>
    <s v="PA"/>
    <n v="21281"/>
    <n v="23"/>
    <n v="60"/>
    <x v="0"/>
    <x v="2"/>
    <x v="4"/>
    <n v="108672"/>
    <s v="MORTGAGE"/>
    <n v="0.34"/>
    <n v="0.84"/>
    <n v="26175.63"/>
    <n v="0"/>
    <n v="61"/>
    <n v="-4894.630000000001"/>
    <s v="Los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2A28AB-DC71-43CB-B2E5-24E7B7936BAA}"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rowHeaderCaption="Loan Grade">
  <location ref="A74:B82" firstHeaderRow="1" firstDataRow="1" firstDataCol="1"/>
  <pivotFields count="22">
    <pivotField showAll="0"/>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pivotField dataField="1" showAll="0"/>
    <pivotField showAll="0"/>
    <pivotField showAll="0"/>
    <pivotField showAll="0">
      <items count="6">
        <item x="3"/>
        <item x="1"/>
        <item x="0"/>
        <item x="4"/>
        <item x="2"/>
        <item t="default"/>
      </items>
    </pivotField>
    <pivotField axis="axisRow" showAll="0">
      <items count="8">
        <item x="0"/>
        <item x="4"/>
        <item x="5"/>
        <item x="1"/>
        <item x="6"/>
        <item x="2"/>
        <item x="3"/>
        <item t="default"/>
      </items>
    </pivotField>
    <pivotField showAll="0">
      <items count="6">
        <item x="1"/>
        <item x="4"/>
        <item x="2"/>
        <item x="3"/>
        <item x="0"/>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8">
    <i>
      <x/>
    </i>
    <i>
      <x v="1"/>
    </i>
    <i>
      <x v="2"/>
    </i>
    <i>
      <x v="3"/>
    </i>
    <i>
      <x v="4"/>
    </i>
    <i>
      <x v="5"/>
    </i>
    <i>
      <x v="6"/>
    </i>
    <i t="grand">
      <x/>
    </i>
  </rowItems>
  <colItems count="1">
    <i/>
  </colItems>
  <dataFields count="1">
    <dataField name="Sum of Loan Amount" fld="4" baseField="0" baseItem="0"/>
  </dataFields>
  <chartFormats count="4">
    <chartFormat chart="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07D3DC-BBFB-4609-A929-08839B3AB48F}"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rowHeaderCaption="Issue Date">
  <location ref="A55:C68" firstHeaderRow="0" firstDataRow="1" firstDataCol="1"/>
  <pivotFields count="22">
    <pivotField dataField="1" showAll="0"/>
    <pivotField axis="axisRow"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pivotField dataField="1" showAll="0"/>
    <pivotField showAll="0"/>
    <pivotField showAll="0"/>
    <pivotField showAll="0">
      <items count="6">
        <item x="3"/>
        <item x="1"/>
        <item x="0"/>
        <item x="4"/>
        <item x="2"/>
        <item t="default"/>
      </items>
    </pivotField>
    <pivotField showAll="0">
      <items count="8">
        <item x="0"/>
        <item x="4"/>
        <item x="5"/>
        <item x="1"/>
        <item x="6"/>
        <item x="2"/>
        <item x="3"/>
        <item t="default"/>
      </items>
    </pivotField>
    <pivotField showAll="0">
      <items count="6">
        <item x="1"/>
        <item x="4"/>
        <item x="2"/>
        <item x="3"/>
        <item x="0"/>
        <item t="default"/>
      </items>
    </pivotField>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9"/>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Count of Loan ID" fld="0" subtotal="count" baseField="0" baseItem="0"/>
    <dataField name="Sum of Loan Amount" fld="4" baseField="0" baseItem="0"/>
  </dataFields>
  <chartFormats count="9">
    <chartFormat chart="6" format="0" series="1">
      <pivotArea type="data" outline="0" fieldPosition="0">
        <references count="1">
          <reference field="4294967294"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39"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1"/>
          </reference>
        </references>
      </pivotArea>
    </chartFormat>
    <chartFormat chart="45"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1"/>
          </reference>
        </references>
      </pivotArea>
    </chartFormat>
    <chartFormat chart="47" format="4"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FA2318-1987-48A8-B430-5F33A003CC40}"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rowHeaderCaption="Loan Intent">
  <location ref="A38:C44" firstHeaderRow="0" firstDataRow="1" firstDataCol="1"/>
  <pivotFields count="22">
    <pivotField dataField="1" showAll="0"/>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pivotField dataField="1" showAll="0"/>
    <pivotField showAll="0"/>
    <pivotField showAll="0"/>
    <pivotField showAll="0">
      <items count="6">
        <item x="3"/>
        <item x="1"/>
        <item x="0"/>
        <item x="4"/>
        <item x="2"/>
        <item t="default"/>
      </items>
    </pivotField>
    <pivotField showAll="0">
      <items count="8">
        <item x="0"/>
        <item x="4"/>
        <item x="5"/>
        <item x="1"/>
        <item x="6"/>
        <item x="2"/>
        <item x="3"/>
        <item t="default"/>
      </items>
    </pivotField>
    <pivotField axis="axisRow" showAll="0">
      <items count="6">
        <item x="1"/>
        <item x="4"/>
        <item x="2"/>
        <item x="3"/>
        <item x="0"/>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6">
    <i>
      <x/>
    </i>
    <i>
      <x v="1"/>
    </i>
    <i>
      <x v="2"/>
    </i>
    <i>
      <x v="3"/>
    </i>
    <i>
      <x v="4"/>
    </i>
    <i t="grand">
      <x/>
    </i>
  </rowItems>
  <colFields count="1">
    <field x="-2"/>
  </colFields>
  <colItems count="2">
    <i>
      <x/>
    </i>
    <i i="1">
      <x v="1"/>
    </i>
  </colItems>
  <dataFields count="2">
    <dataField name="Count of Loan ID" fld="0" subtotal="count" baseField="0" baseItem="0"/>
    <dataField name="Sum of Loan Amount" fld="4" baseField="0" baseItem="0"/>
  </dataFields>
  <chartFormats count="7">
    <chartFormat chart="6" format="0" series="1">
      <pivotArea type="data" outline="0" fieldPosition="0">
        <references count="1">
          <reference field="4294967294"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39"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1"/>
          </reference>
        </references>
      </pivotArea>
    </chartFormat>
    <chartFormat chart="41" format="4"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AAE92A-7CF8-4237-A126-B374BCC262D4}"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Loan Grade">
  <location ref="A21:C29" firstHeaderRow="0" firstDataRow="1" firstDataCol="1"/>
  <pivotFields count="22">
    <pivotField dataField="1" showAll="0"/>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pivotField dataField="1" showAll="0"/>
    <pivotField showAll="0"/>
    <pivotField showAll="0"/>
    <pivotField showAll="0">
      <items count="6">
        <item x="3"/>
        <item x="1"/>
        <item x="0"/>
        <item x="4"/>
        <item x="2"/>
        <item t="default"/>
      </items>
    </pivotField>
    <pivotField axis="axisRow" showAll="0">
      <items count="8">
        <item x="0"/>
        <item x="4"/>
        <item x="5"/>
        <item x="1"/>
        <item x="6"/>
        <item x="2"/>
        <item x="3"/>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8">
    <i>
      <x/>
    </i>
    <i>
      <x v="1"/>
    </i>
    <i>
      <x v="2"/>
    </i>
    <i>
      <x v="3"/>
    </i>
    <i>
      <x v="4"/>
    </i>
    <i>
      <x v="5"/>
    </i>
    <i>
      <x v="6"/>
    </i>
    <i t="grand">
      <x/>
    </i>
  </rowItems>
  <colFields count="1">
    <field x="-2"/>
  </colFields>
  <colItems count="2">
    <i>
      <x/>
    </i>
    <i i="1">
      <x v="1"/>
    </i>
  </colItems>
  <dataFields count="2">
    <dataField name="Count of Loan ID" fld="0" subtotal="count" baseField="0" baseItem="0"/>
    <dataField name="Sum of Loan Amount" fld="4" baseField="0" baseItem="0"/>
  </dataFields>
  <chartFormats count="5">
    <chartFormat chart="6" format="0" series="1">
      <pivotArea type="data" outline="0" fieldPosition="0">
        <references count="1">
          <reference field="4294967294"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7DB1E0-FF5B-4205-8910-CDCD319D8477}"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Loan Status">
  <location ref="A5:B11" firstHeaderRow="1" firstDataRow="1" firstDataCol="1"/>
  <pivotFields count="22">
    <pivotField showAll="0"/>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pivotField dataField="1" showAll="0"/>
    <pivotField showAll="0"/>
    <pivotField showAll="0"/>
    <pivotField axis="axisRow" showAll="0">
      <items count="6">
        <item x="3"/>
        <item x="1"/>
        <item x="0"/>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t="grand">
      <x/>
    </i>
  </rowItems>
  <colItems count="1">
    <i/>
  </colItems>
  <dataFields count="1">
    <dataField name="Sum of Loan Amount" fld="4" baseField="0" baseItem="0"/>
  </dataFields>
  <chartFormats count="7">
    <chartFormat chart="6" format="0"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7" count="1" selected="0">
            <x v="0"/>
          </reference>
        </references>
      </pivotArea>
    </chartFormat>
    <chartFormat chart="12" format="9">
      <pivotArea type="data" outline="0" fieldPosition="0">
        <references count="2">
          <reference field="4294967294" count="1" selected="0">
            <x v="0"/>
          </reference>
          <reference field="7" count="1" selected="0">
            <x v="1"/>
          </reference>
        </references>
      </pivotArea>
    </chartFormat>
    <chartFormat chart="12" format="10">
      <pivotArea type="data" outline="0" fieldPosition="0">
        <references count="2">
          <reference field="4294967294" count="1" selected="0">
            <x v="0"/>
          </reference>
          <reference field="7" count="1" selected="0">
            <x v="2"/>
          </reference>
        </references>
      </pivotArea>
    </chartFormat>
    <chartFormat chart="12" format="11">
      <pivotArea type="data" outline="0" fieldPosition="0">
        <references count="2">
          <reference field="4294967294" count="1" selected="0">
            <x v="0"/>
          </reference>
          <reference field="7" count="1" selected="0">
            <x v="3"/>
          </reference>
        </references>
      </pivotArea>
    </chartFormat>
    <chartFormat chart="12" format="1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DC765D60-87ED-4D10-B52B-CFEE64AAAE65}" sourceName="Loan Status">
  <pivotTables>
    <pivotTable tabId="4" name="PivotTable1"/>
    <pivotTable tabId="4" name="PivotTable2"/>
    <pivotTable tabId="4" name="PivotTable3"/>
    <pivotTable tabId="4" name="PivotTable4"/>
    <pivotTable tabId="4" name="PivotTable5"/>
  </pivotTables>
  <data>
    <tabular pivotCacheId="1953940296">
      <items count="5">
        <i x="3" s="1"/>
        <i x="1"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Grade" xr10:uid="{A37C7D44-481A-46FD-BF01-88E8F67DC879}" sourceName="Loan Grade">
  <pivotTables>
    <pivotTable tabId="4" name="PivotTable2"/>
    <pivotTable tabId="4" name="PivotTable3"/>
    <pivotTable tabId="4" name="PivotTable4"/>
    <pivotTable tabId="4" name="PivotTable5"/>
  </pivotTables>
  <data>
    <tabular pivotCacheId="1953940296">
      <items count="7">
        <i x="0" s="1"/>
        <i x="4" s="1"/>
        <i x="5" s="1"/>
        <i x="1" s="1"/>
        <i x="6"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Intent" xr10:uid="{DCB21CE1-B96F-4684-BABD-1B39679C683F}" sourceName="Loan Intent">
  <pivotTables>
    <pivotTable tabId="4" name="PivotTable3"/>
    <pivotTable tabId="4" name="PivotTable4"/>
    <pivotTable tabId="4" name="PivotTable5"/>
  </pivotTables>
  <data>
    <tabular pivotCacheId="1953940296">
      <items count="5">
        <i x="1" s="1"/>
        <i x="4"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 Status" xr10:uid="{E5832A09-DA2E-4B86-BC95-21E0D35EDEAE}" cache="Slicer_Loan_Status" caption="Loan Status" rowHeight="234950"/>
  <slicer name="Loan Grade" xr10:uid="{8CAF5334-A14F-4676-80D7-FB843044BEF1}" cache="Slicer_Loan_Grade" caption="Loan Grade" rowHeight="234950"/>
  <slicer name="Loan Intent" xr10:uid="{D6612BE0-6DEF-4447-8BDA-C9AA3F180960}" cache="Slicer_Loan_Intent" caption="Loan Int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 Status 1" xr10:uid="{CC28E8F1-0A9F-496E-920E-1DA21202F737}" cache="Slicer_Loan_Status" caption="Loan Status" rowHeight="234950"/>
  <slicer name="Loan Grade 1" xr10:uid="{7ED2FBC9-2EC4-46F6-8C24-6EC4101A9EB4}" cache="Slicer_Loan_Grade" caption="Loan Grade" rowHeight="234950"/>
  <slicer name="Loan Intent 1" xr10:uid="{602226D1-CA38-40E2-A2D3-AEC5CB9736BA}" cache="Slicer_Loan_Intent" caption="Loan Int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4E5484-7B60-47CE-A8AC-BA246A4005FD}" name="Credit_Risk_Analysis" displayName="Credit_Risk_Analysis" ref="A1:S1001" totalsRowShown="0" headerRowDxfId="0" headerRowBorderDxfId="21" tableBorderDxfId="22" totalsRowBorderDxfId="20">
  <autoFilter ref="A1:S1001" xr:uid="{3C4E5484-7B60-47CE-A8AC-BA246A4005FD}"/>
  <tableColumns count="19">
    <tableColumn id="1" xr3:uid="{2E13703D-E574-421E-B67F-952110960FD2}" name="Loan ID" dataDxfId="19"/>
    <tableColumn id="2" xr3:uid="{55E909EE-F308-4E76-8BF3-8F1B1CD7C7D6}" name="Issue Date" dataDxfId="18"/>
    <tableColumn id="3" xr3:uid="{61313ADC-B178-42F1-A982-45B50D3A0279}" name="Borrower ID" dataDxfId="17"/>
    <tableColumn id="4" xr3:uid="{E19D607F-351A-480E-B225-1183D40ECE96}" name="State" dataDxfId="16"/>
    <tableColumn id="5" xr3:uid="{00C6BA15-19C0-478F-A43A-D785F7FEE422}" name="Loan Amount" dataDxfId="15"/>
    <tableColumn id="6" xr3:uid="{01AD3179-A78E-4A89-801D-2A02935323F4}" name="Interest Rate" dataDxfId="14"/>
    <tableColumn id="7" xr3:uid="{A17CF781-CC76-4B4D-BD38-722DA14D751A}" name="Term (Months)" dataDxfId="13"/>
    <tableColumn id="8" xr3:uid="{D544BC08-2C25-4265-88FB-6669F4CAA247}" name="Loan Status" dataDxfId="12"/>
    <tableColumn id="9" xr3:uid="{153B0539-58E8-445F-8D89-AA99EB5FC549}" name="Loan Grade" dataDxfId="11"/>
    <tableColumn id="10" xr3:uid="{FE79311E-0C7C-4B22-A694-942FB1696AFE}" name="Loan Intent" dataDxfId="10"/>
    <tableColumn id="11" xr3:uid="{890EE7D1-26ED-49D0-9C73-2B402ED7A6C1}" name="Annual Income" dataDxfId="9"/>
    <tableColumn id="12" xr3:uid="{D56011F8-8307-4F86-B3BD-B6DDBA5F2182}" name="Home Ownership" dataDxfId="8"/>
    <tableColumn id="13" xr3:uid="{C527AE18-777F-43BF-9076-C6D58B8B029E}" name="DTI" dataDxfId="7"/>
    <tableColumn id="14" xr3:uid="{3464BD24-1272-4C0D-8C22-E0CBB5C523A6}" name="LTV" dataDxfId="6"/>
    <tableColumn id="15" xr3:uid="{DB98F54E-EBC8-41BB-B0C8-7D543797962B}" name="Total Payments Received" dataDxfId="5"/>
    <tableColumn id="16" xr3:uid="{2967FBFE-89C5-4E10-B3E3-FB9BBF90218F}" name="Recovery Amount" dataDxfId="4"/>
    <tableColumn id="17" xr3:uid="{643A2F3F-60A0-40EC-B25E-7A81A356F8DD}" name="Age of Loan Months" dataDxfId="3"/>
    <tableColumn id="18" xr3:uid="{73643513-E34B-4E2D-8F58-0960BAAFDE1C}" name="Profit/loss" dataDxfId="2">
      <calculatedColumnFormula>E2-O2</calculatedColumnFormula>
    </tableColumn>
    <tableColumn id="19" xr3:uid="{94914E76-2ABA-42BD-A330-78C8082C03D4}" name="P/L status" dataDxfId="1">
      <calculatedColumnFormula>IF(R2&gt;=0, "Profit","Loss")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AB85A-3DD7-49E6-9023-A3C402A0CC2F}">
  <dimension ref="A1:V1001"/>
  <sheetViews>
    <sheetView topLeftCell="J1" workbookViewId="0"/>
  </sheetViews>
  <sheetFormatPr defaultRowHeight="14.4" x14ac:dyDescent="0.3"/>
  <cols>
    <col min="1" max="1" width="9.5546875" bestFit="1" customWidth="1"/>
    <col min="2" max="2" width="11.77734375" bestFit="1" customWidth="1"/>
    <col min="3" max="3" width="13.21875" bestFit="1" customWidth="1"/>
    <col min="4" max="4" width="7.5546875" bestFit="1" customWidth="1"/>
    <col min="5" max="5" width="14.6640625" bestFit="1" customWidth="1"/>
    <col min="6" max="6" width="13.88671875" bestFit="1" customWidth="1"/>
    <col min="7" max="7" width="16" bestFit="1" customWidth="1"/>
    <col min="8" max="8" width="13.5546875" bestFit="1" customWidth="1"/>
    <col min="9" max="9" width="12.77734375" bestFit="1" customWidth="1"/>
    <col min="10" max="10" width="17.21875" bestFit="1" customWidth="1"/>
    <col min="11" max="11" width="16.109375" bestFit="1" customWidth="1"/>
    <col min="12" max="12" width="17.77734375" bestFit="1" customWidth="1"/>
    <col min="13" max="13" width="6" bestFit="1" customWidth="1"/>
    <col min="14" max="14" width="6.33203125" bestFit="1" customWidth="1"/>
    <col min="15" max="15" width="24.5546875" bestFit="1" customWidth="1"/>
    <col min="16" max="16" width="18.44140625" bestFit="1" customWidth="1"/>
    <col min="17" max="17" width="17.88671875" customWidth="1"/>
    <col min="18" max="18" width="10.88671875" customWidth="1"/>
    <col min="19" max="19" width="15.33203125" customWidth="1"/>
    <col min="21" max="21" width="21.33203125" customWidth="1"/>
    <col min="22" max="22" width="22" customWidth="1"/>
  </cols>
  <sheetData>
    <row r="1" spans="1:22"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2046</v>
      </c>
      <c r="R1" s="2" t="s">
        <v>2047</v>
      </c>
      <c r="S1" s="3" t="s">
        <v>2048</v>
      </c>
    </row>
    <row r="2" spans="1:22" x14ac:dyDescent="0.3">
      <c r="A2" s="4" t="s">
        <v>16</v>
      </c>
      <c r="B2" s="5">
        <v>45057</v>
      </c>
      <c r="C2" s="6" t="s">
        <v>17</v>
      </c>
      <c r="D2" s="6" t="s">
        <v>18</v>
      </c>
      <c r="E2" s="6">
        <v>23180</v>
      </c>
      <c r="F2" s="6">
        <v>10.1</v>
      </c>
      <c r="G2" s="6">
        <v>60</v>
      </c>
      <c r="H2" s="6" t="s">
        <v>19</v>
      </c>
      <c r="I2" s="6" t="s">
        <v>20</v>
      </c>
      <c r="J2" s="6" t="s">
        <v>21</v>
      </c>
      <c r="K2" s="6">
        <v>41676</v>
      </c>
      <c r="L2" s="6" t="s">
        <v>22</v>
      </c>
      <c r="M2" s="6">
        <v>0.24</v>
      </c>
      <c r="N2" s="6">
        <v>0.82</v>
      </c>
      <c r="O2" s="6">
        <v>25521.18</v>
      </c>
      <c r="P2" s="6">
        <v>0</v>
      </c>
      <c r="Q2" s="6">
        <f ca="1">DATEDIF(B2,TODAY(),"M")</f>
        <v>34</v>
      </c>
      <c r="R2" s="6">
        <f t="shared" ref="R2:R65" si="0">E2-O2</f>
        <v>-2341.1800000000003</v>
      </c>
      <c r="S2" s="7" t="str">
        <f t="shared" ref="S2:S65" si="1">IF(R2&gt;=0, "Profit","Loss")</f>
        <v>Loss</v>
      </c>
      <c r="U2" s="12" t="s">
        <v>2049</v>
      </c>
    </row>
    <row r="3" spans="1:22" x14ac:dyDescent="0.3">
      <c r="A3" s="4" t="s">
        <v>23</v>
      </c>
      <c r="B3" s="5">
        <v>45241</v>
      </c>
      <c r="C3" s="6" t="s">
        <v>24</v>
      </c>
      <c r="D3" s="6" t="s">
        <v>25</v>
      </c>
      <c r="E3" s="6">
        <v>32896</v>
      </c>
      <c r="F3" s="6">
        <v>20.6</v>
      </c>
      <c r="G3" s="6">
        <v>36</v>
      </c>
      <c r="H3" s="6" t="s">
        <v>26</v>
      </c>
      <c r="I3" s="6" t="s">
        <v>27</v>
      </c>
      <c r="J3" s="6" t="s">
        <v>28</v>
      </c>
      <c r="K3" s="6">
        <v>34434</v>
      </c>
      <c r="L3" s="6" t="s">
        <v>29</v>
      </c>
      <c r="M3" s="6">
        <v>0.47</v>
      </c>
      <c r="N3" s="6">
        <v>0.59</v>
      </c>
      <c r="O3" s="6">
        <v>9222.59</v>
      </c>
      <c r="P3" s="6">
        <v>0</v>
      </c>
      <c r="Q3" s="6">
        <f t="shared" ref="Q3:Q66" ca="1" si="2">DATEDIF(B3,TODAY(),"M")</f>
        <v>28</v>
      </c>
      <c r="R3" s="6">
        <f t="shared" si="0"/>
        <v>23673.41</v>
      </c>
      <c r="S3" s="7" t="str">
        <f t="shared" si="1"/>
        <v>Profit</v>
      </c>
      <c r="U3" s="13" t="s">
        <v>2050</v>
      </c>
      <c r="V3">
        <f>SUM(E2:E1001)</f>
        <v>21255544</v>
      </c>
    </row>
    <row r="4" spans="1:22" x14ac:dyDescent="0.3">
      <c r="A4" s="4" t="s">
        <v>30</v>
      </c>
      <c r="B4" s="5">
        <v>44318</v>
      </c>
      <c r="C4" s="6" t="s">
        <v>31</v>
      </c>
      <c r="D4" s="6" t="s">
        <v>25</v>
      </c>
      <c r="E4" s="6">
        <v>13875</v>
      </c>
      <c r="F4" s="6">
        <v>21.5</v>
      </c>
      <c r="G4" s="6">
        <v>36</v>
      </c>
      <c r="H4" s="6" t="s">
        <v>26</v>
      </c>
      <c r="I4" s="6" t="s">
        <v>20</v>
      </c>
      <c r="J4" s="6" t="s">
        <v>32</v>
      </c>
      <c r="K4" s="6">
        <v>79810</v>
      </c>
      <c r="L4" s="6" t="s">
        <v>33</v>
      </c>
      <c r="M4" s="6">
        <v>0.33</v>
      </c>
      <c r="N4" s="6">
        <v>0.7</v>
      </c>
      <c r="O4" s="6">
        <v>2689.37</v>
      </c>
      <c r="P4" s="6">
        <v>0</v>
      </c>
      <c r="Q4" s="6">
        <f t="shared" ca="1" si="2"/>
        <v>58</v>
      </c>
      <c r="R4" s="6">
        <f t="shared" si="0"/>
        <v>11185.630000000001</v>
      </c>
      <c r="S4" s="7" t="str">
        <f t="shared" si="1"/>
        <v>Profit</v>
      </c>
      <c r="U4" s="13" t="s">
        <v>14</v>
      </c>
      <c r="V4">
        <f>SUM(O2:O1001)</f>
        <v>15743687.110000001</v>
      </c>
    </row>
    <row r="5" spans="1:22" x14ac:dyDescent="0.3">
      <c r="A5" s="4" t="s">
        <v>34</v>
      </c>
      <c r="B5" s="5">
        <v>44663</v>
      </c>
      <c r="C5" s="6" t="s">
        <v>35</v>
      </c>
      <c r="D5" s="6" t="s">
        <v>18</v>
      </c>
      <c r="E5" s="6">
        <v>2622</v>
      </c>
      <c r="F5" s="6">
        <v>14.9</v>
      </c>
      <c r="G5" s="6">
        <v>60</v>
      </c>
      <c r="H5" s="6" t="s">
        <v>19</v>
      </c>
      <c r="I5" s="6" t="s">
        <v>36</v>
      </c>
      <c r="J5" s="6" t="s">
        <v>37</v>
      </c>
      <c r="K5" s="6">
        <v>133361</v>
      </c>
      <c r="L5" s="6" t="s">
        <v>22</v>
      </c>
      <c r="M5" s="6">
        <v>0.17</v>
      </c>
      <c r="N5" s="6">
        <v>0.87</v>
      </c>
      <c r="O5" s="6">
        <v>3012.68</v>
      </c>
      <c r="P5" s="6">
        <v>0</v>
      </c>
      <c r="Q5" s="6">
        <f t="shared" ca="1" si="2"/>
        <v>47</v>
      </c>
      <c r="R5" s="6">
        <f t="shared" si="0"/>
        <v>-390.67999999999984</v>
      </c>
      <c r="S5" s="7" t="str">
        <f t="shared" si="1"/>
        <v>Loss</v>
      </c>
      <c r="U5" s="13" t="s">
        <v>2051</v>
      </c>
      <c r="V5">
        <f>SUM(R2:R1001)</f>
        <v>5511856.8899999978</v>
      </c>
    </row>
    <row r="6" spans="1:22" x14ac:dyDescent="0.3">
      <c r="A6" s="4" t="s">
        <v>38</v>
      </c>
      <c r="B6" s="5">
        <v>44527</v>
      </c>
      <c r="C6" s="6" t="s">
        <v>39</v>
      </c>
      <c r="D6" s="6" t="s">
        <v>40</v>
      </c>
      <c r="E6" s="6">
        <v>17725</v>
      </c>
      <c r="F6" s="6">
        <v>12.7</v>
      </c>
      <c r="G6" s="6">
        <v>36</v>
      </c>
      <c r="H6" s="6" t="s">
        <v>19</v>
      </c>
      <c r="I6" s="6" t="s">
        <v>41</v>
      </c>
      <c r="J6" s="6" t="s">
        <v>37</v>
      </c>
      <c r="K6" s="6">
        <v>148696</v>
      </c>
      <c r="L6" s="6" t="s">
        <v>22</v>
      </c>
      <c r="M6" s="6">
        <v>0.16</v>
      </c>
      <c r="N6" s="6">
        <v>0.79</v>
      </c>
      <c r="O6" s="6">
        <v>19976.080000000002</v>
      </c>
      <c r="P6" s="6">
        <v>0</v>
      </c>
      <c r="Q6" s="6">
        <f t="shared" ca="1" si="2"/>
        <v>51</v>
      </c>
      <c r="R6" s="6">
        <f t="shared" si="0"/>
        <v>-2251.0800000000017</v>
      </c>
      <c r="S6" s="7" t="str">
        <f t="shared" si="1"/>
        <v>Loss</v>
      </c>
      <c r="U6" s="13" t="s">
        <v>2052</v>
      </c>
      <c r="V6">
        <f>AVERAGE(F2:F1001)</f>
        <v>15.081399999999986</v>
      </c>
    </row>
    <row r="7" spans="1:22" x14ac:dyDescent="0.3">
      <c r="A7" s="4" t="s">
        <v>42</v>
      </c>
      <c r="B7" s="5">
        <v>44284</v>
      </c>
      <c r="C7" s="6" t="s">
        <v>43</v>
      </c>
      <c r="D7" s="6" t="s">
        <v>40</v>
      </c>
      <c r="E7" s="6">
        <v>16646</v>
      </c>
      <c r="F7" s="6">
        <v>14</v>
      </c>
      <c r="G7" s="6">
        <v>36</v>
      </c>
      <c r="H7" s="6" t="s">
        <v>19</v>
      </c>
      <c r="I7" s="6" t="s">
        <v>20</v>
      </c>
      <c r="J7" s="6" t="s">
        <v>37</v>
      </c>
      <c r="K7" s="6">
        <v>124636</v>
      </c>
      <c r="L7" s="6" t="s">
        <v>33</v>
      </c>
      <c r="M7" s="6">
        <v>0.33</v>
      </c>
      <c r="N7" s="6">
        <v>0.69</v>
      </c>
      <c r="O7" s="6">
        <v>18976.439999999999</v>
      </c>
      <c r="P7" s="6">
        <v>0</v>
      </c>
      <c r="Q7" s="6">
        <f t="shared" ca="1" si="2"/>
        <v>59</v>
      </c>
      <c r="R7" s="6">
        <f t="shared" si="0"/>
        <v>-2330.4399999999987</v>
      </c>
      <c r="S7" s="7" t="str">
        <f t="shared" si="1"/>
        <v>Loss</v>
      </c>
      <c r="U7" s="13" t="s">
        <v>2053</v>
      </c>
      <c r="V7">
        <f>COUNT(B2:B1001)</f>
        <v>1000</v>
      </c>
    </row>
    <row r="8" spans="1:22" x14ac:dyDescent="0.3">
      <c r="A8" s="4" t="s">
        <v>44</v>
      </c>
      <c r="B8" s="5">
        <v>45068</v>
      </c>
      <c r="C8" s="6" t="s">
        <v>45</v>
      </c>
      <c r="D8" s="6" t="s">
        <v>46</v>
      </c>
      <c r="E8" s="6">
        <v>18029</v>
      </c>
      <c r="F8" s="6">
        <v>9.5</v>
      </c>
      <c r="G8" s="6">
        <v>60</v>
      </c>
      <c r="H8" s="6" t="s">
        <v>19</v>
      </c>
      <c r="I8" s="6" t="s">
        <v>27</v>
      </c>
      <c r="J8" s="6" t="s">
        <v>47</v>
      </c>
      <c r="K8" s="6">
        <v>34994</v>
      </c>
      <c r="L8" s="6" t="s">
        <v>22</v>
      </c>
      <c r="M8" s="6">
        <v>0.4</v>
      </c>
      <c r="N8" s="6">
        <v>0.8</v>
      </c>
      <c r="O8" s="6">
        <v>19741.759999999998</v>
      </c>
      <c r="P8" s="6">
        <v>0</v>
      </c>
      <c r="Q8" s="6">
        <f t="shared" ca="1" si="2"/>
        <v>33</v>
      </c>
      <c r="R8" s="6">
        <f t="shared" si="0"/>
        <v>-1712.7599999999984</v>
      </c>
      <c r="S8" s="7" t="str">
        <f t="shared" si="1"/>
        <v>Loss</v>
      </c>
    </row>
    <row r="9" spans="1:22" x14ac:dyDescent="0.3">
      <c r="A9" s="4" t="s">
        <v>48</v>
      </c>
      <c r="B9" s="5">
        <v>44327</v>
      </c>
      <c r="C9" s="6" t="s">
        <v>49</v>
      </c>
      <c r="D9" s="6" t="s">
        <v>50</v>
      </c>
      <c r="E9" s="6">
        <v>30402</v>
      </c>
      <c r="F9" s="6">
        <v>22.8</v>
      </c>
      <c r="G9" s="6">
        <v>36</v>
      </c>
      <c r="H9" s="6" t="s">
        <v>26</v>
      </c>
      <c r="I9" s="6" t="s">
        <v>20</v>
      </c>
      <c r="J9" s="6" t="s">
        <v>21</v>
      </c>
      <c r="K9" s="6">
        <v>34234</v>
      </c>
      <c r="L9" s="6" t="s">
        <v>33</v>
      </c>
      <c r="M9" s="6">
        <v>0.41</v>
      </c>
      <c r="N9" s="6">
        <v>0.55000000000000004</v>
      </c>
      <c r="O9" s="6">
        <v>3813.31</v>
      </c>
      <c r="P9" s="6">
        <v>0</v>
      </c>
      <c r="Q9" s="6">
        <f t="shared" ca="1" si="2"/>
        <v>58</v>
      </c>
      <c r="R9" s="6">
        <f t="shared" si="0"/>
        <v>26588.69</v>
      </c>
      <c r="S9" s="7" t="str">
        <f t="shared" si="1"/>
        <v>Profit</v>
      </c>
    </row>
    <row r="10" spans="1:22" x14ac:dyDescent="0.3">
      <c r="A10" s="4" t="s">
        <v>51</v>
      </c>
      <c r="B10" s="5">
        <v>44966</v>
      </c>
      <c r="C10" s="6" t="s">
        <v>52</v>
      </c>
      <c r="D10" s="6" t="s">
        <v>53</v>
      </c>
      <c r="E10" s="6">
        <v>5263</v>
      </c>
      <c r="F10" s="6">
        <v>14</v>
      </c>
      <c r="G10" s="6">
        <v>36</v>
      </c>
      <c r="H10" s="6" t="s">
        <v>26</v>
      </c>
      <c r="I10" s="6" t="s">
        <v>27</v>
      </c>
      <c r="J10" s="6" t="s">
        <v>32</v>
      </c>
      <c r="K10" s="6">
        <v>99300</v>
      </c>
      <c r="L10" s="6" t="s">
        <v>33</v>
      </c>
      <c r="M10" s="6">
        <v>0.21</v>
      </c>
      <c r="N10" s="6">
        <v>0.68</v>
      </c>
      <c r="O10" s="6">
        <v>885.74</v>
      </c>
      <c r="P10" s="6">
        <v>0</v>
      </c>
      <c r="Q10" s="6">
        <f t="shared" ca="1" si="2"/>
        <v>37</v>
      </c>
      <c r="R10" s="6">
        <f t="shared" si="0"/>
        <v>4377.26</v>
      </c>
      <c r="S10" s="7" t="str">
        <f t="shared" si="1"/>
        <v>Profit</v>
      </c>
    </row>
    <row r="11" spans="1:22" x14ac:dyDescent="0.3">
      <c r="A11" s="4" t="s">
        <v>54</v>
      </c>
      <c r="B11" s="5">
        <v>44540</v>
      </c>
      <c r="C11" s="6" t="s">
        <v>55</v>
      </c>
      <c r="D11" s="6" t="s">
        <v>56</v>
      </c>
      <c r="E11" s="6">
        <v>31987</v>
      </c>
      <c r="F11" s="6">
        <v>22.6</v>
      </c>
      <c r="G11" s="6">
        <v>60</v>
      </c>
      <c r="H11" s="6" t="s">
        <v>26</v>
      </c>
      <c r="I11" s="6" t="s">
        <v>57</v>
      </c>
      <c r="J11" s="6" t="s">
        <v>21</v>
      </c>
      <c r="K11" s="6">
        <v>73949</v>
      </c>
      <c r="L11" s="6" t="s">
        <v>33</v>
      </c>
      <c r="M11" s="6">
        <v>0.18</v>
      </c>
      <c r="N11" s="6">
        <v>0.86</v>
      </c>
      <c r="O11" s="6">
        <v>2113.92</v>
      </c>
      <c r="P11" s="6">
        <v>0</v>
      </c>
      <c r="Q11" s="6">
        <f t="shared" ca="1" si="2"/>
        <v>51</v>
      </c>
      <c r="R11" s="6">
        <f t="shared" si="0"/>
        <v>29873.08</v>
      </c>
      <c r="S11" s="7" t="str">
        <f t="shared" si="1"/>
        <v>Profit</v>
      </c>
    </row>
    <row r="12" spans="1:22" x14ac:dyDescent="0.3">
      <c r="A12" s="4" t="s">
        <v>58</v>
      </c>
      <c r="B12" s="5">
        <v>45002</v>
      </c>
      <c r="C12" s="6" t="s">
        <v>59</v>
      </c>
      <c r="D12" s="6" t="s">
        <v>25</v>
      </c>
      <c r="E12" s="6">
        <v>9646</v>
      </c>
      <c r="F12" s="6">
        <v>7.1</v>
      </c>
      <c r="G12" s="6">
        <v>60</v>
      </c>
      <c r="H12" s="6" t="s">
        <v>2045</v>
      </c>
      <c r="I12" s="6" t="s">
        <v>27</v>
      </c>
      <c r="J12" s="6" t="s">
        <v>47</v>
      </c>
      <c r="K12" s="6">
        <v>67405</v>
      </c>
      <c r="L12" s="6" t="s">
        <v>33</v>
      </c>
      <c r="M12" s="6">
        <v>0.11</v>
      </c>
      <c r="N12" s="6">
        <v>0.6</v>
      </c>
      <c r="O12" s="6">
        <v>0</v>
      </c>
      <c r="P12" s="6">
        <v>0</v>
      </c>
      <c r="Q12" s="6">
        <f t="shared" ca="1" si="2"/>
        <v>36</v>
      </c>
      <c r="R12" s="6">
        <f t="shared" si="0"/>
        <v>9646</v>
      </c>
      <c r="S12" s="7" t="str">
        <f t="shared" si="1"/>
        <v>Profit</v>
      </c>
    </row>
    <row r="13" spans="1:22" x14ac:dyDescent="0.3">
      <c r="A13" s="4" t="s">
        <v>60</v>
      </c>
      <c r="B13" s="5">
        <v>44582</v>
      </c>
      <c r="C13" s="6" t="s">
        <v>61</v>
      </c>
      <c r="D13" s="6" t="s">
        <v>46</v>
      </c>
      <c r="E13" s="6">
        <v>28529</v>
      </c>
      <c r="F13" s="6">
        <v>24.8</v>
      </c>
      <c r="G13" s="6">
        <v>60</v>
      </c>
      <c r="H13" s="6" t="s">
        <v>19</v>
      </c>
      <c r="I13" s="6" t="s">
        <v>57</v>
      </c>
      <c r="J13" s="6" t="s">
        <v>32</v>
      </c>
      <c r="K13" s="6">
        <v>64872</v>
      </c>
      <c r="L13" s="6" t="s">
        <v>33</v>
      </c>
      <c r="M13" s="6">
        <v>0.37</v>
      </c>
      <c r="N13" s="6">
        <v>0.57999999999999996</v>
      </c>
      <c r="O13" s="6">
        <v>35604.19</v>
      </c>
      <c r="P13" s="6">
        <v>0</v>
      </c>
      <c r="Q13" s="6">
        <f t="shared" ca="1" si="2"/>
        <v>49</v>
      </c>
      <c r="R13" s="6">
        <f t="shared" si="0"/>
        <v>-7075.1900000000023</v>
      </c>
      <c r="S13" s="7" t="str">
        <f t="shared" si="1"/>
        <v>Loss</v>
      </c>
    </row>
    <row r="14" spans="1:22" x14ac:dyDescent="0.3">
      <c r="A14" s="4" t="s">
        <v>62</v>
      </c>
      <c r="B14" s="5">
        <v>45152</v>
      </c>
      <c r="C14" s="6" t="s">
        <v>63</v>
      </c>
      <c r="D14" s="6" t="s">
        <v>64</v>
      </c>
      <c r="E14" s="6">
        <v>12664</v>
      </c>
      <c r="F14" s="6">
        <v>13.9</v>
      </c>
      <c r="G14" s="6">
        <v>36</v>
      </c>
      <c r="H14" s="6" t="s">
        <v>19</v>
      </c>
      <c r="I14" s="6" t="s">
        <v>20</v>
      </c>
      <c r="J14" s="6" t="s">
        <v>32</v>
      </c>
      <c r="K14" s="6">
        <v>72215</v>
      </c>
      <c r="L14" s="6" t="s">
        <v>29</v>
      </c>
      <c r="M14" s="6">
        <v>0.13</v>
      </c>
      <c r="N14" s="6">
        <v>0.93</v>
      </c>
      <c r="O14" s="6">
        <v>14424.3</v>
      </c>
      <c r="P14" s="6">
        <v>0</v>
      </c>
      <c r="Q14" s="6">
        <f t="shared" ca="1" si="2"/>
        <v>31</v>
      </c>
      <c r="R14" s="6">
        <f t="shared" si="0"/>
        <v>-1760.2999999999993</v>
      </c>
      <c r="S14" s="7" t="str">
        <f t="shared" si="1"/>
        <v>Loss</v>
      </c>
    </row>
    <row r="15" spans="1:22" x14ac:dyDescent="0.3">
      <c r="A15" s="4" t="s">
        <v>65</v>
      </c>
      <c r="B15" s="5">
        <v>44473</v>
      </c>
      <c r="C15" s="6" t="s">
        <v>66</v>
      </c>
      <c r="D15" s="6" t="s">
        <v>46</v>
      </c>
      <c r="E15" s="6">
        <v>36737</v>
      </c>
      <c r="F15" s="6">
        <v>6</v>
      </c>
      <c r="G15" s="6">
        <v>60</v>
      </c>
      <c r="H15" s="6" t="s">
        <v>19</v>
      </c>
      <c r="I15" s="6" t="s">
        <v>57</v>
      </c>
      <c r="J15" s="6" t="s">
        <v>28</v>
      </c>
      <c r="K15" s="6">
        <v>53185</v>
      </c>
      <c r="L15" s="6" t="s">
        <v>33</v>
      </c>
      <c r="M15" s="6">
        <v>0.27</v>
      </c>
      <c r="N15" s="6">
        <v>0.59</v>
      </c>
      <c r="O15" s="6">
        <v>38941.22</v>
      </c>
      <c r="P15" s="6">
        <v>0</v>
      </c>
      <c r="Q15" s="6">
        <f t="shared" ca="1" si="2"/>
        <v>53</v>
      </c>
      <c r="R15" s="6">
        <f t="shared" si="0"/>
        <v>-2204.2200000000012</v>
      </c>
      <c r="S15" s="7" t="str">
        <f t="shared" si="1"/>
        <v>Loss</v>
      </c>
    </row>
    <row r="16" spans="1:22" x14ac:dyDescent="0.3">
      <c r="A16" s="4" t="s">
        <v>67</v>
      </c>
      <c r="B16" s="5">
        <v>44656</v>
      </c>
      <c r="C16" s="6" t="s">
        <v>68</v>
      </c>
      <c r="D16" s="6" t="s">
        <v>64</v>
      </c>
      <c r="E16" s="6">
        <v>36796</v>
      </c>
      <c r="F16" s="6">
        <v>5.8</v>
      </c>
      <c r="G16" s="6">
        <v>60</v>
      </c>
      <c r="H16" s="6" t="s">
        <v>26</v>
      </c>
      <c r="I16" s="6" t="s">
        <v>20</v>
      </c>
      <c r="J16" s="6" t="s">
        <v>21</v>
      </c>
      <c r="K16" s="6">
        <v>73442</v>
      </c>
      <c r="L16" s="6" t="s">
        <v>29</v>
      </c>
      <c r="M16" s="6">
        <v>0.34</v>
      </c>
      <c r="N16" s="6">
        <v>0.62</v>
      </c>
      <c r="O16" s="6">
        <v>13503.79</v>
      </c>
      <c r="P16" s="6">
        <v>0</v>
      </c>
      <c r="Q16" s="6">
        <f t="shared" ca="1" si="2"/>
        <v>47</v>
      </c>
      <c r="R16" s="6">
        <f t="shared" si="0"/>
        <v>23292.21</v>
      </c>
      <c r="S16" s="7" t="str">
        <f t="shared" si="1"/>
        <v>Profit</v>
      </c>
    </row>
    <row r="17" spans="1:19" x14ac:dyDescent="0.3">
      <c r="A17" s="4" t="s">
        <v>69</v>
      </c>
      <c r="B17" s="5">
        <v>44218</v>
      </c>
      <c r="C17" s="6" t="s">
        <v>70</v>
      </c>
      <c r="D17" s="6" t="s">
        <v>71</v>
      </c>
      <c r="E17" s="6">
        <v>25027</v>
      </c>
      <c r="F17" s="6">
        <v>19.899999999999999</v>
      </c>
      <c r="G17" s="6">
        <v>36</v>
      </c>
      <c r="H17" s="6" t="s">
        <v>19</v>
      </c>
      <c r="I17" s="6" t="s">
        <v>72</v>
      </c>
      <c r="J17" s="6" t="s">
        <v>21</v>
      </c>
      <c r="K17" s="6">
        <v>81759</v>
      </c>
      <c r="L17" s="6" t="s">
        <v>33</v>
      </c>
      <c r="M17" s="6">
        <v>0.47</v>
      </c>
      <c r="N17" s="6">
        <v>0.94</v>
      </c>
      <c r="O17" s="6">
        <v>30007.37</v>
      </c>
      <c r="P17" s="6">
        <v>0</v>
      </c>
      <c r="Q17" s="6">
        <f t="shared" ca="1" si="2"/>
        <v>61</v>
      </c>
      <c r="R17" s="6">
        <f t="shared" si="0"/>
        <v>-4980.369999999999</v>
      </c>
      <c r="S17" s="7" t="str">
        <f t="shared" si="1"/>
        <v>Loss</v>
      </c>
    </row>
    <row r="18" spans="1:19" x14ac:dyDescent="0.3">
      <c r="A18" s="4" t="s">
        <v>73</v>
      </c>
      <c r="B18" s="5">
        <v>44449</v>
      </c>
      <c r="C18" s="6" t="s">
        <v>74</v>
      </c>
      <c r="D18" s="6" t="s">
        <v>75</v>
      </c>
      <c r="E18" s="6">
        <v>30373</v>
      </c>
      <c r="F18" s="6">
        <v>18.2</v>
      </c>
      <c r="G18" s="6">
        <v>60</v>
      </c>
      <c r="H18" s="6" t="s">
        <v>26</v>
      </c>
      <c r="I18" s="6" t="s">
        <v>20</v>
      </c>
      <c r="J18" s="6" t="s">
        <v>28</v>
      </c>
      <c r="K18" s="6">
        <v>71153</v>
      </c>
      <c r="L18" s="6" t="s">
        <v>22</v>
      </c>
      <c r="M18" s="6">
        <v>0.22</v>
      </c>
      <c r="N18" s="6">
        <v>0.83</v>
      </c>
      <c r="O18" s="6">
        <v>8244.83</v>
      </c>
      <c r="P18" s="6">
        <v>0</v>
      </c>
      <c r="Q18" s="6">
        <f t="shared" ca="1" si="2"/>
        <v>54</v>
      </c>
      <c r="R18" s="6">
        <f t="shared" si="0"/>
        <v>22128.17</v>
      </c>
      <c r="S18" s="7" t="str">
        <f t="shared" si="1"/>
        <v>Profit</v>
      </c>
    </row>
    <row r="19" spans="1:19" x14ac:dyDescent="0.3">
      <c r="A19" s="4" t="s">
        <v>76</v>
      </c>
      <c r="B19" s="5">
        <v>44944</v>
      </c>
      <c r="C19" s="6" t="s">
        <v>77</v>
      </c>
      <c r="D19" s="6" t="s">
        <v>18</v>
      </c>
      <c r="E19" s="6">
        <v>37397</v>
      </c>
      <c r="F19" s="6">
        <v>21</v>
      </c>
      <c r="G19" s="6">
        <v>60</v>
      </c>
      <c r="H19" s="6" t="s">
        <v>19</v>
      </c>
      <c r="I19" s="6" t="s">
        <v>72</v>
      </c>
      <c r="J19" s="6" t="s">
        <v>37</v>
      </c>
      <c r="K19" s="6">
        <v>107535</v>
      </c>
      <c r="L19" s="6" t="s">
        <v>29</v>
      </c>
      <c r="M19" s="6">
        <v>0.2</v>
      </c>
      <c r="N19" s="6">
        <v>0.81</v>
      </c>
      <c r="O19" s="6">
        <v>45250.37</v>
      </c>
      <c r="P19" s="6">
        <v>0</v>
      </c>
      <c r="Q19" s="6">
        <f t="shared" ca="1" si="2"/>
        <v>38</v>
      </c>
      <c r="R19" s="6">
        <f t="shared" si="0"/>
        <v>-7853.3700000000026</v>
      </c>
      <c r="S19" s="7" t="str">
        <f t="shared" si="1"/>
        <v>Loss</v>
      </c>
    </row>
    <row r="20" spans="1:19" x14ac:dyDescent="0.3">
      <c r="A20" s="4" t="s">
        <v>78</v>
      </c>
      <c r="B20" s="5">
        <v>45053</v>
      </c>
      <c r="C20" s="6" t="s">
        <v>79</v>
      </c>
      <c r="D20" s="6" t="s">
        <v>75</v>
      </c>
      <c r="E20" s="6">
        <v>21609</v>
      </c>
      <c r="F20" s="6">
        <v>7.1</v>
      </c>
      <c r="G20" s="6">
        <v>60</v>
      </c>
      <c r="H20" s="6" t="s">
        <v>80</v>
      </c>
      <c r="I20" s="6" t="s">
        <v>36</v>
      </c>
      <c r="J20" s="6" t="s">
        <v>47</v>
      </c>
      <c r="K20" s="6">
        <v>132023</v>
      </c>
      <c r="L20" s="6" t="s">
        <v>22</v>
      </c>
      <c r="M20" s="6">
        <v>0.36</v>
      </c>
      <c r="N20" s="6">
        <v>0.88</v>
      </c>
      <c r="O20" s="6">
        <v>2771.85</v>
      </c>
      <c r="P20" s="6">
        <v>10111.4</v>
      </c>
      <c r="Q20" s="6">
        <f t="shared" ca="1" si="2"/>
        <v>34</v>
      </c>
      <c r="R20" s="6">
        <f t="shared" si="0"/>
        <v>18837.150000000001</v>
      </c>
      <c r="S20" s="7" t="str">
        <f t="shared" si="1"/>
        <v>Profit</v>
      </c>
    </row>
    <row r="21" spans="1:19" x14ac:dyDescent="0.3">
      <c r="A21" s="4" t="s">
        <v>81</v>
      </c>
      <c r="B21" s="5">
        <v>44671</v>
      </c>
      <c r="C21" s="6" t="s">
        <v>82</v>
      </c>
      <c r="D21" s="6" t="s">
        <v>46</v>
      </c>
      <c r="E21" s="6">
        <v>36835</v>
      </c>
      <c r="F21" s="6">
        <v>5.7</v>
      </c>
      <c r="G21" s="6">
        <v>60</v>
      </c>
      <c r="H21" s="6" t="s">
        <v>80</v>
      </c>
      <c r="I21" s="6" t="s">
        <v>83</v>
      </c>
      <c r="J21" s="6" t="s">
        <v>21</v>
      </c>
      <c r="K21" s="6">
        <v>32581</v>
      </c>
      <c r="L21" s="6" t="s">
        <v>33</v>
      </c>
      <c r="M21" s="6">
        <v>0.35</v>
      </c>
      <c r="N21" s="6">
        <v>0.55000000000000004</v>
      </c>
      <c r="O21" s="6">
        <v>5580.8</v>
      </c>
      <c r="P21" s="6">
        <v>9880.57</v>
      </c>
      <c r="Q21" s="6">
        <f t="shared" ca="1" si="2"/>
        <v>47</v>
      </c>
      <c r="R21" s="6">
        <f t="shared" si="0"/>
        <v>31254.2</v>
      </c>
      <c r="S21" s="7" t="str">
        <f t="shared" si="1"/>
        <v>Profit</v>
      </c>
    </row>
    <row r="22" spans="1:19" x14ac:dyDescent="0.3">
      <c r="A22" s="4" t="s">
        <v>84</v>
      </c>
      <c r="B22" s="5">
        <v>45279</v>
      </c>
      <c r="C22" s="6" t="s">
        <v>85</v>
      </c>
      <c r="D22" s="6" t="s">
        <v>75</v>
      </c>
      <c r="E22" s="6">
        <v>39709</v>
      </c>
      <c r="F22" s="6">
        <v>15.2</v>
      </c>
      <c r="G22" s="6">
        <v>36</v>
      </c>
      <c r="H22" s="6" t="s">
        <v>19</v>
      </c>
      <c r="I22" s="6" t="s">
        <v>36</v>
      </c>
      <c r="J22" s="6" t="s">
        <v>28</v>
      </c>
      <c r="K22" s="6">
        <v>81717</v>
      </c>
      <c r="L22" s="6" t="s">
        <v>33</v>
      </c>
      <c r="M22" s="6">
        <v>0.23</v>
      </c>
      <c r="N22" s="6">
        <v>0.82</v>
      </c>
      <c r="O22" s="6">
        <v>45744.77</v>
      </c>
      <c r="P22" s="6">
        <v>0</v>
      </c>
      <c r="Q22" s="6">
        <f t="shared" ca="1" si="2"/>
        <v>27</v>
      </c>
      <c r="R22" s="6">
        <f t="shared" si="0"/>
        <v>-6035.7699999999968</v>
      </c>
      <c r="S22" s="7" t="str">
        <f t="shared" si="1"/>
        <v>Loss</v>
      </c>
    </row>
    <row r="23" spans="1:19" x14ac:dyDescent="0.3">
      <c r="A23" s="4" t="s">
        <v>86</v>
      </c>
      <c r="B23" s="5">
        <v>44707</v>
      </c>
      <c r="C23" s="6" t="s">
        <v>87</v>
      </c>
      <c r="D23" s="6" t="s">
        <v>56</v>
      </c>
      <c r="E23" s="6">
        <v>20250</v>
      </c>
      <c r="F23" s="6">
        <v>12.8</v>
      </c>
      <c r="G23" s="6">
        <v>60</v>
      </c>
      <c r="H23" s="6" t="s">
        <v>19</v>
      </c>
      <c r="I23" s="6" t="s">
        <v>36</v>
      </c>
      <c r="J23" s="6" t="s">
        <v>32</v>
      </c>
      <c r="K23" s="6">
        <v>32763</v>
      </c>
      <c r="L23" s="6" t="s">
        <v>22</v>
      </c>
      <c r="M23" s="6">
        <v>0.47</v>
      </c>
      <c r="N23" s="6">
        <v>0.73</v>
      </c>
      <c r="O23" s="6">
        <v>22842</v>
      </c>
      <c r="P23" s="6">
        <v>0</v>
      </c>
      <c r="Q23" s="6">
        <f t="shared" ca="1" si="2"/>
        <v>45</v>
      </c>
      <c r="R23" s="6">
        <f t="shared" si="0"/>
        <v>-2592</v>
      </c>
      <c r="S23" s="7" t="str">
        <f t="shared" si="1"/>
        <v>Loss</v>
      </c>
    </row>
    <row r="24" spans="1:19" x14ac:dyDescent="0.3">
      <c r="A24" s="4" t="s">
        <v>88</v>
      </c>
      <c r="B24" s="5">
        <v>44896</v>
      </c>
      <c r="C24" s="6" t="s">
        <v>89</v>
      </c>
      <c r="D24" s="6" t="s">
        <v>71</v>
      </c>
      <c r="E24" s="6">
        <v>22172</v>
      </c>
      <c r="F24" s="6">
        <v>14.2</v>
      </c>
      <c r="G24" s="6">
        <v>60</v>
      </c>
      <c r="H24" s="6" t="s">
        <v>26</v>
      </c>
      <c r="I24" s="6" t="s">
        <v>20</v>
      </c>
      <c r="J24" s="6" t="s">
        <v>28</v>
      </c>
      <c r="K24" s="6">
        <v>122910</v>
      </c>
      <c r="L24" s="6" t="s">
        <v>33</v>
      </c>
      <c r="M24" s="6">
        <v>0.44</v>
      </c>
      <c r="N24" s="6">
        <v>0.87</v>
      </c>
      <c r="O24" s="6">
        <v>2131.63</v>
      </c>
      <c r="P24" s="6">
        <v>0</v>
      </c>
      <c r="Q24" s="6">
        <f t="shared" ca="1" si="2"/>
        <v>39</v>
      </c>
      <c r="R24" s="6">
        <f t="shared" si="0"/>
        <v>20040.37</v>
      </c>
      <c r="S24" s="7" t="str">
        <f t="shared" si="1"/>
        <v>Profit</v>
      </c>
    </row>
    <row r="25" spans="1:19" x14ac:dyDescent="0.3">
      <c r="A25" s="4" t="s">
        <v>90</v>
      </c>
      <c r="B25" s="5">
        <v>45172</v>
      </c>
      <c r="C25" s="6" t="s">
        <v>91</v>
      </c>
      <c r="D25" s="6" t="s">
        <v>53</v>
      </c>
      <c r="E25" s="6">
        <v>12555</v>
      </c>
      <c r="F25" s="6">
        <v>24.8</v>
      </c>
      <c r="G25" s="6">
        <v>36</v>
      </c>
      <c r="H25" s="6" t="s">
        <v>19</v>
      </c>
      <c r="I25" s="6" t="s">
        <v>20</v>
      </c>
      <c r="J25" s="6" t="s">
        <v>37</v>
      </c>
      <c r="K25" s="6">
        <v>85480</v>
      </c>
      <c r="L25" s="6" t="s">
        <v>22</v>
      </c>
      <c r="M25" s="6">
        <v>0.19</v>
      </c>
      <c r="N25" s="6">
        <v>0.73</v>
      </c>
      <c r="O25" s="6">
        <v>15668.64</v>
      </c>
      <c r="P25" s="6">
        <v>0</v>
      </c>
      <c r="Q25" s="6">
        <f t="shared" ca="1" si="2"/>
        <v>30</v>
      </c>
      <c r="R25" s="6">
        <f t="shared" si="0"/>
        <v>-3113.6399999999994</v>
      </c>
      <c r="S25" s="7" t="str">
        <f t="shared" si="1"/>
        <v>Loss</v>
      </c>
    </row>
    <row r="26" spans="1:19" x14ac:dyDescent="0.3">
      <c r="A26" s="4" t="s">
        <v>92</v>
      </c>
      <c r="B26" s="5">
        <v>44386</v>
      </c>
      <c r="C26" s="6" t="s">
        <v>93</v>
      </c>
      <c r="D26" s="6" t="s">
        <v>71</v>
      </c>
      <c r="E26" s="6">
        <v>22874</v>
      </c>
      <c r="F26" s="6">
        <v>24.4</v>
      </c>
      <c r="G26" s="6">
        <v>60</v>
      </c>
      <c r="H26" s="6" t="s">
        <v>19</v>
      </c>
      <c r="I26" s="6" t="s">
        <v>72</v>
      </c>
      <c r="J26" s="6" t="s">
        <v>47</v>
      </c>
      <c r="K26" s="6">
        <v>68759</v>
      </c>
      <c r="L26" s="6" t="s">
        <v>33</v>
      </c>
      <c r="M26" s="6">
        <v>0.2</v>
      </c>
      <c r="N26" s="6">
        <v>0.78</v>
      </c>
      <c r="O26" s="6">
        <v>28455.26</v>
      </c>
      <c r="P26" s="6">
        <v>0</v>
      </c>
      <c r="Q26" s="6">
        <f t="shared" ca="1" si="2"/>
        <v>56</v>
      </c>
      <c r="R26" s="6">
        <f t="shared" si="0"/>
        <v>-5581.2599999999984</v>
      </c>
      <c r="S26" s="7" t="str">
        <f t="shared" si="1"/>
        <v>Loss</v>
      </c>
    </row>
    <row r="27" spans="1:19" x14ac:dyDescent="0.3">
      <c r="A27" s="4" t="s">
        <v>94</v>
      </c>
      <c r="B27" s="5">
        <v>45154</v>
      </c>
      <c r="C27" s="6" t="s">
        <v>95</v>
      </c>
      <c r="D27" s="6" t="s">
        <v>25</v>
      </c>
      <c r="E27" s="6">
        <v>14081</v>
      </c>
      <c r="F27" s="6">
        <v>23.8</v>
      </c>
      <c r="G27" s="6">
        <v>36</v>
      </c>
      <c r="H27" s="6" t="s">
        <v>26</v>
      </c>
      <c r="I27" s="6" t="s">
        <v>36</v>
      </c>
      <c r="J27" s="6" t="s">
        <v>37</v>
      </c>
      <c r="K27" s="6">
        <v>106067</v>
      </c>
      <c r="L27" s="6" t="s">
        <v>33</v>
      </c>
      <c r="M27" s="6">
        <v>0.3</v>
      </c>
      <c r="N27" s="6">
        <v>0.71</v>
      </c>
      <c r="O27" s="6">
        <v>4585.71</v>
      </c>
      <c r="P27" s="6">
        <v>0</v>
      </c>
      <c r="Q27" s="6">
        <f t="shared" ca="1" si="2"/>
        <v>31</v>
      </c>
      <c r="R27" s="6">
        <f t="shared" si="0"/>
        <v>9495.2900000000009</v>
      </c>
      <c r="S27" s="7" t="str">
        <f t="shared" si="1"/>
        <v>Profit</v>
      </c>
    </row>
    <row r="28" spans="1:19" x14ac:dyDescent="0.3">
      <c r="A28" s="4" t="s">
        <v>96</v>
      </c>
      <c r="B28" s="5">
        <v>44883</v>
      </c>
      <c r="C28" s="6" t="s">
        <v>97</v>
      </c>
      <c r="D28" s="6" t="s">
        <v>56</v>
      </c>
      <c r="E28" s="6">
        <v>25063</v>
      </c>
      <c r="F28" s="6">
        <v>20.7</v>
      </c>
      <c r="G28" s="6">
        <v>36</v>
      </c>
      <c r="H28" s="6" t="s">
        <v>19</v>
      </c>
      <c r="I28" s="6" t="s">
        <v>41</v>
      </c>
      <c r="J28" s="6" t="s">
        <v>32</v>
      </c>
      <c r="K28" s="6">
        <v>148094</v>
      </c>
      <c r="L28" s="6" t="s">
        <v>29</v>
      </c>
      <c r="M28" s="6">
        <v>0.41</v>
      </c>
      <c r="N28" s="6">
        <v>0.72</v>
      </c>
      <c r="O28" s="6">
        <v>30251.040000000001</v>
      </c>
      <c r="P28" s="6">
        <v>0</v>
      </c>
      <c r="Q28" s="6">
        <f t="shared" ca="1" si="2"/>
        <v>40</v>
      </c>
      <c r="R28" s="6">
        <f t="shared" si="0"/>
        <v>-5188.0400000000009</v>
      </c>
      <c r="S28" s="7" t="str">
        <f t="shared" si="1"/>
        <v>Loss</v>
      </c>
    </row>
    <row r="29" spans="1:19" x14ac:dyDescent="0.3">
      <c r="A29" s="4" t="s">
        <v>98</v>
      </c>
      <c r="B29" s="5">
        <v>45154</v>
      </c>
      <c r="C29" s="6" t="s">
        <v>99</v>
      </c>
      <c r="D29" s="6" t="s">
        <v>75</v>
      </c>
      <c r="E29" s="6">
        <v>7819</v>
      </c>
      <c r="F29" s="6">
        <v>12.1</v>
      </c>
      <c r="G29" s="6">
        <v>36</v>
      </c>
      <c r="H29" s="6" t="s">
        <v>26</v>
      </c>
      <c r="I29" s="6" t="s">
        <v>20</v>
      </c>
      <c r="J29" s="6" t="s">
        <v>32</v>
      </c>
      <c r="K29" s="6">
        <v>55307</v>
      </c>
      <c r="L29" s="6" t="s">
        <v>22</v>
      </c>
      <c r="M29" s="6">
        <v>0.12</v>
      </c>
      <c r="N29" s="6">
        <v>0.85</v>
      </c>
      <c r="O29" s="6">
        <v>722.43</v>
      </c>
      <c r="P29" s="6">
        <v>0</v>
      </c>
      <c r="Q29" s="6">
        <f t="shared" ca="1" si="2"/>
        <v>31</v>
      </c>
      <c r="R29" s="6">
        <f t="shared" si="0"/>
        <v>7096.57</v>
      </c>
      <c r="S29" s="7" t="str">
        <f t="shared" si="1"/>
        <v>Profit</v>
      </c>
    </row>
    <row r="30" spans="1:19" x14ac:dyDescent="0.3">
      <c r="A30" s="4" t="s">
        <v>100</v>
      </c>
      <c r="B30" s="5">
        <v>44759</v>
      </c>
      <c r="C30" s="6" t="s">
        <v>101</v>
      </c>
      <c r="D30" s="6" t="s">
        <v>53</v>
      </c>
      <c r="E30" s="6">
        <v>26712</v>
      </c>
      <c r="F30" s="6">
        <v>13.2</v>
      </c>
      <c r="G30" s="6">
        <v>60</v>
      </c>
      <c r="H30" s="6" t="s">
        <v>26</v>
      </c>
      <c r="I30" s="6" t="s">
        <v>57</v>
      </c>
      <c r="J30" s="6" t="s">
        <v>32</v>
      </c>
      <c r="K30" s="6">
        <v>126371</v>
      </c>
      <c r="L30" s="6" t="s">
        <v>33</v>
      </c>
      <c r="M30" s="6">
        <v>0.38</v>
      </c>
      <c r="N30" s="6">
        <v>0.78</v>
      </c>
      <c r="O30" s="6">
        <v>10402.379999999999</v>
      </c>
      <c r="P30" s="6">
        <v>0</v>
      </c>
      <c r="Q30" s="6">
        <f t="shared" ca="1" si="2"/>
        <v>44</v>
      </c>
      <c r="R30" s="6">
        <f t="shared" si="0"/>
        <v>16309.62</v>
      </c>
      <c r="S30" s="7" t="str">
        <f t="shared" si="1"/>
        <v>Profit</v>
      </c>
    </row>
    <row r="31" spans="1:19" x14ac:dyDescent="0.3">
      <c r="A31" s="4" t="s">
        <v>102</v>
      </c>
      <c r="B31" s="5">
        <v>45028</v>
      </c>
      <c r="C31" s="6" t="s">
        <v>103</v>
      </c>
      <c r="D31" s="6" t="s">
        <v>75</v>
      </c>
      <c r="E31" s="6">
        <v>25762</v>
      </c>
      <c r="F31" s="6">
        <v>16</v>
      </c>
      <c r="G31" s="6">
        <v>36</v>
      </c>
      <c r="H31" s="6" t="s">
        <v>19</v>
      </c>
      <c r="I31" s="6" t="s">
        <v>20</v>
      </c>
      <c r="J31" s="6" t="s">
        <v>32</v>
      </c>
      <c r="K31" s="6">
        <v>41064</v>
      </c>
      <c r="L31" s="6" t="s">
        <v>22</v>
      </c>
      <c r="M31" s="6">
        <v>0.36</v>
      </c>
      <c r="N31" s="6">
        <v>0.78</v>
      </c>
      <c r="O31" s="6">
        <v>29883.919999999998</v>
      </c>
      <c r="P31" s="6">
        <v>0</v>
      </c>
      <c r="Q31" s="6">
        <f t="shared" ca="1" si="2"/>
        <v>35</v>
      </c>
      <c r="R31" s="6">
        <f t="shared" si="0"/>
        <v>-4121.9199999999983</v>
      </c>
      <c r="S31" s="7" t="str">
        <f t="shared" si="1"/>
        <v>Loss</v>
      </c>
    </row>
    <row r="32" spans="1:19" x14ac:dyDescent="0.3">
      <c r="A32" s="4" t="s">
        <v>104</v>
      </c>
      <c r="B32" s="5">
        <v>44843</v>
      </c>
      <c r="C32" s="6" t="s">
        <v>105</v>
      </c>
      <c r="D32" s="6" t="s">
        <v>50</v>
      </c>
      <c r="E32" s="6">
        <v>12046</v>
      </c>
      <c r="F32" s="6">
        <v>21.6</v>
      </c>
      <c r="G32" s="6">
        <v>36</v>
      </c>
      <c r="H32" s="6" t="s">
        <v>19</v>
      </c>
      <c r="I32" s="6" t="s">
        <v>27</v>
      </c>
      <c r="J32" s="6" t="s">
        <v>28</v>
      </c>
      <c r="K32" s="6">
        <v>106848</v>
      </c>
      <c r="L32" s="6" t="s">
        <v>29</v>
      </c>
      <c r="M32" s="6">
        <v>0.19</v>
      </c>
      <c r="N32" s="6">
        <v>0.7</v>
      </c>
      <c r="O32" s="6">
        <v>14647.94</v>
      </c>
      <c r="P32" s="6">
        <v>0</v>
      </c>
      <c r="Q32" s="6">
        <f t="shared" ca="1" si="2"/>
        <v>41</v>
      </c>
      <c r="R32" s="6">
        <f t="shared" si="0"/>
        <v>-2601.9400000000005</v>
      </c>
      <c r="S32" s="7" t="str">
        <f t="shared" si="1"/>
        <v>Loss</v>
      </c>
    </row>
    <row r="33" spans="1:19" x14ac:dyDescent="0.3">
      <c r="A33" s="4" t="s">
        <v>106</v>
      </c>
      <c r="B33" s="5">
        <v>44217</v>
      </c>
      <c r="C33" s="6" t="s">
        <v>107</v>
      </c>
      <c r="D33" s="6" t="s">
        <v>50</v>
      </c>
      <c r="E33" s="6">
        <v>32463</v>
      </c>
      <c r="F33" s="6">
        <v>6.4</v>
      </c>
      <c r="G33" s="6">
        <v>36</v>
      </c>
      <c r="H33" s="6" t="s">
        <v>19</v>
      </c>
      <c r="I33" s="6" t="s">
        <v>27</v>
      </c>
      <c r="J33" s="6" t="s">
        <v>32</v>
      </c>
      <c r="K33" s="6">
        <v>67548</v>
      </c>
      <c r="L33" s="6" t="s">
        <v>22</v>
      </c>
      <c r="M33" s="6">
        <v>0.37</v>
      </c>
      <c r="N33" s="6">
        <v>0.74</v>
      </c>
      <c r="O33" s="6">
        <v>34540.629999999997</v>
      </c>
      <c r="P33" s="6">
        <v>0</v>
      </c>
      <c r="Q33" s="6">
        <f t="shared" ca="1" si="2"/>
        <v>61</v>
      </c>
      <c r="R33" s="6">
        <f t="shared" si="0"/>
        <v>-2077.6299999999974</v>
      </c>
      <c r="S33" s="7" t="str">
        <f t="shared" si="1"/>
        <v>Loss</v>
      </c>
    </row>
    <row r="34" spans="1:19" x14ac:dyDescent="0.3">
      <c r="A34" s="4" t="s">
        <v>108</v>
      </c>
      <c r="B34" s="5">
        <v>45037</v>
      </c>
      <c r="C34" s="6" t="s">
        <v>109</v>
      </c>
      <c r="D34" s="6" t="s">
        <v>40</v>
      </c>
      <c r="E34" s="6">
        <v>29769</v>
      </c>
      <c r="F34" s="6">
        <v>13.5</v>
      </c>
      <c r="G34" s="6">
        <v>60</v>
      </c>
      <c r="H34" s="6" t="s">
        <v>26</v>
      </c>
      <c r="I34" s="6" t="s">
        <v>20</v>
      </c>
      <c r="J34" s="6" t="s">
        <v>32</v>
      </c>
      <c r="K34" s="6">
        <v>66945</v>
      </c>
      <c r="L34" s="6" t="s">
        <v>29</v>
      </c>
      <c r="M34" s="6">
        <v>0.48</v>
      </c>
      <c r="N34" s="6">
        <v>0.84</v>
      </c>
      <c r="O34" s="6">
        <v>1763.22</v>
      </c>
      <c r="P34" s="6">
        <v>0</v>
      </c>
      <c r="Q34" s="6">
        <f t="shared" ca="1" si="2"/>
        <v>34</v>
      </c>
      <c r="R34" s="6">
        <f t="shared" si="0"/>
        <v>28005.78</v>
      </c>
      <c r="S34" s="7" t="str">
        <f t="shared" si="1"/>
        <v>Profit</v>
      </c>
    </row>
    <row r="35" spans="1:19" x14ac:dyDescent="0.3">
      <c r="A35" s="4" t="s">
        <v>110</v>
      </c>
      <c r="B35" s="5">
        <v>44363</v>
      </c>
      <c r="C35" s="6" t="s">
        <v>111</v>
      </c>
      <c r="D35" s="6" t="s">
        <v>71</v>
      </c>
      <c r="E35" s="6">
        <v>24150</v>
      </c>
      <c r="F35" s="6">
        <v>6.7</v>
      </c>
      <c r="G35" s="6">
        <v>60</v>
      </c>
      <c r="H35" s="6" t="s">
        <v>19</v>
      </c>
      <c r="I35" s="6" t="s">
        <v>72</v>
      </c>
      <c r="J35" s="6" t="s">
        <v>28</v>
      </c>
      <c r="K35" s="6">
        <v>77937</v>
      </c>
      <c r="L35" s="6" t="s">
        <v>22</v>
      </c>
      <c r="M35" s="6">
        <v>0.12</v>
      </c>
      <c r="N35" s="6">
        <v>0.87</v>
      </c>
      <c r="O35" s="6">
        <v>25768.05</v>
      </c>
      <c r="P35" s="6">
        <v>0</v>
      </c>
      <c r="Q35" s="6">
        <f t="shared" ca="1" si="2"/>
        <v>57</v>
      </c>
      <c r="R35" s="6">
        <f t="shared" si="0"/>
        <v>-1618.0499999999993</v>
      </c>
      <c r="S35" s="7" t="str">
        <f t="shared" si="1"/>
        <v>Loss</v>
      </c>
    </row>
    <row r="36" spans="1:19" x14ac:dyDescent="0.3">
      <c r="A36" s="4" t="s">
        <v>112</v>
      </c>
      <c r="B36" s="5">
        <v>44584</v>
      </c>
      <c r="C36" s="6" t="s">
        <v>113</v>
      </c>
      <c r="D36" s="6" t="s">
        <v>53</v>
      </c>
      <c r="E36" s="6">
        <v>3711</v>
      </c>
      <c r="F36" s="6">
        <v>15.3</v>
      </c>
      <c r="G36" s="6">
        <v>60</v>
      </c>
      <c r="H36" s="6" t="s">
        <v>80</v>
      </c>
      <c r="I36" s="6" t="s">
        <v>27</v>
      </c>
      <c r="J36" s="6" t="s">
        <v>32</v>
      </c>
      <c r="K36" s="6">
        <v>36476</v>
      </c>
      <c r="L36" s="6" t="s">
        <v>22</v>
      </c>
      <c r="M36" s="6">
        <v>0.23</v>
      </c>
      <c r="N36" s="6">
        <v>0.81</v>
      </c>
      <c r="O36" s="6">
        <v>648.73</v>
      </c>
      <c r="P36" s="6">
        <v>938.22</v>
      </c>
      <c r="Q36" s="6">
        <f t="shared" ca="1" si="2"/>
        <v>49</v>
      </c>
      <c r="R36" s="6">
        <f t="shared" si="0"/>
        <v>3062.27</v>
      </c>
      <c r="S36" s="7" t="str">
        <f t="shared" si="1"/>
        <v>Profit</v>
      </c>
    </row>
    <row r="37" spans="1:19" x14ac:dyDescent="0.3">
      <c r="A37" s="4" t="s">
        <v>114</v>
      </c>
      <c r="B37" s="5">
        <v>44797</v>
      </c>
      <c r="C37" s="6" t="s">
        <v>115</v>
      </c>
      <c r="D37" s="6" t="s">
        <v>50</v>
      </c>
      <c r="E37" s="6">
        <v>5853</v>
      </c>
      <c r="F37" s="6">
        <v>23</v>
      </c>
      <c r="G37" s="6">
        <v>60</v>
      </c>
      <c r="H37" s="6" t="s">
        <v>19</v>
      </c>
      <c r="I37" s="6" t="s">
        <v>27</v>
      </c>
      <c r="J37" s="6" t="s">
        <v>37</v>
      </c>
      <c r="K37" s="6">
        <v>81756</v>
      </c>
      <c r="L37" s="6" t="s">
        <v>29</v>
      </c>
      <c r="M37" s="6">
        <v>0.28000000000000003</v>
      </c>
      <c r="N37" s="6">
        <v>0.92</v>
      </c>
      <c r="O37" s="6">
        <v>7199.19</v>
      </c>
      <c r="P37" s="6">
        <v>0</v>
      </c>
      <c r="Q37" s="6">
        <f t="shared" ca="1" si="2"/>
        <v>42</v>
      </c>
      <c r="R37" s="6">
        <f t="shared" si="0"/>
        <v>-1346.1899999999996</v>
      </c>
      <c r="S37" s="7" t="str">
        <f t="shared" si="1"/>
        <v>Loss</v>
      </c>
    </row>
    <row r="38" spans="1:19" x14ac:dyDescent="0.3">
      <c r="A38" s="4" t="s">
        <v>116</v>
      </c>
      <c r="B38" s="5">
        <v>44512</v>
      </c>
      <c r="C38" s="6" t="s">
        <v>117</v>
      </c>
      <c r="D38" s="6" t="s">
        <v>40</v>
      </c>
      <c r="E38" s="6">
        <v>30077</v>
      </c>
      <c r="F38" s="6">
        <v>20.6</v>
      </c>
      <c r="G38" s="6">
        <v>60</v>
      </c>
      <c r="H38" s="6" t="s">
        <v>19</v>
      </c>
      <c r="I38" s="6" t="s">
        <v>20</v>
      </c>
      <c r="J38" s="6" t="s">
        <v>37</v>
      </c>
      <c r="K38" s="6">
        <v>120101</v>
      </c>
      <c r="L38" s="6" t="s">
        <v>33</v>
      </c>
      <c r="M38" s="6">
        <v>0.46</v>
      </c>
      <c r="N38" s="6">
        <v>0.87</v>
      </c>
      <c r="O38" s="6">
        <v>36272.86</v>
      </c>
      <c r="P38" s="6">
        <v>0</v>
      </c>
      <c r="Q38" s="6">
        <f t="shared" ca="1" si="2"/>
        <v>52</v>
      </c>
      <c r="R38" s="6">
        <f t="shared" si="0"/>
        <v>-6195.8600000000006</v>
      </c>
      <c r="S38" s="7" t="str">
        <f t="shared" si="1"/>
        <v>Loss</v>
      </c>
    </row>
    <row r="39" spans="1:19" x14ac:dyDescent="0.3">
      <c r="A39" s="4" t="s">
        <v>118</v>
      </c>
      <c r="B39" s="5">
        <v>44210</v>
      </c>
      <c r="C39" s="6" t="s">
        <v>119</v>
      </c>
      <c r="D39" s="6" t="s">
        <v>56</v>
      </c>
      <c r="E39" s="6">
        <v>24863</v>
      </c>
      <c r="F39" s="6">
        <v>9.6</v>
      </c>
      <c r="G39" s="6">
        <v>60</v>
      </c>
      <c r="H39" s="6" t="s">
        <v>19</v>
      </c>
      <c r="I39" s="6" t="s">
        <v>36</v>
      </c>
      <c r="J39" s="6" t="s">
        <v>21</v>
      </c>
      <c r="K39" s="6">
        <v>32382</v>
      </c>
      <c r="L39" s="6" t="s">
        <v>33</v>
      </c>
      <c r="M39" s="6">
        <v>0.48</v>
      </c>
      <c r="N39" s="6">
        <v>0.75</v>
      </c>
      <c r="O39" s="6">
        <v>27249.85</v>
      </c>
      <c r="P39" s="6">
        <v>0</v>
      </c>
      <c r="Q39" s="6">
        <f t="shared" ca="1" si="2"/>
        <v>62</v>
      </c>
      <c r="R39" s="6">
        <f t="shared" si="0"/>
        <v>-2386.8499999999985</v>
      </c>
      <c r="S39" s="7" t="str">
        <f t="shared" si="1"/>
        <v>Loss</v>
      </c>
    </row>
    <row r="40" spans="1:19" x14ac:dyDescent="0.3">
      <c r="A40" s="4" t="s">
        <v>120</v>
      </c>
      <c r="B40" s="5">
        <v>44438</v>
      </c>
      <c r="C40" s="6" t="s">
        <v>121</v>
      </c>
      <c r="D40" s="6" t="s">
        <v>53</v>
      </c>
      <c r="E40" s="6">
        <v>22792</v>
      </c>
      <c r="F40" s="6">
        <v>24.5</v>
      </c>
      <c r="G40" s="6">
        <v>60</v>
      </c>
      <c r="H40" s="6" t="s">
        <v>19</v>
      </c>
      <c r="I40" s="6" t="s">
        <v>72</v>
      </c>
      <c r="J40" s="6" t="s">
        <v>37</v>
      </c>
      <c r="K40" s="6">
        <v>79683</v>
      </c>
      <c r="L40" s="6" t="s">
        <v>33</v>
      </c>
      <c r="M40" s="6">
        <v>0.28000000000000003</v>
      </c>
      <c r="N40" s="6">
        <v>0.8</v>
      </c>
      <c r="O40" s="6">
        <v>28376.04</v>
      </c>
      <c r="P40" s="6">
        <v>0</v>
      </c>
      <c r="Q40" s="6">
        <f t="shared" ca="1" si="2"/>
        <v>54</v>
      </c>
      <c r="R40" s="6">
        <f t="shared" si="0"/>
        <v>-5584.0400000000009</v>
      </c>
      <c r="S40" s="7" t="str">
        <f t="shared" si="1"/>
        <v>Loss</v>
      </c>
    </row>
    <row r="41" spans="1:19" x14ac:dyDescent="0.3">
      <c r="A41" s="4" t="s">
        <v>122</v>
      </c>
      <c r="B41" s="5">
        <v>44973</v>
      </c>
      <c r="C41" s="6" t="s">
        <v>123</v>
      </c>
      <c r="D41" s="6" t="s">
        <v>40</v>
      </c>
      <c r="E41" s="6">
        <v>9942</v>
      </c>
      <c r="F41" s="6">
        <v>18.3</v>
      </c>
      <c r="G41" s="6">
        <v>36</v>
      </c>
      <c r="H41" s="6" t="s">
        <v>19</v>
      </c>
      <c r="I41" s="6" t="s">
        <v>83</v>
      </c>
      <c r="J41" s="6" t="s">
        <v>47</v>
      </c>
      <c r="K41" s="6">
        <v>117999</v>
      </c>
      <c r="L41" s="6" t="s">
        <v>22</v>
      </c>
      <c r="M41" s="6">
        <v>0.4</v>
      </c>
      <c r="N41" s="6">
        <v>0.92</v>
      </c>
      <c r="O41" s="6">
        <v>11761.39</v>
      </c>
      <c r="P41" s="6">
        <v>0</v>
      </c>
      <c r="Q41" s="6">
        <f t="shared" ca="1" si="2"/>
        <v>37</v>
      </c>
      <c r="R41" s="6">
        <f t="shared" si="0"/>
        <v>-1819.3899999999994</v>
      </c>
      <c r="S41" s="7" t="str">
        <f t="shared" si="1"/>
        <v>Loss</v>
      </c>
    </row>
    <row r="42" spans="1:19" x14ac:dyDescent="0.3">
      <c r="A42" s="4" t="s">
        <v>124</v>
      </c>
      <c r="B42" s="5">
        <v>44761</v>
      </c>
      <c r="C42" s="6" t="s">
        <v>125</v>
      </c>
      <c r="D42" s="6" t="s">
        <v>18</v>
      </c>
      <c r="E42" s="6">
        <v>2762</v>
      </c>
      <c r="F42" s="6">
        <v>5.2</v>
      </c>
      <c r="G42" s="6">
        <v>36</v>
      </c>
      <c r="H42" s="6" t="s">
        <v>26</v>
      </c>
      <c r="I42" s="6" t="s">
        <v>83</v>
      </c>
      <c r="J42" s="6" t="s">
        <v>47</v>
      </c>
      <c r="K42" s="6">
        <v>75276</v>
      </c>
      <c r="L42" s="6" t="s">
        <v>22</v>
      </c>
      <c r="M42" s="6">
        <v>0.31</v>
      </c>
      <c r="N42" s="6">
        <v>0.78</v>
      </c>
      <c r="O42" s="6">
        <v>1245.1099999999999</v>
      </c>
      <c r="P42" s="6">
        <v>0</v>
      </c>
      <c r="Q42" s="6">
        <f t="shared" ca="1" si="2"/>
        <v>44</v>
      </c>
      <c r="R42" s="6">
        <f t="shared" si="0"/>
        <v>1516.89</v>
      </c>
      <c r="S42" s="7" t="str">
        <f t="shared" si="1"/>
        <v>Profit</v>
      </c>
    </row>
    <row r="43" spans="1:19" x14ac:dyDescent="0.3">
      <c r="A43" s="4" t="s">
        <v>126</v>
      </c>
      <c r="B43" s="5">
        <v>45094</v>
      </c>
      <c r="C43" s="6" t="s">
        <v>127</v>
      </c>
      <c r="D43" s="6" t="s">
        <v>53</v>
      </c>
      <c r="E43" s="6">
        <v>32987</v>
      </c>
      <c r="F43" s="6">
        <v>10.1</v>
      </c>
      <c r="G43" s="6">
        <v>36</v>
      </c>
      <c r="H43" s="6" t="s">
        <v>19</v>
      </c>
      <c r="I43" s="6" t="s">
        <v>20</v>
      </c>
      <c r="J43" s="6" t="s">
        <v>47</v>
      </c>
      <c r="K43" s="6">
        <v>63402</v>
      </c>
      <c r="L43" s="6" t="s">
        <v>33</v>
      </c>
      <c r="M43" s="6">
        <v>0.32</v>
      </c>
      <c r="N43" s="6">
        <v>0.87</v>
      </c>
      <c r="O43" s="6">
        <v>36318.69</v>
      </c>
      <c r="P43" s="6">
        <v>0</v>
      </c>
      <c r="Q43" s="6">
        <f t="shared" ca="1" si="2"/>
        <v>33</v>
      </c>
      <c r="R43" s="6">
        <f t="shared" si="0"/>
        <v>-3331.6900000000023</v>
      </c>
      <c r="S43" s="7" t="str">
        <f t="shared" si="1"/>
        <v>Loss</v>
      </c>
    </row>
    <row r="44" spans="1:19" x14ac:dyDescent="0.3">
      <c r="A44" s="4" t="s">
        <v>128</v>
      </c>
      <c r="B44" s="5">
        <v>44288</v>
      </c>
      <c r="C44" s="6" t="s">
        <v>129</v>
      </c>
      <c r="D44" s="6" t="s">
        <v>46</v>
      </c>
      <c r="E44" s="6">
        <v>16850</v>
      </c>
      <c r="F44" s="6">
        <v>10.199999999999999</v>
      </c>
      <c r="G44" s="6">
        <v>36</v>
      </c>
      <c r="H44" s="6" t="s">
        <v>19</v>
      </c>
      <c r="I44" s="6" t="s">
        <v>20</v>
      </c>
      <c r="J44" s="6" t="s">
        <v>28</v>
      </c>
      <c r="K44" s="6">
        <v>121881</v>
      </c>
      <c r="L44" s="6" t="s">
        <v>22</v>
      </c>
      <c r="M44" s="6">
        <v>0.21</v>
      </c>
      <c r="N44" s="6">
        <v>0.81</v>
      </c>
      <c r="O44" s="6">
        <v>18568.7</v>
      </c>
      <c r="P44" s="6">
        <v>0</v>
      </c>
      <c r="Q44" s="6">
        <f t="shared" ca="1" si="2"/>
        <v>59</v>
      </c>
      <c r="R44" s="6">
        <f t="shared" si="0"/>
        <v>-1718.7000000000007</v>
      </c>
      <c r="S44" s="7" t="str">
        <f t="shared" si="1"/>
        <v>Loss</v>
      </c>
    </row>
    <row r="45" spans="1:19" x14ac:dyDescent="0.3">
      <c r="A45" s="4" t="s">
        <v>130</v>
      </c>
      <c r="B45" s="5">
        <v>45152</v>
      </c>
      <c r="C45" s="6" t="s">
        <v>131</v>
      </c>
      <c r="D45" s="6" t="s">
        <v>40</v>
      </c>
      <c r="E45" s="6">
        <v>13112</v>
      </c>
      <c r="F45" s="6">
        <v>6.4</v>
      </c>
      <c r="G45" s="6">
        <v>60</v>
      </c>
      <c r="H45" s="6" t="s">
        <v>19</v>
      </c>
      <c r="I45" s="6" t="s">
        <v>27</v>
      </c>
      <c r="J45" s="6" t="s">
        <v>37</v>
      </c>
      <c r="K45" s="6">
        <v>140300</v>
      </c>
      <c r="L45" s="6" t="s">
        <v>22</v>
      </c>
      <c r="M45" s="6">
        <v>0.19</v>
      </c>
      <c r="N45" s="6">
        <v>0.75</v>
      </c>
      <c r="O45" s="6">
        <v>13951.17</v>
      </c>
      <c r="P45" s="6">
        <v>0</v>
      </c>
      <c r="Q45" s="6">
        <f t="shared" ca="1" si="2"/>
        <v>31</v>
      </c>
      <c r="R45" s="6">
        <f t="shared" si="0"/>
        <v>-839.17000000000007</v>
      </c>
      <c r="S45" s="7" t="str">
        <f t="shared" si="1"/>
        <v>Loss</v>
      </c>
    </row>
    <row r="46" spans="1:19" x14ac:dyDescent="0.3">
      <c r="A46" s="4" t="s">
        <v>132</v>
      </c>
      <c r="B46" s="5">
        <v>44705</v>
      </c>
      <c r="C46" s="6" t="s">
        <v>133</v>
      </c>
      <c r="D46" s="6" t="s">
        <v>75</v>
      </c>
      <c r="E46" s="6">
        <v>25058</v>
      </c>
      <c r="F46" s="6">
        <v>24.2</v>
      </c>
      <c r="G46" s="6">
        <v>36</v>
      </c>
      <c r="H46" s="6" t="s">
        <v>26</v>
      </c>
      <c r="I46" s="6" t="s">
        <v>20</v>
      </c>
      <c r="J46" s="6" t="s">
        <v>47</v>
      </c>
      <c r="K46" s="6">
        <v>56946</v>
      </c>
      <c r="L46" s="6" t="s">
        <v>33</v>
      </c>
      <c r="M46" s="6">
        <v>0.22</v>
      </c>
      <c r="N46" s="6">
        <v>0.61</v>
      </c>
      <c r="O46" s="6">
        <v>9355.1299999999992</v>
      </c>
      <c r="P46" s="6">
        <v>0</v>
      </c>
      <c r="Q46" s="6">
        <f t="shared" ca="1" si="2"/>
        <v>45</v>
      </c>
      <c r="R46" s="6">
        <f t="shared" si="0"/>
        <v>15702.87</v>
      </c>
      <c r="S46" s="7" t="str">
        <f t="shared" si="1"/>
        <v>Profit</v>
      </c>
    </row>
    <row r="47" spans="1:19" x14ac:dyDescent="0.3">
      <c r="A47" s="4" t="s">
        <v>134</v>
      </c>
      <c r="B47" s="5">
        <v>44972</v>
      </c>
      <c r="C47" s="6" t="s">
        <v>135</v>
      </c>
      <c r="D47" s="6" t="s">
        <v>46</v>
      </c>
      <c r="E47" s="6">
        <v>39890</v>
      </c>
      <c r="F47" s="6">
        <v>14.6</v>
      </c>
      <c r="G47" s="6">
        <v>36</v>
      </c>
      <c r="H47" s="6" t="s">
        <v>26</v>
      </c>
      <c r="I47" s="6" t="s">
        <v>83</v>
      </c>
      <c r="J47" s="6" t="s">
        <v>21</v>
      </c>
      <c r="K47" s="6">
        <v>109698</v>
      </c>
      <c r="L47" s="6" t="s">
        <v>29</v>
      </c>
      <c r="M47" s="6">
        <v>0.32</v>
      </c>
      <c r="N47" s="6">
        <v>0.69</v>
      </c>
      <c r="O47" s="6">
        <v>3304.32</v>
      </c>
      <c r="P47" s="6">
        <v>0</v>
      </c>
      <c r="Q47" s="6">
        <f t="shared" ca="1" si="2"/>
        <v>37</v>
      </c>
      <c r="R47" s="6">
        <f t="shared" si="0"/>
        <v>36585.68</v>
      </c>
      <c r="S47" s="7" t="str">
        <f t="shared" si="1"/>
        <v>Profit</v>
      </c>
    </row>
    <row r="48" spans="1:19" x14ac:dyDescent="0.3">
      <c r="A48" s="4" t="s">
        <v>136</v>
      </c>
      <c r="B48" s="5">
        <v>44231</v>
      </c>
      <c r="C48" s="6" t="s">
        <v>137</v>
      </c>
      <c r="D48" s="6" t="s">
        <v>18</v>
      </c>
      <c r="E48" s="6">
        <v>1481</v>
      </c>
      <c r="F48" s="6">
        <v>22.9</v>
      </c>
      <c r="G48" s="6">
        <v>36</v>
      </c>
      <c r="H48" s="6" t="s">
        <v>19</v>
      </c>
      <c r="I48" s="6" t="s">
        <v>27</v>
      </c>
      <c r="J48" s="6" t="s">
        <v>28</v>
      </c>
      <c r="K48" s="6">
        <v>144690</v>
      </c>
      <c r="L48" s="6" t="s">
        <v>22</v>
      </c>
      <c r="M48" s="6">
        <v>0.11</v>
      </c>
      <c r="N48" s="6">
        <v>0.94</v>
      </c>
      <c r="O48" s="6">
        <v>1820.15</v>
      </c>
      <c r="P48" s="6">
        <v>0</v>
      </c>
      <c r="Q48" s="6">
        <f t="shared" ca="1" si="2"/>
        <v>61</v>
      </c>
      <c r="R48" s="6">
        <f t="shared" si="0"/>
        <v>-339.15000000000009</v>
      </c>
      <c r="S48" s="7" t="str">
        <f t="shared" si="1"/>
        <v>Loss</v>
      </c>
    </row>
    <row r="49" spans="1:19" x14ac:dyDescent="0.3">
      <c r="A49" s="4" t="s">
        <v>138</v>
      </c>
      <c r="B49" s="5">
        <v>44402</v>
      </c>
      <c r="C49" s="6" t="s">
        <v>139</v>
      </c>
      <c r="D49" s="6" t="s">
        <v>50</v>
      </c>
      <c r="E49" s="6">
        <v>33921</v>
      </c>
      <c r="F49" s="6">
        <v>11.4</v>
      </c>
      <c r="G49" s="6">
        <v>36</v>
      </c>
      <c r="H49" s="6" t="s">
        <v>26</v>
      </c>
      <c r="I49" s="6" t="s">
        <v>83</v>
      </c>
      <c r="J49" s="6" t="s">
        <v>21</v>
      </c>
      <c r="K49" s="6">
        <v>142309</v>
      </c>
      <c r="L49" s="6" t="s">
        <v>22</v>
      </c>
      <c r="M49" s="6">
        <v>0.46</v>
      </c>
      <c r="N49" s="6">
        <v>0.8</v>
      </c>
      <c r="O49" s="6">
        <v>14230.09</v>
      </c>
      <c r="P49" s="6">
        <v>0</v>
      </c>
      <c r="Q49" s="6">
        <f t="shared" ca="1" si="2"/>
        <v>55</v>
      </c>
      <c r="R49" s="6">
        <f t="shared" si="0"/>
        <v>19690.91</v>
      </c>
      <c r="S49" s="7" t="str">
        <f t="shared" si="1"/>
        <v>Profit</v>
      </c>
    </row>
    <row r="50" spans="1:19" x14ac:dyDescent="0.3">
      <c r="A50" s="4" t="s">
        <v>140</v>
      </c>
      <c r="B50" s="5">
        <v>45222</v>
      </c>
      <c r="C50" s="6" t="s">
        <v>141</v>
      </c>
      <c r="D50" s="6" t="s">
        <v>64</v>
      </c>
      <c r="E50" s="6">
        <v>2524</v>
      </c>
      <c r="F50" s="6">
        <v>7.5</v>
      </c>
      <c r="G50" s="6">
        <v>60</v>
      </c>
      <c r="H50" s="6" t="s">
        <v>19</v>
      </c>
      <c r="I50" s="6" t="s">
        <v>57</v>
      </c>
      <c r="J50" s="6" t="s">
        <v>37</v>
      </c>
      <c r="K50" s="6">
        <v>103933</v>
      </c>
      <c r="L50" s="6" t="s">
        <v>22</v>
      </c>
      <c r="M50" s="6">
        <v>0.16</v>
      </c>
      <c r="N50" s="6">
        <v>0.75</v>
      </c>
      <c r="O50" s="6">
        <v>2713.3</v>
      </c>
      <c r="P50" s="6">
        <v>0</v>
      </c>
      <c r="Q50" s="6">
        <f t="shared" ca="1" si="2"/>
        <v>28</v>
      </c>
      <c r="R50" s="6">
        <f t="shared" si="0"/>
        <v>-189.30000000000018</v>
      </c>
      <c r="S50" s="7" t="str">
        <f t="shared" si="1"/>
        <v>Loss</v>
      </c>
    </row>
    <row r="51" spans="1:19" x14ac:dyDescent="0.3">
      <c r="A51" s="4" t="s">
        <v>142</v>
      </c>
      <c r="B51" s="5">
        <v>45218</v>
      </c>
      <c r="C51" s="6" t="s">
        <v>143</v>
      </c>
      <c r="D51" s="6" t="s">
        <v>40</v>
      </c>
      <c r="E51" s="6">
        <v>35888</v>
      </c>
      <c r="F51" s="6">
        <v>14.5</v>
      </c>
      <c r="G51" s="6">
        <v>60</v>
      </c>
      <c r="H51" s="6" t="s">
        <v>26</v>
      </c>
      <c r="I51" s="6" t="s">
        <v>57</v>
      </c>
      <c r="J51" s="6" t="s">
        <v>32</v>
      </c>
      <c r="K51" s="6">
        <v>52335</v>
      </c>
      <c r="L51" s="6" t="s">
        <v>22</v>
      </c>
      <c r="M51" s="6">
        <v>0.19</v>
      </c>
      <c r="N51" s="6">
        <v>0.92</v>
      </c>
      <c r="O51" s="6">
        <v>9756.7199999999993</v>
      </c>
      <c r="P51" s="6">
        <v>0</v>
      </c>
      <c r="Q51" s="6">
        <f t="shared" ca="1" si="2"/>
        <v>29</v>
      </c>
      <c r="R51" s="6">
        <f t="shared" si="0"/>
        <v>26131.279999999999</v>
      </c>
      <c r="S51" s="7" t="str">
        <f t="shared" si="1"/>
        <v>Profit</v>
      </c>
    </row>
    <row r="52" spans="1:19" x14ac:dyDescent="0.3">
      <c r="A52" s="4" t="s">
        <v>144</v>
      </c>
      <c r="B52" s="5">
        <v>44762</v>
      </c>
      <c r="C52" s="6" t="s">
        <v>145</v>
      </c>
      <c r="D52" s="6" t="s">
        <v>56</v>
      </c>
      <c r="E52" s="6">
        <v>16048</v>
      </c>
      <c r="F52" s="6">
        <v>7.3</v>
      </c>
      <c r="G52" s="6">
        <v>60</v>
      </c>
      <c r="H52" s="6" t="s">
        <v>19</v>
      </c>
      <c r="I52" s="6" t="s">
        <v>27</v>
      </c>
      <c r="J52" s="6" t="s">
        <v>21</v>
      </c>
      <c r="K52" s="6">
        <v>75095</v>
      </c>
      <c r="L52" s="6" t="s">
        <v>29</v>
      </c>
      <c r="M52" s="6">
        <v>0.31</v>
      </c>
      <c r="N52" s="6">
        <v>0.76</v>
      </c>
      <c r="O52" s="6">
        <v>17219.5</v>
      </c>
      <c r="P52" s="6">
        <v>0</v>
      </c>
      <c r="Q52" s="6">
        <f t="shared" ca="1" si="2"/>
        <v>44</v>
      </c>
      <c r="R52" s="6">
        <f t="shared" si="0"/>
        <v>-1171.5</v>
      </c>
      <c r="S52" s="7" t="str">
        <f t="shared" si="1"/>
        <v>Loss</v>
      </c>
    </row>
    <row r="53" spans="1:19" x14ac:dyDescent="0.3">
      <c r="A53" s="4" t="s">
        <v>146</v>
      </c>
      <c r="B53" s="5">
        <v>44899</v>
      </c>
      <c r="C53" s="6" t="s">
        <v>147</v>
      </c>
      <c r="D53" s="6" t="s">
        <v>40</v>
      </c>
      <c r="E53" s="6">
        <v>36111</v>
      </c>
      <c r="F53" s="6">
        <v>14.7</v>
      </c>
      <c r="G53" s="6">
        <v>36</v>
      </c>
      <c r="H53" s="6" t="s">
        <v>19</v>
      </c>
      <c r="I53" s="6" t="s">
        <v>20</v>
      </c>
      <c r="J53" s="6" t="s">
        <v>32</v>
      </c>
      <c r="K53" s="6">
        <v>109930</v>
      </c>
      <c r="L53" s="6" t="s">
        <v>33</v>
      </c>
      <c r="M53" s="6">
        <v>0.38</v>
      </c>
      <c r="N53" s="6">
        <v>0.74</v>
      </c>
      <c r="O53" s="6">
        <v>41419.32</v>
      </c>
      <c r="P53" s="6">
        <v>0</v>
      </c>
      <c r="Q53" s="6">
        <f t="shared" ca="1" si="2"/>
        <v>39</v>
      </c>
      <c r="R53" s="6">
        <f t="shared" si="0"/>
        <v>-5308.32</v>
      </c>
      <c r="S53" s="7" t="str">
        <f t="shared" si="1"/>
        <v>Loss</v>
      </c>
    </row>
    <row r="54" spans="1:19" x14ac:dyDescent="0.3">
      <c r="A54" s="4" t="s">
        <v>148</v>
      </c>
      <c r="B54" s="5">
        <v>44598</v>
      </c>
      <c r="C54" s="6" t="s">
        <v>149</v>
      </c>
      <c r="D54" s="6" t="s">
        <v>64</v>
      </c>
      <c r="E54" s="6">
        <v>38904</v>
      </c>
      <c r="F54" s="6">
        <v>23.4</v>
      </c>
      <c r="G54" s="6">
        <v>60</v>
      </c>
      <c r="H54" s="6" t="s">
        <v>80</v>
      </c>
      <c r="I54" s="6" t="s">
        <v>27</v>
      </c>
      <c r="J54" s="6" t="s">
        <v>28</v>
      </c>
      <c r="K54" s="6">
        <v>57197</v>
      </c>
      <c r="L54" s="6" t="s">
        <v>22</v>
      </c>
      <c r="M54" s="6">
        <v>0.14000000000000001</v>
      </c>
      <c r="N54" s="6">
        <v>0.84</v>
      </c>
      <c r="O54" s="6">
        <v>13773.37</v>
      </c>
      <c r="P54" s="6">
        <v>12116.05</v>
      </c>
      <c r="Q54" s="6">
        <f t="shared" ca="1" si="2"/>
        <v>49</v>
      </c>
      <c r="R54" s="6">
        <f t="shared" si="0"/>
        <v>25130.629999999997</v>
      </c>
      <c r="S54" s="7" t="str">
        <f t="shared" si="1"/>
        <v>Profit</v>
      </c>
    </row>
    <row r="55" spans="1:19" x14ac:dyDescent="0.3">
      <c r="A55" s="4" t="s">
        <v>150</v>
      </c>
      <c r="B55" s="5">
        <v>44926</v>
      </c>
      <c r="C55" s="6" t="s">
        <v>151</v>
      </c>
      <c r="D55" s="6" t="s">
        <v>18</v>
      </c>
      <c r="E55" s="6">
        <v>35008</v>
      </c>
      <c r="F55" s="6">
        <v>15.4</v>
      </c>
      <c r="G55" s="6">
        <v>36</v>
      </c>
      <c r="H55" s="6" t="s">
        <v>19</v>
      </c>
      <c r="I55" s="6" t="s">
        <v>83</v>
      </c>
      <c r="J55" s="6" t="s">
        <v>21</v>
      </c>
      <c r="K55" s="6">
        <v>52010</v>
      </c>
      <c r="L55" s="6" t="s">
        <v>33</v>
      </c>
      <c r="M55" s="6">
        <v>0.23</v>
      </c>
      <c r="N55" s="6">
        <v>0.82</v>
      </c>
      <c r="O55" s="6">
        <v>40399.230000000003</v>
      </c>
      <c r="P55" s="6">
        <v>0</v>
      </c>
      <c r="Q55" s="6">
        <f t="shared" ca="1" si="2"/>
        <v>38</v>
      </c>
      <c r="R55" s="6">
        <f t="shared" si="0"/>
        <v>-5391.2300000000032</v>
      </c>
      <c r="S55" s="7" t="str">
        <f t="shared" si="1"/>
        <v>Loss</v>
      </c>
    </row>
    <row r="56" spans="1:19" x14ac:dyDescent="0.3">
      <c r="A56" s="4" t="s">
        <v>152</v>
      </c>
      <c r="B56" s="5">
        <v>44358</v>
      </c>
      <c r="C56" s="6" t="s">
        <v>153</v>
      </c>
      <c r="D56" s="6" t="s">
        <v>18</v>
      </c>
      <c r="E56" s="6">
        <v>1060</v>
      </c>
      <c r="F56" s="6">
        <v>17.3</v>
      </c>
      <c r="G56" s="6">
        <v>60</v>
      </c>
      <c r="H56" s="6" t="s">
        <v>26</v>
      </c>
      <c r="I56" s="6" t="s">
        <v>57</v>
      </c>
      <c r="J56" s="6" t="s">
        <v>21</v>
      </c>
      <c r="K56" s="6">
        <v>54123</v>
      </c>
      <c r="L56" s="6" t="s">
        <v>22</v>
      </c>
      <c r="M56" s="6">
        <v>0.49</v>
      </c>
      <c r="N56" s="6">
        <v>0.59</v>
      </c>
      <c r="O56" s="6">
        <v>339.55</v>
      </c>
      <c r="P56" s="6">
        <v>0</v>
      </c>
      <c r="Q56" s="6">
        <f t="shared" ca="1" si="2"/>
        <v>57</v>
      </c>
      <c r="R56" s="6">
        <f t="shared" si="0"/>
        <v>720.45</v>
      </c>
      <c r="S56" s="7" t="str">
        <f t="shared" si="1"/>
        <v>Profit</v>
      </c>
    </row>
    <row r="57" spans="1:19" x14ac:dyDescent="0.3">
      <c r="A57" s="4" t="s">
        <v>154</v>
      </c>
      <c r="B57" s="5">
        <v>44398</v>
      </c>
      <c r="C57" s="6" t="s">
        <v>155</v>
      </c>
      <c r="D57" s="6" t="s">
        <v>46</v>
      </c>
      <c r="E57" s="6">
        <v>10130</v>
      </c>
      <c r="F57" s="6">
        <v>8.1</v>
      </c>
      <c r="G57" s="6">
        <v>60</v>
      </c>
      <c r="H57" s="6" t="s">
        <v>19</v>
      </c>
      <c r="I57" s="6" t="s">
        <v>27</v>
      </c>
      <c r="J57" s="6" t="s">
        <v>28</v>
      </c>
      <c r="K57" s="6">
        <v>117923</v>
      </c>
      <c r="L57" s="6" t="s">
        <v>29</v>
      </c>
      <c r="M57" s="6">
        <v>0.2</v>
      </c>
      <c r="N57" s="6">
        <v>0.71</v>
      </c>
      <c r="O57" s="6">
        <v>10950.53</v>
      </c>
      <c r="P57" s="6">
        <v>0</v>
      </c>
      <c r="Q57" s="6">
        <f t="shared" ca="1" si="2"/>
        <v>55</v>
      </c>
      <c r="R57" s="6">
        <f t="shared" si="0"/>
        <v>-820.53000000000065</v>
      </c>
      <c r="S57" s="7" t="str">
        <f t="shared" si="1"/>
        <v>Loss</v>
      </c>
    </row>
    <row r="58" spans="1:19" x14ac:dyDescent="0.3">
      <c r="A58" s="4" t="s">
        <v>156</v>
      </c>
      <c r="B58" s="5">
        <v>45192</v>
      </c>
      <c r="C58" s="6" t="s">
        <v>157</v>
      </c>
      <c r="D58" s="6" t="s">
        <v>53</v>
      </c>
      <c r="E58" s="6">
        <v>19023</v>
      </c>
      <c r="F58" s="6">
        <v>5.9</v>
      </c>
      <c r="G58" s="6">
        <v>60</v>
      </c>
      <c r="H58" s="6" t="s">
        <v>26</v>
      </c>
      <c r="I58" s="6" t="s">
        <v>20</v>
      </c>
      <c r="J58" s="6" t="s">
        <v>28</v>
      </c>
      <c r="K58" s="6">
        <v>32890</v>
      </c>
      <c r="L58" s="6" t="s">
        <v>33</v>
      </c>
      <c r="M58" s="6">
        <v>0.23</v>
      </c>
      <c r="N58" s="6">
        <v>0.71</v>
      </c>
      <c r="O58" s="6">
        <v>6787.88</v>
      </c>
      <c r="P58" s="6">
        <v>0</v>
      </c>
      <c r="Q58" s="6">
        <f t="shared" ca="1" si="2"/>
        <v>29</v>
      </c>
      <c r="R58" s="6">
        <f t="shared" si="0"/>
        <v>12235.119999999999</v>
      </c>
      <c r="S58" s="7" t="str">
        <f t="shared" si="1"/>
        <v>Profit</v>
      </c>
    </row>
    <row r="59" spans="1:19" x14ac:dyDescent="0.3">
      <c r="A59" s="4" t="s">
        <v>158</v>
      </c>
      <c r="B59" s="5">
        <v>44466</v>
      </c>
      <c r="C59" s="6" t="s">
        <v>159</v>
      </c>
      <c r="D59" s="6" t="s">
        <v>56</v>
      </c>
      <c r="E59" s="6">
        <v>14350</v>
      </c>
      <c r="F59" s="6">
        <v>7.2</v>
      </c>
      <c r="G59" s="6">
        <v>60</v>
      </c>
      <c r="H59" s="6" t="s">
        <v>80</v>
      </c>
      <c r="I59" s="6" t="s">
        <v>57</v>
      </c>
      <c r="J59" s="6" t="s">
        <v>47</v>
      </c>
      <c r="K59" s="6">
        <v>123305</v>
      </c>
      <c r="L59" s="6" t="s">
        <v>29</v>
      </c>
      <c r="M59" s="6">
        <v>0.43</v>
      </c>
      <c r="N59" s="6">
        <v>0.67</v>
      </c>
      <c r="O59" s="6">
        <v>5712.02</v>
      </c>
      <c r="P59" s="6">
        <v>3379.84</v>
      </c>
      <c r="Q59" s="6">
        <f t="shared" ca="1" si="2"/>
        <v>53</v>
      </c>
      <c r="R59" s="6">
        <f t="shared" si="0"/>
        <v>8637.98</v>
      </c>
      <c r="S59" s="7" t="str">
        <f t="shared" si="1"/>
        <v>Profit</v>
      </c>
    </row>
    <row r="60" spans="1:19" x14ac:dyDescent="0.3">
      <c r="A60" s="4" t="s">
        <v>160</v>
      </c>
      <c r="B60" s="5">
        <v>45012</v>
      </c>
      <c r="C60" s="6" t="s">
        <v>161</v>
      </c>
      <c r="D60" s="6" t="s">
        <v>46</v>
      </c>
      <c r="E60" s="6">
        <v>25354</v>
      </c>
      <c r="F60" s="6">
        <v>17</v>
      </c>
      <c r="G60" s="6">
        <v>60</v>
      </c>
      <c r="H60" s="6" t="s">
        <v>19</v>
      </c>
      <c r="I60" s="6" t="s">
        <v>41</v>
      </c>
      <c r="J60" s="6" t="s">
        <v>37</v>
      </c>
      <c r="K60" s="6">
        <v>139162</v>
      </c>
      <c r="L60" s="6" t="s">
        <v>22</v>
      </c>
      <c r="M60" s="6">
        <v>0.12</v>
      </c>
      <c r="N60" s="6">
        <v>0.73</v>
      </c>
      <c r="O60" s="6">
        <v>29664.18</v>
      </c>
      <c r="P60" s="6">
        <v>0</v>
      </c>
      <c r="Q60" s="6">
        <f t="shared" ca="1" si="2"/>
        <v>35</v>
      </c>
      <c r="R60" s="6">
        <f t="shared" si="0"/>
        <v>-4310.18</v>
      </c>
      <c r="S60" s="7" t="str">
        <f t="shared" si="1"/>
        <v>Loss</v>
      </c>
    </row>
    <row r="61" spans="1:19" x14ac:dyDescent="0.3">
      <c r="A61" s="4" t="s">
        <v>162</v>
      </c>
      <c r="B61" s="5">
        <v>44652</v>
      </c>
      <c r="C61" s="6" t="s">
        <v>163</v>
      </c>
      <c r="D61" s="6" t="s">
        <v>56</v>
      </c>
      <c r="E61" s="6">
        <v>29145</v>
      </c>
      <c r="F61" s="6">
        <v>6.9</v>
      </c>
      <c r="G61" s="6">
        <v>36</v>
      </c>
      <c r="H61" s="6" t="s">
        <v>26</v>
      </c>
      <c r="I61" s="6" t="s">
        <v>41</v>
      </c>
      <c r="J61" s="6" t="s">
        <v>21</v>
      </c>
      <c r="K61" s="6">
        <v>38026</v>
      </c>
      <c r="L61" s="6" t="s">
        <v>29</v>
      </c>
      <c r="M61" s="6">
        <v>0.28999999999999998</v>
      </c>
      <c r="N61" s="6">
        <v>0.69</v>
      </c>
      <c r="O61" s="6">
        <v>4504.3900000000003</v>
      </c>
      <c r="P61" s="6">
        <v>0</v>
      </c>
      <c r="Q61" s="6">
        <f t="shared" ca="1" si="2"/>
        <v>47</v>
      </c>
      <c r="R61" s="6">
        <f t="shared" si="0"/>
        <v>24640.61</v>
      </c>
      <c r="S61" s="7" t="str">
        <f t="shared" si="1"/>
        <v>Profit</v>
      </c>
    </row>
    <row r="62" spans="1:19" x14ac:dyDescent="0.3">
      <c r="A62" s="4" t="s">
        <v>164</v>
      </c>
      <c r="B62" s="5">
        <v>45213</v>
      </c>
      <c r="C62" s="6" t="s">
        <v>165</v>
      </c>
      <c r="D62" s="6" t="s">
        <v>56</v>
      </c>
      <c r="E62" s="6">
        <v>35020</v>
      </c>
      <c r="F62" s="6">
        <v>12.5</v>
      </c>
      <c r="G62" s="6">
        <v>60</v>
      </c>
      <c r="H62" s="6" t="s">
        <v>26</v>
      </c>
      <c r="I62" s="6" t="s">
        <v>72</v>
      </c>
      <c r="J62" s="6" t="s">
        <v>21</v>
      </c>
      <c r="K62" s="6">
        <v>94925</v>
      </c>
      <c r="L62" s="6" t="s">
        <v>29</v>
      </c>
      <c r="M62" s="6">
        <v>0.25</v>
      </c>
      <c r="N62" s="6">
        <v>0.59</v>
      </c>
      <c r="O62" s="6">
        <v>11583.76</v>
      </c>
      <c r="P62" s="6">
        <v>0</v>
      </c>
      <c r="Q62" s="6">
        <f t="shared" ca="1" si="2"/>
        <v>29</v>
      </c>
      <c r="R62" s="6">
        <f t="shared" si="0"/>
        <v>23436.239999999998</v>
      </c>
      <c r="S62" s="7" t="str">
        <f t="shared" si="1"/>
        <v>Profit</v>
      </c>
    </row>
    <row r="63" spans="1:19" x14ac:dyDescent="0.3">
      <c r="A63" s="4" t="s">
        <v>166</v>
      </c>
      <c r="B63" s="5">
        <v>44492</v>
      </c>
      <c r="C63" s="6" t="s">
        <v>167</v>
      </c>
      <c r="D63" s="6" t="s">
        <v>64</v>
      </c>
      <c r="E63" s="6">
        <v>21587</v>
      </c>
      <c r="F63" s="6">
        <v>16</v>
      </c>
      <c r="G63" s="6">
        <v>36</v>
      </c>
      <c r="H63" s="6" t="s">
        <v>26</v>
      </c>
      <c r="I63" s="6" t="s">
        <v>36</v>
      </c>
      <c r="J63" s="6" t="s">
        <v>28</v>
      </c>
      <c r="K63" s="6">
        <v>98842</v>
      </c>
      <c r="L63" s="6" t="s">
        <v>22</v>
      </c>
      <c r="M63" s="6">
        <v>0.23</v>
      </c>
      <c r="N63" s="6">
        <v>0.69</v>
      </c>
      <c r="O63" s="6">
        <v>5550.98</v>
      </c>
      <c r="P63" s="6">
        <v>0</v>
      </c>
      <c r="Q63" s="6">
        <f t="shared" ca="1" si="2"/>
        <v>52</v>
      </c>
      <c r="R63" s="6">
        <f t="shared" si="0"/>
        <v>16036.02</v>
      </c>
      <c r="S63" s="7" t="str">
        <f t="shared" si="1"/>
        <v>Profit</v>
      </c>
    </row>
    <row r="64" spans="1:19" x14ac:dyDescent="0.3">
      <c r="A64" s="4" t="s">
        <v>168</v>
      </c>
      <c r="B64" s="5">
        <v>44916</v>
      </c>
      <c r="C64" s="6" t="s">
        <v>169</v>
      </c>
      <c r="D64" s="6" t="s">
        <v>46</v>
      </c>
      <c r="E64" s="6">
        <v>10650</v>
      </c>
      <c r="F64" s="6">
        <v>12.8</v>
      </c>
      <c r="G64" s="6">
        <v>36</v>
      </c>
      <c r="H64" s="6" t="s">
        <v>19</v>
      </c>
      <c r="I64" s="6" t="s">
        <v>72</v>
      </c>
      <c r="J64" s="6" t="s">
        <v>28</v>
      </c>
      <c r="K64" s="6">
        <v>63665</v>
      </c>
      <c r="L64" s="6" t="s">
        <v>22</v>
      </c>
      <c r="M64" s="6">
        <v>0.21</v>
      </c>
      <c r="N64" s="6">
        <v>0.53</v>
      </c>
      <c r="O64" s="6">
        <v>12013.2</v>
      </c>
      <c r="P64" s="6">
        <v>0</v>
      </c>
      <c r="Q64" s="6">
        <f t="shared" ca="1" si="2"/>
        <v>38</v>
      </c>
      <c r="R64" s="6">
        <f t="shared" si="0"/>
        <v>-1363.2000000000007</v>
      </c>
      <c r="S64" s="7" t="str">
        <f t="shared" si="1"/>
        <v>Loss</v>
      </c>
    </row>
    <row r="65" spans="1:19" x14ac:dyDescent="0.3">
      <c r="A65" s="4" t="s">
        <v>170</v>
      </c>
      <c r="B65" s="5">
        <v>44534</v>
      </c>
      <c r="C65" s="6" t="s">
        <v>171</v>
      </c>
      <c r="D65" s="6" t="s">
        <v>56</v>
      </c>
      <c r="E65" s="6">
        <v>20933</v>
      </c>
      <c r="F65" s="6">
        <v>8.3000000000000007</v>
      </c>
      <c r="G65" s="6">
        <v>36</v>
      </c>
      <c r="H65" s="6" t="s">
        <v>80</v>
      </c>
      <c r="I65" s="6" t="s">
        <v>57</v>
      </c>
      <c r="J65" s="6" t="s">
        <v>37</v>
      </c>
      <c r="K65" s="6">
        <v>39277</v>
      </c>
      <c r="L65" s="6" t="s">
        <v>33</v>
      </c>
      <c r="M65" s="6">
        <v>0.14000000000000001</v>
      </c>
      <c r="N65" s="6">
        <v>0.76</v>
      </c>
      <c r="O65" s="6">
        <v>2341.0500000000002</v>
      </c>
      <c r="P65" s="6">
        <v>2519.27</v>
      </c>
      <c r="Q65" s="6">
        <f t="shared" ca="1" si="2"/>
        <v>51</v>
      </c>
      <c r="R65" s="6">
        <f t="shared" si="0"/>
        <v>18591.95</v>
      </c>
      <c r="S65" s="7" t="str">
        <f t="shared" si="1"/>
        <v>Profit</v>
      </c>
    </row>
    <row r="66" spans="1:19" x14ac:dyDescent="0.3">
      <c r="A66" s="4" t="s">
        <v>172</v>
      </c>
      <c r="B66" s="5">
        <v>45075</v>
      </c>
      <c r="C66" s="6" t="s">
        <v>173</v>
      </c>
      <c r="D66" s="6" t="s">
        <v>25</v>
      </c>
      <c r="E66" s="6">
        <v>21581</v>
      </c>
      <c r="F66" s="6">
        <v>10.5</v>
      </c>
      <c r="G66" s="6">
        <v>36</v>
      </c>
      <c r="H66" s="6" t="s">
        <v>19</v>
      </c>
      <c r="I66" s="6" t="s">
        <v>57</v>
      </c>
      <c r="J66" s="6" t="s">
        <v>28</v>
      </c>
      <c r="K66" s="6">
        <v>72239</v>
      </c>
      <c r="L66" s="6" t="s">
        <v>22</v>
      </c>
      <c r="M66" s="6">
        <v>0.23</v>
      </c>
      <c r="N66" s="6">
        <v>0.88</v>
      </c>
      <c r="O66" s="6">
        <v>23847</v>
      </c>
      <c r="P66" s="6">
        <v>0</v>
      </c>
      <c r="Q66" s="6">
        <f t="shared" ca="1" si="2"/>
        <v>33</v>
      </c>
      <c r="R66" s="6">
        <f t="shared" ref="R66:R129" si="3">E66-O66</f>
        <v>-2266</v>
      </c>
      <c r="S66" s="7" t="str">
        <f t="shared" ref="S66:S129" si="4">IF(R66&gt;=0, "Profit","Loss")</f>
        <v>Loss</v>
      </c>
    </row>
    <row r="67" spans="1:19" x14ac:dyDescent="0.3">
      <c r="A67" s="4" t="s">
        <v>174</v>
      </c>
      <c r="B67" s="5">
        <v>45273</v>
      </c>
      <c r="C67" s="6" t="s">
        <v>175</v>
      </c>
      <c r="D67" s="6" t="s">
        <v>64</v>
      </c>
      <c r="E67" s="6">
        <v>24393</v>
      </c>
      <c r="F67" s="6">
        <v>23.6</v>
      </c>
      <c r="G67" s="6">
        <v>36</v>
      </c>
      <c r="H67" s="6" t="s">
        <v>19</v>
      </c>
      <c r="I67" s="6" t="s">
        <v>36</v>
      </c>
      <c r="J67" s="6" t="s">
        <v>32</v>
      </c>
      <c r="K67" s="6">
        <v>77664</v>
      </c>
      <c r="L67" s="6" t="s">
        <v>33</v>
      </c>
      <c r="M67" s="6">
        <v>0.12</v>
      </c>
      <c r="N67" s="6">
        <v>0.83</v>
      </c>
      <c r="O67" s="6">
        <v>30149.75</v>
      </c>
      <c r="P67" s="6">
        <v>0</v>
      </c>
      <c r="Q67" s="6">
        <f t="shared" ref="Q67:Q130" ca="1" si="5">DATEDIF(B67,TODAY(),"M")</f>
        <v>27</v>
      </c>
      <c r="R67" s="6">
        <f t="shared" si="3"/>
        <v>-5756.75</v>
      </c>
      <c r="S67" s="7" t="str">
        <f t="shared" si="4"/>
        <v>Loss</v>
      </c>
    </row>
    <row r="68" spans="1:19" x14ac:dyDescent="0.3">
      <c r="A68" s="4" t="s">
        <v>176</v>
      </c>
      <c r="B68" s="5">
        <v>44988</v>
      </c>
      <c r="C68" s="6" t="s">
        <v>177</v>
      </c>
      <c r="D68" s="6" t="s">
        <v>18</v>
      </c>
      <c r="E68" s="6">
        <v>24051</v>
      </c>
      <c r="F68" s="6">
        <v>18.5</v>
      </c>
      <c r="G68" s="6">
        <v>60</v>
      </c>
      <c r="H68" s="6" t="s">
        <v>80</v>
      </c>
      <c r="I68" s="6" t="s">
        <v>20</v>
      </c>
      <c r="J68" s="6" t="s">
        <v>32</v>
      </c>
      <c r="K68" s="6">
        <v>78008</v>
      </c>
      <c r="L68" s="6" t="s">
        <v>29</v>
      </c>
      <c r="M68" s="6">
        <v>0.41</v>
      </c>
      <c r="N68" s="6">
        <v>0.66</v>
      </c>
      <c r="O68" s="6">
        <v>2509.5100000000002</v>
      </c>
      <c r="P68" s="6">
        <v>11762.86</v>
      </c>
      <c r="Q68" s="6">
        <f t="shared" ca="1" si="5"/>
        <v>36</v>
      </c>
      <c r="R68" s="6">
        <f t="shared" si="3"/>
        <v>21541.489999999998</v>
      </c>
      <c r="S68" s="7" t="str">
        <f t="shared" si="4"/>
        <v>Profit</v>
      </c>
    </row>
    <row r="69" spans="1:19" x14ac:dyDescent="0.3">
      <c r="A69" s="4" t="s">
        <v>178</v>
      </c>
      <c r="B69" s="5">
        <v>44413</v>
      </c>
      <c r="C69" s="6" t="s">
        <v>179</v>
      </c>
      <c r="D69" s="6" t="s">
        <v>64</v>
      </c>
      <c r="E69" s="6">
        <v>27212</v>
      </c>
      <c r="F69" s="6">
        <v>14.9</v>
      </c>
      <c r="G69" s="6">
        <v>60</v>
      </c>
      <c r="H69" s="6" t="s">
        <v>26</v>
      </c>
      <c r="I69" s="6" t="s">
        <v>72</v>
      </c>
      <c r="J69" s="6" t="s">
        <v>32</v>
      </c>
      <c r="K69" s="6">
        <v>44683</v>
      </c>
      <c r="L69" s="6" t="s">
        <v>29</v>
      </c>
      <c r="M69" s="6">
        <v>0.26</v>
      </c>
      <c r="N69" s="6">
        <v>0.54</v>
      </c>
      <c r="O69" s="6">
        <v>2820.6</v>
      </c>
      <c r="P69" s="6">
        <v>0</v>
      </c>
      <c r="Q69" s="6">
        <f t="shared" ca="1" si="5"/>
        <v>55</v>
      </c>
      <c r="R69" s="6">
        <f t="shared" si="3"/>
        <v>24391.4</v>
      </c>
      <c r="S69" s="7" t="str">
        <f t="shared" si="4"/>
        <v>Profit</v>
      </c>
    </row>
    <row r="70" spans="1:19" x14ac:dyDescent="0.3">
      <c r="A70" s="4" t="s">
        <v>180</v>
      </c>
      <c r="B70" s="5">
        <v>44960</v>
      </c>
      <c r="C70" s="6" t="s">
        <v>181</v>
      </c>
      <c r="D70" s="6" t="s">
        <v>75</v>
      </c>
      <c r="E70" s="6">
        <v>5090</v>
      </c>
      <c r="F70" s="6">
        <v>5.3</v>
      </c>
      <c r="G70" s="6">
        <v>60</v>
      </c>
      <c r="H70" s="6" t="s">
        <v>19</v>
      </c>
      <c r="I70" s="6" t="s">
        <v>72</v>
      </c>
      <c r="J70" s="6" t="s">
        <v>32</v>
      </c>
      <c r="K70" s="6">
        <v>30670</v>
      </c>
      <c r="L70" s="6" t="s">
        <v>33</v>
      </c>
      <c r="M70" s="6">
        <v>0.28000000000000003</v>
      </c>
      <c r="N70" s="6">
        <v>0.59</v>
      </c>
      <c r="O70" s="6">
        <v>5359.77</v>
      </c>
      <c r="P70" s="6">
        <v>0</v>
      </c>
      <c r="Q70" s="6">
        <f t="shared" ca="1" si="5"/>
        <v>37</v>
      </c>
      <c r="R70" s="6">
        <f t="shared" si="3"/>
        <v>-269.77000000000044</v>
      </c>
      <c r="S70" s="7" t="str">
        <f t="shared" si="4"/>
        <v>Loss</v>
      </c>
    </row>
    <row r="71" spans="1:19" x14ac:dyDescent="0.3">
      <c r="A71" s="4" t="s">
        <v>182</v>
      </c>
      <c r="B71" s="5">
        <v>44384</v>
      </c>
      <c r="C71" s="6" t="s">
        <v>183</v>
      </c>
      <c r="D71" s="6" t="s">
        <v>75</v>
      </c>
      <c r="E71" s="6">
        <v>7960</v>
      </c>
      <c r="F71" s="6">
        <v>24.8</v>
      </c>
      <c r="G71" s="6">
        <v>60</v>
      </c>
      <c r="H71" s="6" t="s">
        <v>19</v>
      </c>
      <c r="I71" s="6" t="s">
        <v>27</v>
      </c>
      <c r="J71" s="6" t="s">
        <v>37</v>
      </c>
      <c r="K71" s="6">
        <v>119211</v>
      </c>
      <c r="L71" s="6" t="s">
        <v>22</v>
      </c>
      <c r="M71" s="6">
        <v>0.46</v>
      </c>
      <c r="N71" s="6">
        <v>0.75</v>
      </c>
      <c r="O71" s="6">
        <v>9934.08</v>
      </c>
      <c r="P71" s="6">
        <v>0</v>
      </c>
      <c r="Q71" s="6">
        <f t="shared" ca="1" si="5"/>
        <v>56</v>
      </c>
      <c r="R71" s="6">
        <f t="shared" si="3"/>
        <v>-1974.08</v>
      </c>
      <c r="S71" s="7" t="str">
        <f t="shared" si="4"/>
        <v>Loss</v>
      </c>
    </row>
    <row r="72" spans="1:19" x14ac:dyDescent="0.3">
      <c r="A72" s="4" t="s">
        <v>184</v>
      </c>
      <c r="B72" s="5">
        <v>44576</v>
      </c>
      <c r="C72" s="6" t="s">
        <v>185</v>
      </c>
      <c r="D72" s="6" t="s">
        <v>56</v>
      </c>
      <c r="E72" s="6">
        <v>36772</v>
      </c>
      <c r="F72" s="6">
        <v>18.399999999999999</v>
      </c>
      <c r="G72" s="6">
        <v>36</v>
      </c>
      <c r="H72" s="6" t="s">
        <v>19</v>
      </c>
      <c r="I72" s="6" t="s">
        <v>72</v>
      </c>
      <c r="J72" s="6" t="s">
        <v>21</v>
      </c>
      <c r="K72" s="6">
        <v>47889</v>
      </c>
      <c r="L72" s="6" t="s">
        <v>22</v>
      </c>
      <c r="M72" s="6">
        <v>0.36</v>
      </c>
      <c r="N72" s="6">
        <v>0.59</v>
      </c>
      <c r="O72" s="6">
        <v>43538.05</v>
      </c>
      <c r="P72" s="6">
        <v>0</v>
      </c>
      <c r="Q72" s="6">
        <f t="shared" ca="1" si="5"/>
        <v>50</v>
      </c>
      <c r="R72" s="6">
        <f t="shared" si="3"/>
        <v>-6766.0500000000029</v>
      </c>
      <c r="S72" s="7" t="str">
        <f t="shared" si="4"/>
        <v>Loss</v>
      </c>
    </row>
    <row r="73" spans="1:19" x14ac:dyDescent="0.3">
      <c r="A73" s="4" t="s">
        <v>186</v>
      </c>
      <c r="B73" s="5">
        <v>44689</v>
      </c>
      <c r="C73" s="6" t="s">
        <v>187</v>
      </c>
      <c r="D73" s="6" t="s">
        <v>46</v>
      </c>
      <c r="E73" s="6">
        <v>22520</v>
      </c>
      <c r="F73" s="6">
        <v>11.3</v>
      </c>
      <c r="G73" s="6">
        <v>60</v>
      </c>
      <c r="H73" s="6" t="s">
        <v>19</v>
      </c>
      <c r="I73" s="6" t="s">
        <v>57</v>
      </c>
      <c r="J73" s="6" t="s">
        <v>32</v>
      </c>
      <c r="K73" s="6">
        <v>85612</v>
      </c>
      <c r="L73" s="6" t="s">
        <v>29</v>
      </c>
      <c r="M73" s="6">
        <v>0.1</v>
      </c>
      <c r="N73" s="6">
        <v>0.74</v>
      </c>
      <c r="O73" s="6">
        <v>25064.76</v>
      </c>
      <c r="P73" s="6">
        <v>0</v>
      </c>
      <c r="Q73" s="6">
        <f t="shared" ca="1" si="5"/>
        <v>46</v>
      </c>
      <c r="R73" s="6">
        <f t="shared" si="3"/>
        <v>-2544.7599999999984</v>
      </c>
      <c r="S73" s="7" t="str">
        <f t="shared" si="4"/>
        <v>Loss</v>
      </c>
    </row>
    <row r="74" spans="1:19" x14ac:dyDescent="0.3">
      <c r="A74" s="4" t="s">
        <v>188</v>
      </c>
      <c r="B74" s="5">
        <v>45261</v>
      </c>
      <c r="C74" s="6" t="s">
        <v>189</v>
      </c>
      <c r="D74" s="6" t="s">
        <v>18</v>
      </c>
      <c r="E74" s="6">
        <v>37408</v>
      </c>
      <c r="F74" s="6">
        <v>22.6</v>
      </c>
      <c r="G74" s="6">
        <v>60</v>
      </c>
      <c r="H74" s="6" t="s">
        <v>19</v>
      </c>
      <c r="I74" s="6" t="s">
        <v>20</v>
      </c>
      <c r="J74" s="6" t="s">
        <v>28</v>
      </c>
      <c r="K74" s="6">
        <v>74535</v>
      </c>
      <c r="L74" s="6" t="s">
        <v>33</v>
      </c>
      <c r="M74" s="6">
        <v>0.48</v>
      </c>
      <c r="N74" s="6">
        <v>0.6</v>
      </c>
      <c r="O74" s="6">
        <v>45862.21</v>
      </c>
      <c r="P74" s="6">
        <v>0</v>
      </c>
      <c r="Q74" s="6">
        <f t="shared" ca="1" si="5"/>
        <v>27</v>
      </c>
      <c r="R74" s="6">
        <f t="shared" si="3"/>
        <v>-8454.2099999999991</v>
      </c>
      <c r="S74" s="7" t="str">
        <f t="shared" si="4"/>
        <v>Loss</v>
      </c>
    </row>
    <row r="75" spans="1:19" x14ac:dyDescent="0.3">
      <c r="A75" s="4" t="s">
        <v>190</v>
      </c>
      <c r="B75" s="5">
        <v>44211</v>
      </c>
      <c r="C75" s="6" t="s">
        <v>191</v>
      </c>
      <c r="D75" s="6" t="s">
        <v>64</v>
      </c>
      <c r="E75" s="6">
        <v>29470</v>
      </c>
      <c r="F75" s="6">
        <v>10.199999999999999</v>
      </c>
      <c r="G75" s="6">
        <v>36</v>
      </c>
      <c r="H75" s="6" t="s">
        <v>26</v>
      </c>
      <c r="I75" s="6" t="s">
        <v>72</v>
      </c>
      <c r="J75" s="6" t="s">
        <v>32</v>
      </c>
      <c r="K75" s="6">
        <v>108542</v>
      </c>
      <c r="L75" s="6" t="s">
        <v>29</v>
      </c>
      <c r="M75" s="6">
        <v>0.19</v>
      </c>
      <c r="N75" s="6">
        <v>0.88</v>
      </c>
      <c r="O75" s="6">
        <v>10081.43</v>
      </c>
      <c r="P75" s="6">
        <v>0</v>
      </c>
      <c r="Q75" s="6">
        <f t="shared" ca="1" si="5"/>
        <v>62</v>
      </c>
      <c r="R75" s="6">
        <f t="shared" si="3"/>
        <v>19388.57</v>
      </c>
      <c r="S75" s="7" t="str">
        <f t="shared" si="4"/>
        <v>Profit</v>
      </c>
    </row>
    <row r="76" spans="1:19" x14ac:dyDescent="0.3">
      <c r="A76" s="4" t="s">
        <v>192</v>
      </c>
      <c r="B76" s="5">
        <v>44261</v>
      </c>
      <c r="C76" s="6" t="s">
        <v>193</v>
      </c>
      <c r="D76" s="6" t="s">
        <v>46</v>
      </c>
      <c r="E76" s="6">
        <v>21491</v>
      </c>
      <c r="F76" s="6">
        <v>15.9</v>
      </c>
      <c r="G76" s="6">
        <v>36</v>
      </c>
      <c r="H76" s="6" t="s">
        <v>19</v>
      </c>
      <c r="I76" s="6" t="s">
        <v>27</v>
      </c>
      <c r="J76" s="6" t="s">
        <v>37</v>
      </c>
      <c r="K76" s="6">
        <v>84319</v>
      </c>
      <c r="L76" s="6" t="s">
        <v>29</v>
      </c>
      <c r="M76" s="6">
        <v>0.14000000000000001</v>
      </c>
      <c r="N76" s="6">
        <v>0.68</v>
      </c>
      <c r="O76" s="6">
        <v>24908.07</v>
      </c>
      <c r="P76" s="6">
        <v>0</v>
      </c>
      <c r="Q76" s="6">
        <f t="shared" ca="1" si="5"/>
        <v>60</v>
      </c>
      <c r="R76" s="6">
        <f t="shared" si="3"/>
        <v>-3417.0699999999997</v>
      </c>
      <c r="S76" s="7" t="str">
        <f t="shared" si="4"/>
        <v>Loss</v>
      </c>
    </row>
    <row r="77" spans="1:19" x14ac:dyDescent="0.3">
      <c r="A77" s="4" t="s">
        <v>194</v>
      </c>
      <c r="B77" s="5">
        <v>44717</v>
      </c>
      <c r="C77" s="6" t="s">
        <v>195</v>
      </c>
      <c r="D77" s="6" t="s">
        <v>64</v>
      </c>
      <c r="E77" s="6">
        <v>2341</v>
      </c>
      <c r="F77" s="6">
        <v>17.7</v>
      </c>
      <c r="G77" s="6">
        <v>60</v>
      </c>
      <c r="H77" s="6" t="s">
        <v>26</v>
      </c>
      <c r="I77" s="6" t="s">
        <v>72</v>
      </c>
      <c r="J77" s="6" t="s">
        <v>28</v>
      </c>
      <c r="K77" s="6">
        <v>144072</v>
      </c>
      <c r="L77" s="6" t="s">
        <v>22</v>
      </c>
      <c r="M77" s="6">
        <v>0.41</v>
      </c>
      <c r="N77" s="6">
        <v>0.61</v>
      </c>
      <c r="O77" s="6">
        <v>714.53</v>
      </c>
      <c r="P77" s="6">
        <v>0</v>
      </c>
      <c r="Q77" s="6">
        <f t="shared" ca="1" si="5"/>
        <v>45</v>
      </c>
      <c r="R77" s="6">
        <f t="shared" si="3"/>
        <v>1626.47</v>
      </c>
      <c r="S77" s="7" t="str">
        <f t="shared" si="4"/>
        <v>Profit</v>
      </c>
    </row>
    <row r="78" spans="1:19" x14ac:dyDescent="0.3">
      <c r="A78" s="4" t="s">
        <v>196</v>
      </c>
      <c r="B78" s="5">
        <v>44844</v>
      </c>
      <c r="C78" s="6" t="s">
        <v>197</v>
      </c>
      <c r="D78" s="6" t="s">
        <v>64</v>
      </c>
      <c r="E78" s="6">
        <v>25791</v>
      </c>
      <c r="F78" s="6">
        <v>9.4</v>
      </c>
      <c r="G78" s="6">
        <v>60</v>
      </c>
      <c r="H78" s="6" t="s">
        <v>26</v>
      </c>
      <c r="I78" s="6" t="s">
        <v>27</v>
      </c>
      <c r="J78" s="6" t="s">
        <v>32</v>
      </c>
      <c r="K78" s="6">
        <v>122067</v>
      </c>
      <c r="L78" s="6" t="s">
        <v>33</v>
      </c>
      <c r="M78" s="6">
        <v>0.3</v>
      </c>
      <c r="N78" s="6">
        <v>0.87</v>
      </c>
      <c r="O78" s="6">
        <v>7712.63</v>
      </c>
      <c r="P78" s="6">
        <v>0</v>
      </c>
      <c r="Q78" s="6">
        <f t="shared" ca="1" si="5"/>
        <v>41</v>
      </c>
      <c r="R78" s="6">
        <f t="shared" si="3"/>
        <v>18078.37</v>
      </c>
      <c r="S78" s="7" t="str">
        <f t="shared" si="4"/>
        <v>Profit</v>
      </c>
    </row>
    <row r="79" spans="1:19" x14ac:dyDescent="0.3">
      <c r="A79" s="4" t="s">
        <v>198</v>
      </c>
      <c r="B79" s="5">
        <v>45283</v>
      </c>
      <c r="C79" s="6" t="s">
        <v>199</v>
      </c>
      <c r="D79" s="6" t="s">
        <v>25</v>
      </c>
      <c r="E79" s="6">
        <v>1338</v>
      </c>
      <c r="F79" s="6">
        <v>24.6</v>
      </c>
      <c r="G79" s="6">
        <v>36</v>
      </c>
      <c r="H79" s="6" t="s">
        <v>19</v>
      </c>
      <c r="I79" s="6" t="s">
        <v>20</v>
      </c>
      <c r="J79" s="6" t="s">
        <v>21</v>
      </c>
      <c r="K79" s="6">
        <v>51639</v>
      </c>
      <c r="L79" s="6" t="s">
        <v>29</v>
      </c>
      <c r="M79" s="6">
        <v>0.27</v>
      </c>
      <c r="N79" s="6">
        <v>0.65</v>
      </c>
      <c r="O79" s="6">
        <v>1667.15</v>
      </c>
      <c r="P79" s="6">
        <v>0</v>
      </c>
      <c r="Q79" s="6">
        <f t="shared" ca="1" si="5"/>
        <v>26</v>
      </c>
      <c r="R79" s="6">
        <f t="shared" si="3"/>
        <v>-329.15000000000009</v>
      </c>
      <c r="S79" s="7" t="str">
        <f t="shared" si="4"/>
        <v>Loss</v>
      </c>
    </row>
    <row r="80" spans="1:19" x14ac:dyDescent="0.3">
      <c r="A80" s="4" t="s">
        <v>200</v>
      </c>
      <c r="B80" s="5">
        <v>44789</v>
      </c>
      <c r="C80" s="6" t="s">
        <v>201</v>
      </c>
      <c r="D80" s="6" t="s">
        <v>75</v>
      </c>
      <c r="E80" s="6">
        <v>6895</v>
      </c>
      <c r="F80" s="6">
        <v>20</v>
      </c>
      <c r="G80" s="6">
        <v>60</v>
      </c>
      <c r="H80" s="6" t="s">
        <v>19</v>
      </c>
      <c r="I80" s="6" t="s">
        <v>36</v>
      </c>
      <c r="J80" s="6" t="s">
        <v>28</v>
      </c>
      <c r="K80" s="6">
        <v>94712</v>
      </c>
      <c r="L80" s="6" t="s">
        <v>22</v>
      </c>
      <c r="M80" s="6">
        <v>0.2</v>
      </c>
      <c r="N80" s="6">
        <v>0.55000000000000004</v>
      </c>
      <c r="O80" s="6">
        <v>8274</v>
      </c>
      <c r="P80" s="6">
        <v>0</v>
      </c>
      <c r="Q80" s="6">
        <f t="shared" ca="1" si="5"/>
        <v>43</v>
      </c>
      <c r="R80" s="6">
        <f t="shared" si="3"/>
        <v>-1379</v>
      </c>
      <c r="S80" s="7" t="str">
        <f t="shared" si="4"/>
        <v>Loss</v>
      </c>
    </row>
    <row r="81" spans="1:19" x14ac:dyDescent="0.3">
      <c r="A81" s="4" t="s">
        <v>202</v>
      </c>
      <c r="B81" s="5">
        <v>44588</v>
      </c>
      <c r="C81" s="6" t="s">
        <v>203</v>
      </c>
      <c r="D81" s="6" t="s">
        <v>64</v>
      </c>
      <c r="E81" s="6">
        <v>13254</v>
      </c>
      <c r="F81" s="6">
        <v>16.2</v>
      </c>
      <c r="G81" s="6">
        <v>60</v>
      </c>
      <c r="H81" s="6" t="s">
        <v>19</v>
      </c>
      <c r="I81" s="6" t="s">
        <v>72</v>
      </c>
      <c r="J81" s="6" t="s">
        <v>28</v>
      </c>
      <c r="K81" s="6">
        <v>46633</v>
      </c>
      <c r="L81" s="6" t="s">
        <v>29</v>
      </c>
      <c r="M81" s="6">
        <v>0.32</v>
      </c>
      <c r="N81" s="6">
        <v>0.76</v>
      </c>
      <c r="O81" s="6">
        <v>15401.15</v>
      </c>
      <c r="P81" s="6">
        <v>0</v>
      </c>
      <c r="Q81" s="6">
        <f t="shared" ca="1" si="5"/>
        <v>49</v>
      </c>
      <c r="R81" s="6">
        <f t="shared" si="3"/>
        <v>-2147.1499999999996</v>
      </c>
      <c r="S81" s="7" t="str">
        <f t="shared" si="4"/>
        <v>Loss</v>
      </c>
    </row>
    <row r="82" spans="1:19" x14ac:dyDescent="0.3">
      <c r="A82" s="4" t="s">
        <v>204</v>
      </c>
      <c r="B82" s="5">
        <v>44615</v>
      </c>
      <c r="C82" s="6" t="s">
        <v>205</v>
      </c>
      <c r="D82" s="6" t="s">
        <v>25</v>
      </c>
      <c r="E82" s="6">
        <v>12344</v>
      </c>
      <c r="F82" s="6">
        <v>8.6</v>
      </c>
      <c r="G82" s="6">
        <v>60</v>
      </c>
      <c r="H82" s="6" t="s">
        <v>19</v>
      </c>
      <c r="I82" s="6" t="s">
        <v>20</v>
      </c>
      <c r="J82" s="6" t="s">
        <v>21</v>
      </c>
      <c r="K82" s="6">
        <v>64660</v>
      </c>
      <c r="L82" s="6" t="s">
        <v>29</v>
      </c>
      <c r="M82" s="6">
        <v>0.21</v>
      </c>
      <c r="N82" s="6">
        <v>0.76</v>
      </c>
      <c r="O82" s="6">
        <v>13405.58</v>
      </c>
      <c r="P82" s="6">
        <v>0</v>
      </c>
      <c r="Q82" s="6">
        <f t="shared" ca="1" si="5"/>
        <v>48</v>
      </c>
      <c r="R82" s="6">
        <f t="shared" si="3"/>
        <v>-1061.58</v>
      </c>
      <c r="S82" s="7" t="str">
        <f t="shared" si="4"/>
        <v>Loss</v>
      </c>
    </row>
    <row r="83" spans="1:19" x14ac:dyDescent="0.3">
      <c r="A83" s="4" t="s">
        <v>206</v>
      </c>
      <c r="B83" s="5">
        <v>44485</v>
      </c>
      <c r="C83" s="6" t="s">
        <v>207</v>
      </c>
      <c r="D83" s="6" t="s">
        <v>75</v>
      </c>
      <c r="E83" s="6">
        <v>2750</v>
      </c>
      <c r="F83" s="6">
        <v>6.1</v>
      </c>
      <c r="G83" s="6">
        <v>60</v>
      </c>
      <c r="H83" s="6" t="s">
        <v>26</v>
      </c>
      <c r="I83" s="6" t="s">
        <v>72</v>
      </c>
      <c r="J83" s="6" t="s">
        <v>28</v>
      </c>
      <c r="K83" s="6">
        <v>98975</v>
      </c>
      <c r="L83" s="6" t="s">
        <v>22</v>
      </c>
      <c r="M83" s="6">
        <v>0.46</v>
      </c>
      <c r="N83" s="6">
        <v>0.82</v>
      </c>
      <c r="O83" s="6">
        <v>176.92</v>
      </c>
      <c r="P83" s="6">
        <v>0</v>
      </c>
      <c r="Q83" s="6">
        <f t="shared" ca="1" si="5"/>
        <v>53</v>
      </c>
      <c r="R83" s="6">
        <f t="shared" si="3"/>
        <v>2573.08</v>
      </c>
      <c r="S83" s="7" t="str">
        <f t="shared" si="4"/>
        <v>Profit</v>
      </c>
    </row>
    <row r="84" spans="1:19" x14ac:dyDescent="0.3">
      <c r="A84" s="4" t="s">
        <v>208</v>
      </c>
      <c r="B84" s="5">
        <v>44575</v>
      </c>
      <c r="C84" s="6" t="s">
        <v>209</v>
      </c>
      <c r="D84" s="6" t="s">
        <v>25</v>
      </c>
      <c r="E84" s="6">
        <v>3421</v>
      </c>
      <c r="F84" s="6">
        <v>11.4</v>
      </c>
      <c r="G84" s="6">
        <v>36</v>
      </c>
      <c r="H84" s="6" t="s">
        <v>19</v>
      </c>
      <c r="I84" s="6" t="s">
        <v>83</v>
      </c>
      <c r="J84" s="6" t="s">
        <v>32</v>
      </c>
      <c r="K84" s="6">
        <v>62172</v>
      </c>
      <c r="L84" s="6" t="s">
        <v>22</v>
      </c>
      <c r="M84" s="6">
        <v>0.19</v>
      </c>
      <c r="N84" s="6">
        <v>0.61</v>
      </c>
      <c r="O84" s="6">
        <v>3810.99</v>
      </c>
      <c r="P84" s="6">
        <v>0</v>
      </c>
      <c r="Q84" s="6">
        <f t="shared" ca="1" si="5"/>
        <v>50</v>
      </c>
      <c r="R84" s="6">
        <f t="shared" si="3"/>
        <v>-389.98999999999978</v>
      </c>
      <c r="S84" s="7" t="str">
        <f t="shared" si="4"/>
        <v>Loss</v>
      </c>
    </row>
    <row r="85" spans="1:19" x14ac:dyDescent="0.3">
      <c r="A85" s="4" t="s">
        <v>210</v>
      </c>
      <c r="B85" s="5">
        <v>44427</v>
      </c>
      <c r="C85" s="6" t="s">
        <v>211</v>
      </c>
      <c r="D85" s="6" t="s">
        <v>46</v>
      </c>
      <c r="E85" s="6">
        <v>6319</v>
      </c>
      <c r="F85" s="6">
        <v>20.100000000000001</v>
      </c>
      <c r="G85" s="6">
        <v>36</v>
      </c>
      <c r="H85" s="6" t="s">
        <v>26</v>
      </c>
      <c r="I85" s="6" t="s">
        <v>36</v>
      </c>
      <c r="J85" s="6" t="s">
        <v>28</v>
      </c>
      <c r="K85" s="6">
        <v>89197</v>
      </c>
      <c r="L85" s="6" t="s">
        <v>33</v>
      </c>
      <c r="M85" s="6">
        <v>0.45</v>
      </c>
      <c r="N85" s="6">
        <v>0.7</v>
      </c>
      <c r="O85" s="6">
        <v>1650.44</v>
      </c>
      <c r="P85" s="6">
        <v>0</v>
      </c>
      <c r="Q85" s="6">
        <f t="shared" ca="1" si="5"/>
        <v>55</v>
      </c>
      <c r="R85" s="6">
        <f t="shared" si="3"/>
        <v>4668.5599999999995</v>
      </c>
      <c r="S85" s="7" t="str">
        <f t="shared" si="4"/>
        <v>Profit</v>
      </c>
    </row>
    <row r="86" spans="1:19" x14ac:dyDescent="0.3">
      <c r="A86" s="4" t="s">
        <v>212</v>
      </c>
      <c r="B86" s="5">
        <v>45214</v>
      </c>
      <c r="C86" s="6" t="s">
        <v>213</v>
      </c>
      <c r="D86" s="6" t="s">
        <v>53</v>
      </c>
      <c r="E86" s="6">
        <v>16896</v>
      </c>
      <c r="F86" s="6">
        <v>10.4</v>
      </c>
      <c r="G86" s="6">
        <v>36</v>
      </c>
      <c r="H86" s="6" t="s">
        <v>19</v>
      </c>
      <c r="I86" s="6" t="s">
        <v>57</v>
      </c>
      <c r="J86" s="6" t="s">
        <v>32</v>
      </c>
      <c r="K86" s="6">
        <v>131158</v>
      </c>
      <c r="L86" s="6" t="s">
        <v>29</v>
      </c>
      <c r="M86" s="6">
        <v>0.32</v>
      </c>
      <c r="N86" s="6">
        <v>0.63</v>
      </c>
      <c r="O86" s="6">
        <v>18653.18</v>
      </c>
      <c r="P86" s="6">
        <v>0</v>
      </c>
      <c r="Q86" s="6">
        <f t="shared" ca="1" si="5"/>
        <v>29</v>
      </c>
      <c r="R86" s="6">
        <f t="shared" si="3"/>
        <v>-1757.1800000000003</v>
      </c>
      <c r="S86" s="7" t="str">
        <f t="shared" si="4"/>
        <v>Loss</v>
      </c>
    </row>
    <row r="87" spans="1:19" x14ac:dyDescent="0.3">
      <c r="A87" s="4" t="s">
        <v>214</v>
      </c>
      <c r="B87" s="5">
        <v>44237</v>
      </c>
      <c r="C87" s="6" t="s">
        <v>215</v>
      </c>
      <c r="D87" s="6" t="s">
        <v>75</v>
      </c>
      <c r="E87" s="6">
        <v>12918</v>
      </c>
      <c r="F87" s="6">
        <v>15.8</v>
      </c>
      <c r="G87" s="6">
        <v>60</v>
      </c>
      <c r="H87" s="6" t="s">
        <v>19</v>
      </c>
      <c r="I87" s="6" t="s">
        <v>27</v>
      </c>
      <c r="J87" s="6" t="s">
        <v>21</v>
      </c>
      <c r="K87" s="6">
        <v>88847</v>
      </c>
      <c r="L87" s="6" t="s">
        <v>33</v>
      </c>
      <c r="M87" s="6">
        <v>0.43</v>
      </c>
      <c r="N87" s="6">
        <v>0.54</v>
      </c>
      <c r="O87" s="6">
        <v>14959.04</v>
      </c>
      <c r="P87" s="6">
        <v>0</v>
      </c>
      <c r="Q87" s="6">
        <f t="shared" ca="1" si="5"/>
        <v>61</v>
      </c>
      <c r="R87" s="6">
        <f t="shared" si="3"/>
        <v>-2041.0400000000009</v>
      </c>
      <c r="S87" s="7" t="str">
        <f t="shared" si="4"/>
        <v>Loss</v>
      </c>
    </row>
    <row r="88" spans="1:19" x14ac:dyDescent="0.3">
      <c r="A88" s="4" t="s">
        <v>216</v>
      </c>
      <c r="B88" s="5">
        <v>45248</v>
      </c>
      <c r="C88" s="6" t="s">
        <v>217</v>
      </c>
      <c r="D88" s="6" t="s">
        <v>50</v>
      </c>
      <c r="E88" s="6">
        <v>26064</v>
      </c>
      <c r="F88" s="6">
        <v>19.600000000000001</v>
      </c>
      <c r="G88" s="6">
        <v>60</v>
      </c>
      <c r="H88" s="6" t="s">
        <v>19</v>
      </c>
      <c r="I88" s="6" t="s">
        <v>20</v>
      </c>
      <c r="J88" s="6" t="s">
        <v>47</v>
      </c>
      <c r="K88" s="6">
        <v>41577</v>
      </c>
      <c r="L88" s="6" t="s">
        <v>22</v>
      </c>
      <c r="M88" s="6">
        <v>0.39</v>
      </c>
      <c r="N88" s="6">
        <v>0.89</v>
      </c>
      <c r="O88" s="6">
        <v>31172.54</v>
      </c>
      <c r="P88" s="6">
        <v>0</v>
      </c>
      <c r="Q88" s="6">
        <f t="shared" ca="1" si="5"/>
        <v>28</v>
      </c>
      <c r="R88" s="6">
        <f t="shared" si="3"/>
        <v>-5108.5400000000009</v>
      </c>
      <c r="S88" s="7" t="str">
        <f t="shared" si="4"/>
        <v>Loss</v>
      </c>
    </row>
    <row r="89" spans="1:19" x14ac:dyDescent="0.3">
      <c r="A89" s="4" t="s">
        <v>218</v>
      </c>
      <c r="B89" s="5">
        <v>44331</v>
      </c>
      <c r="C89" s="6" t="s">
        <v>219</v>
      </c>
      <c r="D89" s="6" t="s">
        <v>53</v>
      </c>
      <c r="E89" s="6">
        <v>28935</v>
      </c>
      <c r="F89" s="6">
        <v>7.2</v>
      </c>
      <c r="G89" s="6">
        <v>60</v>
      </c>
      <c r="H89" s="6" t="s">
        <v>19</v>
      </c>
      <c r="I89" s="6" t="s">
        <v>20</v>
      </c>
      <c r="J89" s="6" t="s">
        <v>21</v>
      </c>
      <c r="K89" s="6">
        <v>107299</v>
      </c>
      <c r="L89" s="6" t="s">
        <v>22</v>
      </c>
      <c r="M89" s="6">
        <v>0.38</v>
      </c>
      <c r="N89" s="6">
        <v>0.83</v>
      </c>
      <c r="O89" s="6">
        <v>31018.32</v>
      </c>
      <c r="P89" s="6">
        <v>0</v>
      </c>
      <c r="Q89" s="6">
        <f t="shared" ca="1" si="5"/>
        <v>58</v>
      </c>
      <c r="R89" s="6">
        <f t="shared" si="3"/>
        <v>-2083.3199999999997</v>
      </c>
      <c r="S89" s="7" t="str">
        <f t="shared" si="4"/>
        <v>Loss</v>
      </c>
    </row>
    <row r="90" spans="1:19" x14ac:dyDescent="0.3">
      <c r="A90" s="4" t="s">
        <v>220</v>
      </c>
      <c r="B90" s="5">
        <v>44397</v>
      </c>
      <c r="C90" s="6" t="s">
        <v>221</v>
      </c>
      <c r="D90" s="6" t="s">
        <v>46</v>
      </c>
      <c r="E90" s="6">
        <v>38641</v>
      </c>
      <c r="F90" s="6">
        <v>18.7</v>
      </c>
      <c r="G90" s="6">
        <v>60</v>
      </c>
      <c r="H90" s="6" t="s">
        <v>19</v>
      </c>
      <c r="I90" s="6" t="s">
        <v>72</v>
      </c>
      <c r="J90" s="6" t="s">
        <v>32</v>
      </c>
      <c r="K90" s="6">
        <v>50176</v>
      </c>
      <c r="L90" s="6" t="s">
        <v>29</v>
      </c>
      <c r="M90" s="6">
        <v>0.23</v>
      </c>
      <c r="N90" s="6">
        <v>0.64</v>
      </c>
      <c r="O90" s="6">
        <v>45866.87</v>
      </c>
      <c r="P90" s="6">
        <v>0</v>
      </c>
      <c r="Q90" s="6">
        <f t="shared" ca="1" si="5"/>
        <v>56</v>
      </c>
      <c r="R90" s="6">
        <f t="shared" si="3"/>
        <v>-7225.8700000000026</v>
      </c>
      <c r="S90" s="7" t="str">
        <f t="shared" si="4"/>
        <v>Loss</v>
      </c>
    </row>
    <row r="91" spans="1:19" x14ac:dyDescent="0.3">
      <c r="A91" s="4" t="s">
        <v>222</v>
      </c>
      <c r="B91" s="5">
        <v>44976</v>
      </c>
      <c r="C91" s="6" t="s">
        <v>223</v>
      </c>
      <c r="D91" s="6" t="s">
        <v>64</v>
      </c>
      <c r="E91" s="6">
        <v>30711</v>
      </c>
      <c r="F91" s="6">
        <v>6.8</v>
      </c>
      <c r="G91" s="6">
        <v>60</v>
      </c>
      <c r="H91" s="6" t="s">
        <v>19</v>
      </c>
      <c r="I91" s="6" t="s">
        <v>27</v>
      </c>
      <c r="J91" s="6" t="s">
        <v>37</v>
      </c>
      <c r="K91" s="6">
        <v>74386</v>
      </c>
      <c r="L91" s="6" t="s">
        <v>33</v>
      </c>
      <c r="M91" s="6">
        <v>0.19</v>
      </c>
      <c r="N91" s="6">
        <v>0.77</v>
      </c>
      <c r="O91" s="6">
        <v>32799.35</v>
      </c>
      <c r="P91" s="6">
        <v>0</v>
      </c>
      <c r="Q91" s="6">
        <f t="shared" ca="1" si="5"/>
        <v>37</v>
      </c>
      <c r="R91" s="6">
        <f t="shared" si="3"/>
        <v>-2088.3499999999985</v>
      </c>
      <c r="S91" s="7" t="str">
        <f t="shared" si="4"/>
        <v>Loss</v>
      </c>
    </row>
    <row r="92" spans="1:19" x14ac:dyDescent="0.3">
      <c r="A92" s="4" t="s">
        <v>224</v>
      </c>
      <c r="B92" s="5">
        <v>45126</v>
      </c>
      <c r="C92" s="6" t="s">
        <v>225</v>
      </c>
      <c r="D92" s="6" t="s">
        <v>18</v>
      </c>
      <c r="E92" s="6">
        <v>5806</v>
      </c>
      <c r="F92" s="6">
        <v>24.3</v>
      </c>
      <c r="G92" s="6">
        <v>36</v>
      </c>
      <c r="H92" s="6" t="s">
        <v>80</v>
      </c>
      <c r="I92" s="6" t="s">
        <v>83</v>
      </c>
      <c r="J92" s="6" t="s">
        <v>21</v>
      </c>
      <c r="K92" s="6">
        <v>93972</v>
      </c>
      <c r="L92" s="6" t="s">
        <v>33</v>
      </c>
      <c r="M92" s="6">
        <v>0.18</v>
      </c>
      <c r="N92" s="6">
        <v>0.59</v>
      </c>
      <c r="O92" s="6">
        <v>2191.11</v>
      </c>
      <c r="P92" s="6">
        <v>417.13</v>
      </c>
      <c r="Q92" s="6">
        <f t="shared" ca="1" si="5"/>
        <v>32</v>
      </c>
      <c r="R92" s="6">
        <f t="shared" si="3"/>
        <v>3614.89</v>
      </c>
      <c r="S92" s="7" t="str">
        <f t="shared" si="4"/>
        <v>Profit</v>
      </c>
    </row>
    <row r="93" spans="1:19" x14ac:dyDescent="0.3">
      <c r="A93" s="4" t="s">
        <v>226</v>
      </c>
      <c r="B93" s="5">
        <v>45253</v>
      </c>
      <c r="C93" s="6" t="s">
        <v>227</v>
      </c>
      <c r="D93" s="6" t="s">
        <v>46</v>
      </c>
      <c r="E93" s="6">
        <v>13182</v>
      </c>
      <c r="F93" s="6">
        <v>14.8</v>
      </c>
      <c r="G93" s="6">
        <v>60</v>
      </c>
      <c r="H93" s="6" t="s">
        <v>26</v>
      </c>
      <c r="I93" s="6" t="s">
        <v>57</v>
      </c>
      <c r="J93" s="6" t="s">
        <v>37</v>
      </c>
      <c r="K93" s="6">
        <v>119791</v>
      </c>
      <c r="L93" s="6" t="s">
        <v>29</v>
      </c>
      <c r="M93" s="6">
        <v>0.44</v>
      </c>
      <c r="N93" s="6">
        <v>0.9</v>
      </c>
      <c r="O93" s="6">
        <v>3017.58</v>
      </c>
      <c r="P93" s="6">
        <v>0</v>
      </c>
      <c r="Q93" s="6">
        <f t="shared" ca="1" si="5"/>
        <v>27</v>
      </c>
      <c r="R93" s="6">
        <f t="shared" si="3"/>
        <v>10164.42</v>
      </c>
      <c r="S93" s="7" t="str">
        <f t="shared" si="4"/>
        <v>Profit</v>
      </c>
    </row>
    <row r="94" spans="1:19" x14ac:dyDescent="0.3">
      <c r="A94" s="4" t="s">
        <v>228</v>
      </c>
      <c r="B94" s="5">
        <v>45268</v>
      </c>
      <c r="C94" s="6" t="s">
        <v>229</v>
      </c>
      <c r="D94" s="6" t="s">
        <v>25</v>
      </c>
      <c r="E94" s="6">
        <v>23297</v>
      </c>
      <c r="F94" s="6">
        <v>8</v>
      </c>
      <c r="G94" s="6">
        <v>60</v>
      </c>
      <c r="H94" s="6" t="s">
        <v>19</v>
      </c>
      <c r="I94" s="6" t="s">
        <v>20</v>
      </c>
      <c r="J94" s="6" t="s">
        <v>37</v>
      </c>
      <c r="K94" s="6">
        <v>71003</v>
      </c>
      <c r="L94" s="6" t="s">
        <v>29</v>
      </c>
      <c r="M94" s="6">
        <v>0.43</v>
      </c>
      <c r="N94" s="6">
        <v>0.55000000000000004</v>
      </c>
      <c r="O94" s="6">
        <v>25160.76</v>
      </c>
      <c r="P94" s="6">
        <v>0</v>
      </c>
      <c r="Q94" s="6">
        <f t="shared" ca="1" si="5"/>
        <v>27</v>
      </c>
      <c r="R94" s="6">
        <f t="shared" si="3"/>
        <v>-1863.7599999999984</v>
      </c>
      <c r="S94" s="7" t="str">
        <f t="shared" si="4"/>
        <v>Loss</v>
      </c>
    </row>
    <row r="95" spans="1:19" x14ac:dyDescent="0.3">
      <c r="A95" s="4" t="s">
        <v>230</v>
      </c>
      <c r="B95" s="5">
        <v>44699</v>
      </c>
      <c r="C95" s="6" t="s">
        <v>231</v>
      </c>
      <c r="D95" s="6" t="s">
        <v>25</v>
      </c>
      <c r="E95" s="6">
        <v>20541</v>
      </c>
      <c r="F95" s="6">
        <v>11.8</v>
      </c>
      <c r="G95" s="6">
        <v>36</v>
      </c>
      <c r="H95" s="6" t="s">
        <v>19</v>
      </c>
      <c r="I95" s="6" t="s">
        <v>72</v>
      </c>
      <c r="J95" s="6" t="s">
        <v>32</v>
      </c>
      <c r="K95" s="6">
        <v>49996</v>
      </c>
      <c r="L95" s="6" t="s">
        <v>33</v>
      </c>
      <c r="M95" s="6">
        <v>0.28000000000000003</v>
      </c>
      <c r="N95" s="6">
        <v>0.5</v>
      </c>
      <c r="O95" s="6">
        <v>22964.84</v>
      </c>
      <c r="P95" s="6">
        <v>0</v>
      </c>
      <c r="Q95" s="6">
        <f t="shared" ca="1" si="5"/>
        <v>46</v>
      </c>
      <c r="R95" s="6">
        <f t="shared" si="3"/>
        <v>-2423.84</v>
      </c>
      <c r="S95" s="7" t="str">
        <f t="shared" si="4"/>
        <v>Loss</v>
      </c>
    </row>
    <row r="96" spans="1:19" x14ac:dyDescent="0.3">
      <c r="A96" s="4" t="s">
        <v>232</v>
      </c>
      <c r="B96" s="5">
        <v>44603</v>
      </c>
      <c r="C96" s="6" t="s">
        <v>233</v>
      </c>
      <c r="D96" s="6" t="s">
        <v>25</v>
      </c>
      <c r="E96" s="6">
        <v>29921</v>
      </c>
      <c r="F96" s="6">
        <v>13.3</v>
      </c>
      <c r="G96" s="6">
        <v>60</v>
      </c>
      <c r="H96" s="6" t="s">
        <v>19</v>
      </c>
      <c r="I96" s="6" t="s">
        <v>20</v>
      </c>
      <c r="J96" s="6" t="s">
        <v>32</v>
      </c>
      <c r="K96" s="6">
        <v>130922</v>
      </c>
      <c r="L96" s="6" t="s">
        <v>22</v>
      </c>
      <c r="M96" s="6">
        <v>0.15</v>
      </c>
      <c r="N96" s="6">
        <v>0.73</v>
      </c>
      <c r="O96" s="6">
        <v>33900.49</v>
      </c>
      <c r="P96" s="6">
        <v>0</v>
      </c>
      <c r="Q96" s="6">
        <f t="shared" ca="1" si="5"/>
        <v>49</v>
      </c>
      <c r="R96" s="6">
        <f t="shared" si="3"/>
        <v>-3979.489999999998</v>
      </c>
      <c r="S96" s="7" t="str">
        <f t="shared" si="4"/>
        <v>Loss</v>
      </c>
    </row>
    <row r="97" spans="1:19" x14ac:dyDescent="0.3">
      <c r="A97" s="4" t="s">
        <v>234</v>
      </c>
      <c r="B97" s="5">
        <v>45001</v>
      </c>
      <c r="C97" s="6" t="s">
        <v>235</v>
      </c>
      <c r="D97" s="6" t="s">
        <v>25</v>
      </c>
      <c r="E97" s="6">
        <v>17774</v>
      </c>
      <c r="F97" s="6">
        <v>20.2</v>
      </c>
      <c r="G97" s="6">
        <v>36</v>
      </c>
      <c r="H97" s="6" t="s">
        <v>19</v>
      </c>
      <c r="I97" s="6" t="s">
        <v>20</v>
      </c>
      <c r="J97" s="6" t="s">
        <v>47</v>
      </c>
      <c r="K97" s="6">
        <v>116598</v>
      </c>
      <c r="L97" s="6" t="s">
        <v>22</v>
      </c>
      <c r="M97" s="6">
        <v>0.25</v>
      </c>
      <c r="N97" s="6">
        <v>0.76</v>
      </c>
      <c r="O97" s="6">
        <v>21364.35</v>
      </c>
      <c r="P97" s="6">
        <v>0</v>
      </c>
      <c r="Q97" s="6">
        <f t="shared" ca="1" si="5"/>
        <v>36</v>
      </c>
      <c r="R97" s="6">
        <f t="shared" si="3"/>
        <v>-3590.3499999999985</v>
      </c>
      <c r="S97" s="7" t="str">
        <f t="shared" si="4"/>
        <v>Loss</v>
      </c>
    </row>
    <row r="98" spans="1:19" x14ac:dyDescent="0.3">
      <c r="A98" s="4" t="s">
        <v>236</v>
      </c>
      <c r="B98" s="5">
        <v>44295</v>
      </c>
      <c r="C98" s="6" t="s">
        <v>237</v>
      </c>
      <c r="D98" s="6" t="s">
        <v>46</v>
      </c>
      <c r="E98" s="6">
        <v>38198</v>
      </c>
      <c r="F98" s="6">
        <v>19.899999999999999</v>
      </c>
      <c r="G98" s="6">
        <v>36</v>
      </c>
      <c r="H98" s="6" t="s">
        <v>19</v>
      </c>
      <c r="I98" s="6" t="s">
        <v>57</v>
      </c>
      <c r="J98" s="6" t="s">
        <v>28</v>
      </c>
      <c r="K98" s="6">
        <v>65931</v>
      </c>
      <c r="L98" s="6" t="s">
        <v>29</v>
      </c>
      <c r="M98" s="6">
        <v>0.35</v>
      </c>
      <c r="N98" s="6">
        <v>0.76</v>
      </c>
      <c r="O98" s="6">
        <v>45799.4</v>
      </c>
      <c r="P98" s="6">
        <v>0</v>
      </c>
      <c r="Q98" s="6">
        <f t="shared" ca="1" si="5"/>
        <v>59</v>
      </c>
      <c r="R98" s="6">
        <f t="shared" si="3"/>
        <v>-7601.4000000000015</v>
      </c>
      <c r="S98" s="7" t="str">
        <f t="shared" si="4"/>
        <v>Loss</v>
      </c>
    </row>
    <row r="99" spans="1:19" x14ac:dyDescent="0.3">
      <c r="A99" s="4" t="s">
        <v>238</v>
      </c>
      <c r="B99" s="5">
        <v>44880</v>
      </c>
      <c r="C99" s="6" t="s">
        <v>239</v>
      </c>
      <c r="D99" s="6" t="s">
        <v>18</v>
      </c>
      <c r="E99" s="6">
        <v>9820</v>
      </c>
      <c r="F99" s="6">
        <v>17.2</v>
      </c>
      <c r="G99" s="6">
        <v>36</v>
      </c>
      <c r="H99" s="6" t="s">
        <v>19</v>
      </c>
      <c r="I99" s="6" t="s">
        <v>57</v>
      </c>
      <c r="J99" s="6" t="s">
        <v>21</v>
      </c>
      <c r="K99" s="6">
        <v>65710</v>
      </c>
      <c r="L99" s="6" t="s">
        <v>33</v>
      </c>
      <c r="M99" s="6">
        <v>0.28000000000000003</v>
      </c>
      <c r="N99" s="6">
        <v>0.52</v>
      </c>
      <c r="O99" s="6">
        <v>11509.04</v>
      </c>
      <c r="P99" s="6">
        <v>0</v>
      </c>
      <c r="Q99" s="6">
        <f t="shared" ca="1" si="5"/>
        <v>40</v>
      </c>
      <c r="R99" s="6">
        <f t="shared" si="3"/>
        <v>-1689.0400000000009</v>
      </c>
      <c r="S99" s="7" t="str">
        <f t="shared" si="4"/>
        <v>Loss</v>
      </c>
    </row>
    <row r="100" spans="1:19" x14ac:dyDescent="0.3">
      <c r="A100" s="4" t="s">
        <v>240</v>
      </c>
      <c r="B100" s="5">
        <v>44922</v>
      </c>
      <c r="C100" s="6" t="s">
        <v>241</v>
      </c>
      <c r="D100" s="6" t="s">
        <v>40</v>
      </c>
      <c r="E100" s="6">
        <v>25070</v>
      </c>
      <c r="F100" s="6">
        <v>7.1</v>
      </c>
      <c r="G100" s="6">
        <v>36</v>
      </c>
      <c r="H100" s="6" t="s">
        <v>19</v>
      </c>
      <c r="I100" s="6" t="s">
        <v>57</v>
      </c>
      <c r="J100" s="6" t="s">
        <v>32</v>
      </c>
      <c r="K100" s="6">
        <v>64693</v>
      </c>
      <c r="L100" s="6" t="s">
        <v>33</v>
      </c>
      <c r="M100" s="6">
        <v>0.41</v>
      </c>
      <c r="N100" s="6">
        <v>0.64</v>
      </c>
      <c r="O100" s="6">
        <v>26849.97</v>
      </c>
      <c r="P100" s="6">
        <v>0</v>
      </c>
      <c r="Q100" s="6">
        <f t="shared" ca="1" si="5"/>
        <v>38</v>
      </c>
      <c r="R100" s="6">
        <f t="shared" si="3"/>
        <v>-1779.9700000000012</v>
      </c>
      <c r="S100" s="7" t="str">
        <f t="shared" si="4"/>
        <v>Loss</v>
      </c>
    </row>
    <row r="101" spans="1:19" x14ac:dyDescent="0.3">
      <c r="A101" s="4" t="s">
        <v>242</v>
      </c>
      <c r="B101" s="5">
        <v>45157</v>
      </c>
      <c r="C101" s="6" t="s">
        <v>243</v>
      </c>
      <c r="D101" s="6" t="s">
        <v>25</v>
      </c>
      <c r="E101" s="6">
        <v>5232</v>
      </c>
      <c r="F101" s="6">
        <v>8</v>
      </c>
      <c r="G101" s="6">
        <v>36</v>
      </c>
      <c r="H101" s="6" t="s">
        <v>19</v>
      </c>
      <c r="I101" s="6" t="s">
        <v>72</v>
      </c>
      <c r="J101" s="6" t="s">
        <v>21</v>
      </c>
      <c r="K101" s="6">
        <v>65740</v>
      </c>
      <c r="L101" s="6" t="s">
        <v>33</v>
      </c>
      <c r="M101" s="6">
        <v>0.5</v>
      </c>
      <c r="N101" s="6">
        <v>0.72</v>
      </c>
      <c r="O101" s="6">
        <v>5650.56</v>
      </c>
      <c r="P101" s="6">
        <v>0</v>
      </c>
      <c r="Q101" s="6">
        <f t="shared" ca="1" si="5"/>
        <v>31</v>
      </c>
      <c r="R101" s="6">
        <f t="shared" si="3"/>
        <v>-418.5600000000004</v>
      </c>
      <c r="S101" s="7" t="str">
        <f t="shared" si="4"/>
        <v>Loss</v>
      </c>
    </row>
    <row r="102" spans="1:19" x14ac:dyDescent="0.3">
      <c r="A102" s="4" t="s">
        <v>244</v>
      </c>
      <c r="B102" s="5">
        <v>44809</v>
      </c>
      <c r="C102" s="6" t="s">
        <v>245</v>
      </c>
      <c r="D102" s="6" t="s">
        <v>40</v>
      </c>
      <c r="E102" s="6">
        <v>12122</v>
      </c>
      <c r="F102" s="6">
        <v>6.9</v>
      </c>
      <c r="G102" s="6">
        <v>60</v>
      </c>
      <c r="H102" s="6" t="s">
        <v>19</v>
      </c>
      <c r="I102" s="6" t="s">
        <v>20</v>
      </c>
      <c r="J102" s="6" t="s">
        <v>37</v>
      </c>
      <c r="K102" s="6">
        <v>107241</v>
      </c>
      <c r="L102" s="6" t="s">
        <v>22</v>
      </c>
      <c r="M102" s="6">
        <v>0.18</v>
      </c>
      <c r="N102" s="6">
        <v>0.6</v>
      </c>
      <c r="O102" s="6">
        <v>12958.42</v>
      </c>
      <c r="P102" s="6">
        <v>0</v>
      </c>
      <c r="Q102" s="6">
        <f t="shared" ca="1" si="5"/>
        <v>42</v>
      </c>
      <c r="R102" s="6">
        <f t="shared" si="3"/>
        <v>-836.42000000000007</v>
      </c>
      <c r="S102" s="7" t="str">
        <f t="shared" si="4"/>
        <v>Loss</v>
      </c>
    </row>
    <row r="103" spans="1:19" x14ac:dyDescent="0.3">
      <c r="A103" s="4" t="s">
        <v>246</v>
      </c>
      <c r="B103" s="5">
        <v>44839</v>
      </c>
      <c r="C103" s="6" t="s">
        <v>247</v>
      </c>
      <c r="D103" s="6" t="s">
        <v>18</v>
      </c>
      <c r="E103" s="6">
        <v>16023</v>
      </c>
      <c r="F103" s="6">
        <v>16.5</v>
      </c>
      <c r="G103" s="6">
        <v>36</v>
      </c>
      <c r="H103" s="6" t="s">
        <v>19</v>
      </c>
      <c r="I103" s="6" t="s">
        <v>20</v>
      </c>
      <c r="J103" s="6" t="s">
        <v>28</v>
      </c>
      <c r="K103" s="6">
        <v>138944</v>
      </c>
      <c r="L103" s="6" t="s">
        <v>22</v>
      </c>
      <c r="M103" s="6">
        <v>0.28000000000000003</v>
      </c>
      <c r="N103" s="6">
        <v>0.89</v>
      </c>
      <c r="O103" s="6">
        <v>18666.8</v>
      </c>
      <c r="P103" s="6">
        <v>0</v>
      </c>
      <c r="Q103" s="6">
        <f t="shared" ca="1" si="5"/>
        <v>41</v>
      </c>
      <c r="R103" s="6">
        <f t="shared" si="3"/>
        <v>-2643.7999999999993</v>
      </c>
      <c r="S103" s="7" t="str">
        <f t="shared" si="4"/>
        <v>Loss</v>
      </c>
    </row>
    <row r="104" spans="1:19" x14ac:dyDescent="0.3">
      <c r="A104" s="4" t="s">
        <v>248</v>
      </c>
      <c r="B104" s="5">
        <v>45225</v>
      </c>
      <c r="C104" s="6" t="s">
        <v>249</v>
      </c>
      <c r="D104" s="6" t="s">
        <v>18</v>
      </c>
      <c r="E104" s="6">
        <v>9007</v>
      </c>
      <c r="F104" s="6">
        <v>22.5</v>
      </c>
      <c r="G104" s="6">
        <v>36</v>
      </c>
      <c r="H104" s="6" t="s">
        <v>26</v>
      </c>
      <c r="I104" s="6" t="s">
        <v>27</v>
      </c>
      <c r="J104" s="6" t="s">
        <v>47</v>
      </c>
      <c r="K104" s="6">
        <v>123583</v>
      </c>
      <c r="L104" s="6" t="s">
        <v>33</v>
      </c>
      <c r="M104" s="6">
        <v>0.27</v>
      </c>
      <c r="N104" s="6">
        <v>0.54</v>
      </c>
      <c r="O104" s="6">
        <v>2983.25</v>
      </c>
      <c r="P104" s="6">
        <v>0</v>
      </c>
      <c r="Q104" s="6">
        <f t="shared" ca="1" si="5"/>
        <v>28</v>
      </c>
      <c r="R104" s="6">
        <f t="shared" si="3"/>
        <v>6023.75</v>
      </c>
      <c r="S104" s="7" t="str">
        <f t="shared" si="4"/>
        <v>Profit</v>
      </c>
    </row>
    <row r="105" spans="1:19" x14ac:dyDescent="0.3">
      <c r="A105" s="4" t="s">
        <v>250</v>
      </c>
      <c r="B105" s="5">
        <v>44699</v>
      </c>
      <c r="C105" s="6" t="s">
        <v>251</v>
      </c>
      <c r="D105" s="6" t="s">
        <v>53</v>
      </c>
      <c r="E105" s="6">
        <v>18905</v>
      </c>
      <c r="F105" s="6">
        <v>13.7</v>
      </c>
      <c r="G105" s="6">
        <v>60</v>
      </c>
      <c r="H105" s="6" t="s">
        <v>19</v>
      </c>
      <c r="I105" s="6" t="s">
        <v>20</v>
      </c>
      <c r="J105" s="6" t="s">
        <v>21</v>
      </c>
      <c r="K105" s="6">
        <v>106502</v>
      </c>
      <c r="L105" s="6" t="s">
        <v>33</v>
      </c>
      <c r="M105" s="6">
        <v>0.22</v>
      </c>
      <c r="N105" s="6">
        <v>0.72</v>
      </c>
      <c r="O105" s="6">
        <v>21494.98</v>
      </c>
      <c r="P105" s="6">
        <v>0</v>
      </c>
      <c r="Q105" s="6">
        <f t="shared" ca="1" si="5"/>
        <v>46</v>
      </c>
      <c r="R105" s="6">
        <f t="shared" si="3"/>
        <v>-2589.9799999999996</v>
      </c>
      <c r="S105" s="7" t="str">
        <f t="shared" si="4"/>
        <v>Loss</v>
      </c>
    </row>
    <row r="106" spans="1:19" x14ac:dyDescent="0.3">
      <c r="A106" s="4" t="s">
        <v>252</v>
      </c>
      <c r="B106" s="5">
        <v>44963</v>
      </c>
      <c r="C106" s="6" t="s">
        <v>253</v>
      </c>
      <c r="D106" s="6" t="s">
        <v>75</v>
      </c>
      <c r="E106" s="6">
        <v>30398</v>
      </c>
      <c r="F106" s="6">
        <v>8.1999999999999993</v>
      </c>
      <c r="G106" s="6">
        <v>60</v>
      </c>
      <c r="H106" s="6" t="s">
        <v>19</v>
      </c>
      <c r="I106" s="6" t="s">
        <v>27</v>
      </c>
      <c r="J106" s="6" t="s">
        <v>28</v>
      </c>
      <c r="K106" s="6">
        <v>47374</v>
      </c>
      <c r="L106" s="6" t="s">
        <v>29</v>
      </c>
      <c r="M106" s="6">
        <v>0.18</v>
      </c>
      <c r="N106" s="6">
        <v>0.81</v>
      </c>
      <c r="O106" s="6">
        <v>32890.639999999999</v>
      </c>
      <c r="P106" s="6">
        <v>0</v>
      </c>
      <c r="Q106" s="6">
        <f t="shared" ca="1" si="5"/>
        <v>37</v>
      </c>
      <c r="R106" s="6">
        <f t="shared" si="3"/>
        <v>-2492.6399999999994</v>
      </c>
      <c r="S106" s="7" t="str">
        <f t="shared" si="4"/>
        <v>Loss</v>
      </c>
    </row>
    <row r="107" spans="1:19" x14ac:dyDescent="0.3">
      <c r="A107" s="4" t="s">
        <v>254</v>
      </c>
      <c r="B107" s="5">
        <v>44594</v>
      </c>
      <c r="C107" s="6" t="s">
        <v>255</v>
      </c>
      <c r="D107" s="6" t="s">
        <v>50</v>
      </c>
      <c r="E107" s="6">
        <v>35268</v>
      </c>
      <c r="F107" s="6">
        <v>16.2</v>
      </c>
      <c r="G107" s="6">
        <v>36</v>
      </c>
      <c r="H107" s="6" t="s">
        <v>26</v>
      </c>
      <c r="I107" s="6" t="s">
        <v>20</v>
      </c>
      <c r="J107" s="6" t="s">
        <v>47</v>
      </c>
      <c r="K107" s="6">
        <v>106674</v>
      </c>
      <c r="L107" s="6" t="s">
        <v>29</v>
      </c>
      <c r="M107" s="6">
        <v>0.13</v>
      </c>
      <c r="N107" s="6">
        <v>0.62</v>
      </c>
      <c r="O107" s="6">
        <v>14139.59</v>
      </c>
      <c r="P107" s="6">
        <v>0</v>
      </c>
      <c r="Q107" s="6">
        <f t="shared" ca="1" si="5"/>
        <v>49</v>
      </c>
      <c r="R107" s="6">
        <f t="shared" si="3"/>
        <v>21128.41</v>
      </c>
      <c r="S107" s="7" t="str">
        <f t="shared" si="4"/>
        <v>Profit</v>
      </c>
    </row>
    <row r="108" spans="1:19" x14ac:dyDescent="0.3">
      <c r="A108" s="4" t="s">
        <v>256</v>
      </c>
      <c r="B108" s="5">
        <v>45067</v>
      </c>
      <c r="C108" s="6" t="s">
        <v>257</v>
      </c>
      <c r="D108" s="6" t="s">
        <v>56</v>
      </c>
      <c r="E108" s="6">
        <v>7737</v>
      </c>
      <c r="F108" s="6">
        <v>21.2</v>
      </c>
      <c r="G108" s="6">
        <v>60</v>
      </c>
      <c r="H108" s="6" t="s">
        <v>80</v>
      </c>
      <c r="I108" s="6" t="s">
        <v>57</v>
      </c>
      <c r="J108" s="6" t="s">
        <v>21</v>
      </c>
      <c r="K108" s="6">
        <v>146500</v>
      </c>
      <c r="L108" s="6" t="s">
        <v>33</v>
      </c>
      <c r="M108" s="6">
        <v>0.45</v>
      </c>
      <c r="N108" s="6">
        <v>0.78</v>
      </c>
      <c r="O108" s="6">
        <v>2593.27</v>
      </c>
      <c r="P108" s="6">
        <v>2439.15</v>
      </c>
      <c r="Q108" s="6">
        <f t="shared" ca="1" si="5"/>
        <v>33</v>
      </c>
      <c r="R108" s="6">
        <f t="shared" si="3"/>
        <v>5143.7299999999996</v>
      </c>
      <c r="S108" s="7" t="str">
        <f t="shared" si="4"/>
        <v>Profit</v>
      </c>
    </row>
    <row r="109" spans="1:19" x14ac:dyDescent="0.3">
      <c r="A109" s="4" t="s">
        <v>258</v>
      </c>
      <c r="B109" s="5">
        <v>44991</v>
      </c>
      <c r="C109" s="6" t="s">
        <v>259</v>
      </c>
      <c r="D109" s="6" t="s">
        <v>50</v>
      </c>
      <c r="E109" s="6">
        <v>37062</v>
      </c>
      <c r="F109" s="6">
        <v>19.8</v>
      </c>
      <c r="G109" s="6">
        <v>60</v>
      </c>
      <c r="H109" s="6" t="s">
        <v>80</v>
      </c>
      <c r="I109" s="6" t="s">
        <v>20</v>
      </c>
      <c r="J109" s="6" t="s">
        <v>28</v>
      </c>
      <c r="K109" s="6">
        <v>111471</v>
      </c>
      <c r="L109" s="6" t="s">
        <v>33</v>
      </c>
      <c r="M109" s="6">
        <v>0.27</v>
      </c>
      <c r="N109" s="6">
        <v>0.87</v>
      </c>
      <c r="O109" s="6">
        <v>9479.8700000000008</v>
      </c>
      <c r="P109" s="6">
        <v>13222.79</v>
      </c>
      <c r="Q109" s="6">
        <f t="shared" ca="1" si="5"/>
        <v>36</v>
      </c>
      <c r="R109" s="6">
        <f t="shared" si="3"/>
        <v>27582.129999999997</v>
      </c>
      <c r="S109" s="7" t="str">
        <f t="shared" si="4"/>
        <v>Profit</v>
      </c>
    </row>
    <row r="110" spans="1:19" x14ac:dyDescent="0.3">
      <c r="A110" s="4" t="s">
        <v>260</v>
      </c>
      <c r="B110" s="5">
        <v>44589</v>
      </c>
      <c r="C110" s="6" t="s">
        <v>261</v>
      </c>
      <c r="D110" s="6" t="s">
        <v>46</v>
      </c>
      <c r="E110" s="6">
        <v>26510</v>
      </c>
      <c r="F110" s="6">
        <v>22.6</v>
      </c>
      <c r="G110" s="6">
        <v>36</v>
      </c>
      <c r="H110" s="6" t="s">
        <v>26</v>
      </c>
      <c r="I110" s="6" t="s">
        <v>20</v>
      </c>
      <c r="J110" s="6" t="s">
        <v>32</v>
      </c>
      <c r="K110" s="6">
        <v>75913</v>
      </c>
      <c r="L110" s="6" t="s">
        <v>22</v>
      </c>
      <c r="M110" s="6">
        <v>0.3</v>
      </c>
      <c r="N110" s="6">
        <v>0.59</v>
      </c>
      <c r="O110" s="6">
        <v>11560.44</v>
      </c>
      <c r="P110" s="6">
        <v>0</v>
      </c>
      <c r="Q110" s="6">
        <f t="shared" ca="1" si="5"/>
        <v>49</v>
      </c>
      <c r="R110" s="6">
        <f t="shared" si="3"/>
        <v>14949.56</v>
      </c>
      <c r="S110" s="7" t="str">
        <f t="shared" si="4"/>
        <v>Profit</v>
      </c>
    </row>
    <row r="111" spans="1:19" x14ac:dyDescent="0.3">
      <c r="A111" s="4" t="s">
        <v>262</v>
      </c>
      <c r="B111" s="5">
        <v>44403</v>
      </c>
      <c r="C111" s="6" t="s">
        <v>263</v>
      </c>
      <c r="D111" s="6" t="s">
        <v>56</v>
      </c>
      <c r="E111" s="6">
        <v>20426</v>
      </c>
      <c r="F111" s="6">
        <v>10.6</v>
      </c>
      <c r="G111" s="6">
        <v>36</v>
      </c>
      <c r="H111" s="6" t="s">
        <v>19</v>
      </c>
      <c r="I111" s="6" t="s">
        <v>72</v>
      </c>
      <c r="J111" s="6" t="s">
        <v>21</v>
      </c>
      <c r="K111" s="6">
        <v>96025</v>
      </c>
      <c r="L111" s="6" t="s">
        <v>33</v>
      </c>
      <c r="M111" s="6">
        <v>0.47</v>
      </c>
      <c r="N111" s="6">
        <v>0.91</v>
      </c>
      <c r="O111" s="6">
        <v>22591.16</v>
      </c>
      <c r="P111" s="6">
        <v>0</v>
      </c>
      <c r="Q111" s="6">
        <f t="shared" ca="1" si="5"/>
        <v>55</v>
      </c>
      <c r="R111" s="6">
        <f t="shared" si="3"/>
        <v>-2165.16</v>
      </c>
      <c r="S111" s="7" t="str">
        <f t="shared" si="4"/>
        <v>Loss</v>
      </c>
    </row>
    <row r="112" spans="1:19" x14ac:dyDescent="0.3">
      <c r="A112" s="4" t="s">
        <v>264</v>
      </c>
      <c r="B112" s="5">
        <v>45235</v>
      </c>
      <c r="C112" s="6" t="s">
        <v>265</v>
      </c>
      <c r="D112" s="6" t="s">
        <v>18</v>
      </c>
      <c r="E112" s="6">
        <v>38265</v>
      </c>
      <c r="F112" s="6">
        <v>8.9</v>
      </c>
      <c r="G112" s="6">
        <v>60</v>
      </c>
      <c r="H112" s="6" t="s">
        <v>26</v>
      </c>
      <c r="I112" s="6" t="s">
        <v>36</v>
      </c>
      <c r="J112" s="6" t="s">
        <v>28</v>
      </c>
      <c r="K112" s="6">
        <v>74516</v>
      </c>
      <c r="L112" s="6" t="s">
        <v>29</v>
      </c>
      <c r="M112" s="6">
        <v>0.41</v>
      </c>
      <c r="N112" s="6">
        <v>0.75</v>
      </c>
      <c r="O112" s="6">
        <v>8652.49</v>
      </c>
      <c r="P112" s="6">
        <v>0</v>
      </c>
      <c r="Q112" s="6">
        <f t="shared" ca="1" si="5"/>
        <v>28</v>
      </c>
      <c r="R112" s="6">
        <f t="shared" si="3"/>
        <v>29612.510000000002</v>
      </c>
      <c r="S112" s="7" t="str">
        <f t="shared" si="4"/>
        <v>Profit</v>
      </c>
    </row>
    <row r="113" spans="1:19" x14ac:dyDescent="0.3">
      <c r="A113" s="4" t="s">
        <v>266</v>
      </c>
      <c r="B113" s="5">
        <v>45088</v>
      </c>
      <c r="C113" s="6" t="s">
        <v>267</v>
      </c>
      <c r="D113" s="6" t="s">
        <v>50</v>
      </c>
      <c r="E113" s="6">
        <v>18850</v>
      </c>
      <c r="F113" s="6">
        <v>22.6</v>
      </c>
      <c r="G113" s="6">
        <v>36</v>
      </c>
      <c r="H113" s="6" t="s">
        <v>26</v>
      </c>
      <c r="I113" s="6" t="s">
        <v>20</v>
      </c>
      <c r="J113" s="6" t="s">
        <v>47</v>
      </c>
      <c r="K113" s="6">
        <v>117796</v>
      </c>
      <c r="L113" s="6" t="s">
        <v>22</v>
      </c>
      <c r="M113" s="6">
        <v>0.15</v>
      </c>
      <c r="N113" s="6">
        <v>0.63</v>
      </c>
      <c r="O113" s="6">
        <v>8480.84</v>
      </c>
      <c r="P113" s="6">
        <v>0</v>
      </c>
      <c r="Q113" s="6">
        <f t="shared" ca="1" si="5"/>
        <v>33</v>
      </c>
      <c r="R113" s="6">
        <f t="shared" si="3"/>
        <v>10369.16</v>
      </c>
      <c r="S113" s="7" t="str">
        <f t="shared" si="4"/>
        <v>Profit</v>
      </c>
    </row>
    <row r="114" spans="1:19" x14ac:dyDescent="0.3">
      <c r="A114" s="4" t="s">
        <v>268</v>
      </c>
      <c r="B114" s="5">
        <v>45060</v>
      </c>
      <c r="C114" s="6" t="s">
        <v>269</v>
      </c>
      <c r="D114" s="6" t="s">
        <v>71</v>
      </c>
      <c r="E114" s="6">
        <v>1614</v>
      </c>
      <c r="F114" s="6">
        <v>18.2</v>
      </c>
      <c r="G114" s="6">
        <v>36</v>
      </c>
      <c r="H114" s="6" t="s">
        <v>19</v>
      </c>
      <c r="I114" s="6" t="s">
        <v>57</v>
      </c>
      <c r="J114" s="6" t="s">
        <v>28</v>
      </c>
      <c r="K114" s="6">
        <v>56069</v>
      </c>
      <c r="L114" s="6" t="s">
        <v>29</v>
      </c>
      <c r="M114" s="6">
        <v>0.33</v>
      </c>
      <c r="N114" s="6">
        <v>0.69</v>
      </c>
      <c r="O114" s="6">
        <v>1907.75</v>
      </c>
      <c r="P114" s="6">
        <v>0</v>
      </c>
      <c r="Q114" s="6">
        <f t="shared" ca="1" si="5"/>
        <v>34</v>
      </c>
      <c r="R114" s="6">
        <f t="shared" si="3"/>
        <v>-293.75</v>
      </c>
      <c r="S114" s="7" t="str">
        <f t="shared" si="4"/>
        <v>Loss</v>
      </c>
    </row>
    <row r="115" spans="1:19" x14ac:dyDescent="0.3">
      <c r="A115" s="4" t="s">
        <v>270</v>
      </c>
      <c r="B115" s="5">
        <v>44939</v>
      </c>
      <c r="C115" s="6" t="s">
        <v>271</v>
      </c>
      <c r="D115" s="6" t="s">
        <v>75</v>
      </c>
      <c r="E115" s="6">
        <v>22776</v>
      </c>
      <c r="F115" s="6">
        <v>11.2</v>
      </c>
      <c r="G115" s="6">
        <v>60</v>
      </c>
      <c r="H115" s="6" t="s">
        <v>19</v>
      </c>
      <c r="I115" s="6" t="s">
        <v>27</v>
      </c>
      <c r="J115" s="6" t="s">
        <v>32</v>
      </c>
      <c r="K115" s="6">
        <v>148333</v>
      </c>
      <c r="L115" s="6" t="s">
        <v>29</v>
      </c>
      <c r="M115" s="6">
        <v>0.28000000000000003</v>
      </c>
      <c r="N115" s="6">
        <v>0.64</v>
      </c>
      <c r="O115" s="6">
        <v>25326.91</v>
      </c>
      <c r="P115" s="6">
        <v>0</v>
      </c>
      <c r="Q115" s="6">
        <f t="shared" ca="1" si="5"/>
        <v>38</v>
      </c>
      <c r="R115" s="6">
        <f t="shared" si="3"/>
        <v>-2550.91</v>
      </c>
      <c r="S115" s="7" t="str">
        <f t="shared" si="4"/>
        <v>Loss</v>
      </c>
    </row>
    <row r="116" spans="1:19" x14ac:dyDescent="0.3">
      <c r="A116" s="4" t="s">
        <v>272</v>
      </c>
      <c r="B116" s="5">
        <v>44760</v>
      </c>
      <c r="C116" s="6" t="s">
        <v>273</v>
      </c>
      <c r="D116" s="6" t="s">
        <v>50</v>
      </c>
      <c r="E116" s="6">
        <v>25077</v>
      </c>
      <c r="F116" s="6">
        <v>19.8</v>
      </c>
      <c r="G116" s="6">
        <v>36</v>
      </c>
      <c r="H116" s="6" t="s">
        <v>80</v>
      </c>
      <c r="I116" s="6" t="s">
        <v>72</v>
      </c>
      <c r="J116" s="6" t="s">
        <v>21</v>
      </c>
      <c r="K116" s="6">
        <v>86233</v>
      </c>
      <c r="L116" s="6" t="s">
        <v>22</v>
      </c>
      <c r="M116" s="6">
        <v>0.42</v>
      </c>
      <c r="N116" s="6">
        <v>0.83</v>
      </c>
      <c r="O116" s="6">
        <v>4314.95</v>
      </c>
      <c r="P116" s="6">
        <v>11970.48</v>
      </c>
      <c r="Q116" s="6">
        <f t="shared" ca="1" si="5"/>
        <v>44</v>
      </c>
      <c r="R116" s="6">
        <f t="shared" si="3"/>
        <v>20762.05</v>
      </c>
      <c r="S116" s="7" t="str">
        <f t="shared" si="4"/>
        <v>Profit</v>
      </c>
    </row>
    <row r="117" spans="1:19" x14ac:dyDescent="0.3">
      <c r="A117" s="4" t="s">
        <v>274</v>
      </c>
      <c r="B117" s="5">
        <v>45217</v>
      </c>
      <c r="C117" s="6" t="s">
        <v>275</v>
      </c>
      <c r="D117" s="6" t="s">
        <v>75</v>
      </c>
      <c r="E117" s="6">
        <v>10374</v>
      </c>
      <c r="F117" s="6">
        <v>21.3</v>
      </c>
      <c r="G117" s="6">
        <v>36</v>
      </c>
      <c r="H117" s="6" t="s">
        <v>19</v>
      </c>
      <c r="I117" s="6" t="s">
        <v>83</v>
      </c>
      <c r="J117" s="6" t="s">
        <v>21</v>
      </c>
      <c r="K117" s="6">
        <v>114811</v>
      </c>
      <c r="L117" s="6" t="s">
        <v>29</v>
      </c>
      <c r="M117" s="6">
        <v>0.39</v>
      </c>
      <c r="N117" s="6">
        <v>0.86</v>
      </c>
      <c r="O117" s="6">
        <v>12583.66</v>
      </c>
      <c r="P117" s="6">
        <v>0</v>
      </c>
      <c r="Q117" s="6">
        <f t="shared" ca="1" si="5"/>
        <v>29</v>
      </c>
      <c r="R117" s="6">
        <f t="shared" si="3"/>
        <v>-2209.66</v>
      </c>
      <c r="S117" s="7" t="str">
        <f t="shared" si="4"/>
        <v>Loss</v>
      </c>
    </row>
    <row r="118" spans="1:19" x14ac:dyDescent="0.3">
      <c r="A118" s="4" t="s">
        <v>276</v>
      </c>
      <c r="B118" s="5">
        <v>44292</v>
      </c>
      <c r="C118" s="6" t="s">
        <v>277</v>
      </c>
      <c r="D118" s="6" t="s">
        <v>40</v>
      </c>
      <c r="E118" s="6">
        <v>36435</v>
      </c>
      <c r="F118" s="6">
        <v>17.3</v>
      </c>
      <c r="G118" s="6">
        <v>36</v>
      </c>
      <c r="H118" s="6" t="s">
        <v>19</v>
      </c>
      <c r="I118" s="6" t="s">
        <v>20</v>
      </c>
      <c r="J118" s="6" t="s">
        <v>21</v>
      </c>
      <c r="K118" s="6">
        <v>89049</v>
      </c>
      <c r="L118" s="6" t="s">
        <v>33</v>
      </c>
      <c r="M118" s="6">
        <v>0.38</v>
      </c>
      <c r="N118" s="6">
        <v>0.87</v>
      </c>
      <c r="O118" s="6">
        <v>42738.26</v>
      </c>
      <c r="P118" s="6">
        <v>0</v>
      </c>
      <c r="Q118" s="6">
        <f t="shared" ca="1" si="5"/>
        <v>59</v>
      </c>
      <c r="R118" s="6">
        <f t="shared" si="3"/>
        <v>-6303.260000000002</v>
      </c>
      <c r="S118" s="7" t="str">
        <f t="shared" si="4"/>
        <v>Loss</v>
      </c>
    </row>
    <row r="119" spans="1:19" x14ac:dyDescent="0.3">
      <c r="A119" s="4" t="s">
        <v>278</v>
      </c>
      <c r="B119" s="5">
        <v>44681</v>
      </c>
      <c r="C119" s="6" t="s">
        <v>279</v>
      </c>
      <c r="D119" s="6" t="s">
        <v>46</v>
      </c>
      <c r="E119" s="6">
        <v>31907</v>
      </c>
      <c r="F119" s="6">
        <v>18.8</v>
      </c>
      <c r="G119" s="6">
        <v>36</v>
      </c>
      <c r="H119" s="6" t="s">
        <v>19</v>
      </c>
      <c r="I119" s="6" t="s">
        <v>36</v>
      </c>
      <c r="J119" s="6" t="s">
        <v>32</v>
      </c>
      <c r="K119" s="6">
        <v>131820</v>
      </c>
      <c r="L119" s="6" t="s">
        <v>29</v>
      </c>
      <c r="M119" s="6">
        <v>0.24</v>
      </c>
      <c r="N119" s="6">
        <v>0.94</v>
      </c>
      <c r="O119" s="6">
        <v>37905.519999999997</v>
      </c>
      <c r="P119" s="6">
        <v>0</v>
      </c>
      <c r="Q119" s="6">
        <f t="shared" ca="1" si="5"/>
        <v>46</v>
      </c>
      <c r="R119" s="6">
        <f t="shared" si="3"/>
        <v>-5998.5199999999968</v>
      </c>
      <c r="S119" s="7" t="str">
        <f t="shared" si="4"/>
        <v>Loss</v>
      </c>
    </row>
    <row r="120" spans="1:19" x14ac:dyDescent="0.3">
      <c r="A120" s="4" t="s">
        <v>280</v>
      </c>
      <c r="B120" s="5">
        <v>44427</v>
      </c>
      <c r="C120" s="6" t="s">
        <v>281</v>
      </c>
      <c r="D120" s="6" t="s">
        <v>75</v>
      </c>
      <c r="E120" s="6">
        <v>14409</v>
      </c>
      <c r="F120" s="6">
        <v>12.5</v>
      </c>
      <c r="G120" s="6">
        <v>36</v>
      </c>
      <c r="H120" s="6" t="s">
        <v>19</v>
      </c>
      <c r="I120" s="6" t="s">
        <v>57</v>
      </c>
      <c r="J120" s="6" t="s">
        <v>47</v>
      </c>
      <c r="K120" s="6">
        <v>148028</v>
      </c>
      <c r="L120" s="6" t="s">
        <v>22</v>
      </c>
      <c r="M120" s="6">
        <v>0.42</v>
      </c>
      <c r="N120" s="6">
        <v>0.86</v>
      </c>
      <c r="O120" s="6">
        <v>16210.12</v>
      </c>
      <c r="P120" s="6">
        <v>0</v>
      </c>
      <c r="Q120" s="6">
        <f t="shared" ca="1" si="5"/>
        <v>55</v>
      </c>
      <c r="R120" s="6">
        <f t="shared" si="3"/>
        <v>-1801.1200000000008</v>
      </c>
      <c r="S120" s="7" t="str">
        <f t="shared" si="4"/>
        <v>Loss</v>
      </c>
    </row>
    <row r="121" spans="1:19" x14ac:dyDescent="0.3">
      <c r="A121" s="4" t="s">
        <v>282</v>
      </c>
      <c r="B121" s="5">
        <v>44945</v>
      </c>
      <c r="C121" s="6" t="s">
        <v>283</v>
      </c>
      <c r="D121" s="6" t="s">
        <v>40</v>
      </c>
      <c r="E121" s="6">
        <v>17514</v>
      </c>
      <c r="F121" s="6">
        <v>15.8</v>
      </c>
      <c r="G121" s="6">
        <v>60</v>
      </c>
      <c r="H121" s="6" t="s">
        <v>19</v>
      </c>
      <c r="I121" s="6" t="s">
        <v>57</v>
      </c>
      <c r="J121" s="6" t="s">
        <v>21</v>
      </c>
      <c r="K121" s="6">
        <v>69178</v>
      </c>
      <c r="L121" s="6" t="s">
        <v>22</v>
      </c>
      <c r="M121" s="6">
        <v>0.12</v>
      </c>
      <c r="N121" s="6">
        <v>0.77</v>
      </c>
      <c r="O121" s="6">
        <v>20281.21</v>
      </c>
      <c r="P121" s="6">
        <v>0</v>
      </c>
      <c r="Q121" s="6">
        <f t="shared" ca="1" si="5"/>
        <v>38</v>
      </c>
      <c r="R121" s="6">
        <f t="shared" si="3"/>
        <v>-2767.2099999999991</v>
      </c>
      <c r="S121" s="7" t="str">
        <f t="shared" si="4"/>
        <v>Loss</v>
      </c>
    </row>
    <row r="122" spans="1:19" x14ac:dyDescent="0.3">
      <c r="A122" s="4" t="s">
        <v>284</v>
      </c>
      <c r="B122" s="5">
        <v>44737</v>
      </c>
      <c r="C122" s="6" t="s">
        <v>285</v>
      </c>
      <c r="D122" s="6" t="s">
        <v>25</v>
      </c>
      <c r="E122" s="6">
        <v>30866</v>
      </c>
      <c r="F122" s="6">
        <v>15.5</v>
      </c>
      <c r="G122" s="6">
        <v>60</v>
      </c>
      <c r="H122" s="6" t="s">
        <v>26</v>
      </c>
      <c r="I122" s="6" t="s">
        <v>83</v>
      </c>
      <c r="J122" s="6" t="s">
        <v>47</v>
      </c>
      <c r="K122" s="6">
        <v>62821</v>
      </c>
      <c r="L122" s="6" t="s">
        <v>22</v>
      </c>
      <c r="M122" s="6">
        <v>0.16</v>
      </c>
      <c r="N122" s="6">
        <v>0.65</v>
      </c>
      <c r="O122" s="6">
        <v>5435.42</v>
      </c>
      <c r="P122" s="6">
        <v>0</v>
      </c>
      <c r="Q122" s="6">
        <f t="shared" ca="1" si="5"/>
        <v>44</v>
      </c>
      <c r="R122" s="6">
        <f t="shared" si="3"/>
        <v>25430.58</v>
      </c>
      <c r="S122" s="7" t="str">
        <f t="shared" si="4"/>
        <v>Profit</v>
      </c>
    </row>
    <row r="123" spans="1:19" x14ac:dyDescent="0.3">
      <c r="A123" s="4" t="s">
        <v>286</v>
      </c>
      <c r="B123" s="5">
        <v>45256</v>
      </c>
      <c r="C123" s="6" t="s">
        <v>287</v>
      </c>
      <c r="D123" s="6" t="s">
        <v>40</v>
      </c>
      <c r="E123" s="6">
        <v>3983</v>
      </c>
      <c r="F123" s="6">
        <v>22</v>
      </c>
      <c r="G123" s="6">
        <v>36</v>
      </c>
      <c r="H123" s="6" t="s">
        <v>26</v>
      </c>
      <c r="I123" s="6" t="s">
        <v>72</v>
      </c>
      <c r="J123" s="6" t="s">
        <v>28</v>
      </c>
      <c r="K123" s="6">
        <v>81727</v>
      </c>
      <c r="L123" s="6" t="s">
        <v>29</v>
      </c>
      <c r="M123" s="6">
        <v>0.23</v>
      </c>
      <c r="N123" s="6">
        <v>0.75</v>
      </c>
      <c r="O123" s="6">
        <v>294.36</v>
      </c>
      <c r="P123" s="6">
        <v>0</v>
      </c>
      <c r="Q123" s="6">
        <f t="shared" ca="1" si="5"/>
        <v>27</v>
      </c>
      <c r="R123" s="6">
        <f t="shared" si="3"/>
        <v>3688.64</v>
      </c>
      <c r="S123" s="7" t="str">
        <f t="shared" si="4"/>
        <v>Profit</v>
      </c>
    </row>
    <row r="124" spans="1:19" x14ac:dyDescent="0.3">
      <c r="A124" s="4" t="s">
        <v>288</v>
      </c>
      <c r="B124" s="5">
        <v>44721</v>
      </c>
      <c r="C124" s="6" t="s">
        <v>289</v>
      </c>
      <c r="D124" s="6" t="s">
        <v>46</v>
      </c>
      <c r="E124" s="6">
        <v>32705</v>
      </c>
      <c r="F124" s="6">
        <v>21.8</v>
      </c>
      <c r="G124" s="6">
        <v>60</v>
      </c>
      <c r="H124" s="6" t="s">
        <v>19</v>
      </c>
      <c r="I124" s="6" t="s">
        <v>72</v>
      </c>
      <c r="J124" s="6" t="s">
        <v>47</v>
      </c>
      <c r="K124" s="6">
        <v>90935</v>
      </c>
      <c r="L124" s="6" t="s">
        <v>33</v>
      </c>
      <c r="M124" s="6">
        <v>0.13</v>
      </c>
      <c r="N124" s="6">
        <v>0.52</v>
      </c>
      <c r="O124" s="6">
        <v>39834.69</v>
      </c>
      <c r="P124" s="6">
        <v>0</v>
      </c>
      <c r="Q124" s="6">
        <f t="shared" ca="1" si="5"/>
        <v>45</v>
      </c>
      <c r="R124" s="6">
        <f t="shared" si="3"/>
        <v>-7129.6900000000023</v>
      </c>
      <c r="S124" s="7" t="str">
        <f t="shared" si="4"/>
        <v>Loss</v>
      </c>
    </row>
    <row r="125" spans="1:19" x14ac:dyDescent="0.3">
      <c r="A125" s="4" t="s">
        <v>290</v>
      </c>
      <c r="B125" s="5">
        <v>44774</v>
      </c>
      <c r="C125" s="6" t="s">
        <v>291</v>
      </c>
      <c r="D125" s="6" t="s">
        <v>53</v>
      </c>
      <c r="E125" s="6">
        <v>21662</v>
      </c>
      <c r="F125" s="6">
        <v>21.7</v>
      </c>
      <c r="G125" s="6">
        <v>36</v>
      </c>
      <c r="H125" s="6" t="s">
        <v>80</v>
      </c>
      <c r="I125" s="6" t="s">
        <v>27</v>
      </c>
      <c r="J125" s="6" t="s">
        <v>47</v>
      </c>
      <c r="K125" s="6">
        <v>46999</v>
      </c>
      <c r="L125" s="6" t="s">
        <v>22</v>
      </c>
      <c r="M125" s="6">
        <v>0.19</v>
      </c>
      <c r="N125" s="6">
        <v>0.84</v>
      </c>
      <c r="O125" s="6">
        <v>7336.37</v>
      </c>
      <c r="P125" s="6">
        <v>1820.32</v>
      </c>
      <c r="Q125" s="6">
        <f t="shared" ca="1" si="5"/>
        <v>43</v>
      </c>
      <c r="R125" s="6">
        <f t="shared" si="3"/>
        <v>14325.630000000001</v>
      </c>
      <c r="S125" s="7" t="str">
        <f t="shared" si="4"/>
        <v>Profit</v>
      </c>
    </row>
    <row r="126" spans="1:19" x14ac:dyDescent="0.3">
      <c r="A126" s="4" t="s">
        <v>292</v>
      </c>
      <c r="B126" s="5">
        <v>44878</v>
      </c>
      <c r="C126" s="6" t="s">
        <v>293</v>
      </c>
      <c r="D126" s="6" t="s">
        <v>25</v>
      </c>
      <c r="E126" s="6">
        <v>24510</v>
      </c>
      <c r="F126" s="6">
        <v>5.2</v>
      </c>
      <c r="G126" s="6">
        <v>36</v>
      </c>
      <c r="H126" s="6" t="s">
        <v>19</v>
      </c>
      <c r="I126" s="6" t="s">
        <v>72</v>
      </c>
      <c r="J126" s="6" t="s">
        <v>21</v>
      </c>
      <c r="K126" s="6">
        <v>92522</v>
      </c>
      <c r="L126" s="6" t="s">
        <v>33</v>
      </c>
      <c r="M126" s="6">
        <v>0.43</v>
      </c>
      <c r="N126" s="6">
        <v>0.7</v>
      </c>
      <c r="O126" s="6">
        <v>25784.52</v>
      </c>
      <c r="P126" s="6">
        <v>0</v>
      </c>
      <c r="Q126" s="6">
        <f t="shared" ca="1" si="5"/>
        <v>40</v>
      </c>
      <c r="R126" s="6">
        <f t="shared" si="3"/>
        <v>-1274.5200000000004</v>
      </c>
      <c r="S126" s="7" t="str">
        <f t="shared" si="4"/>
        <v>Loss</v>
      </c>
    </row>
    <row r="127" spans="1:19" x14ac:dyDescent="0.3">
      <c r="A127" s="4" t="s">
        <v>294</v>
      </c>
      <c r="B127" s="5">
        <v>44753</v>
      </c>
      <c r="C127" s="6" t="s">
        <v>295</v>
      </c>
      <c r="D127" s="6" t="s">
        <v>18</v>
      </c>
      <c r="E127" s="6">
        <v>13651</v>
      </c>
      <c r="F127" s="6">
        <v>20</v>
      </c>
      <c r="G127" s="6">
        <v>36</v>
      </c>
      <c r="H127" s="6" t="s">
        <v>19</v>
      </c>
      <c r="I127" s="6" t="s">
        <v>20</v>
      </c>
      <c r="J127" s="6" t="s">
        <v>37</v>
      </c>
      <c r="K127" s="6">
        <v>68712</v>
      </c>
      <c r="L127" s="6" t="s">
        <v>22</v>
      </c>
      <c r="M127" s="6">
        <v>0.48</v>
      </c>
      <c r="N127" s="6">
        <v>0.51</v>
      </c>
      <c r="O127" s="6">
        <v>16381.2</v>
      </c>
      <c r="P127" s="6">
        <v>0</v>
      </c>
      <c r="Q127" s="6">
        <f t="shared" ca="1" si="5"/>
        <v>44</v>
      </c>
      <c r="R127" s="6">
        <f t="shared" si="3"/>
        <v>-2730.2000000000007</v>
      </c>
      <c r="S127" s="7" t="str">
        <f t="shared" si="4"/>
        <v>Loss</v>
      </c>
    </row>
    <row r="128" spans="1:19" x14ac:dyDescent="0.3">
      <c r="A128" s="4" t="s">
        <v>296</v>
      </c>
      <c r="B128" s="5">
        <v>45209</v>
      </c>
      <c r="C128" s="6" t="s">
        <v>297</v>
      </c>
      <c r="D128" s="6" t="s">
        <v>64</v>
      </c>
      <c r="E128" s="6">
        <v>29535</v>
      </c>
      <c r="F128" s="6">
        <v>20.2</v>
      </c>
      <c r="G128" s="6">
        <v>36</v>
      </c>
      <c r="H128" s="6" t="s">
        <v>26</v>
      </c>
      <c r="I128" s="6" t="s">
        <v>27</v>
      </c>
      <c r="J128" s="6" t="s">
        <v>37</v>
      </c>
      <c r="K128" s="6">
        <v>94551</v>
      </c>
      <c r="L128" s="6" t="s">
        <v>33</v>
      </c>
      <c r="M128" s="6">
        <v>0.22</v>
      </c>
      <c r="N128" s="6">
        <v>0.53</v>
      </c>
      <c r="O128" s="6">
        <v>7019.73</v>
      </c>
      <c r="P128" s="6">
        <v>0</v>
      </c>
      <c r="Q128" s="6">
        <f t="shared" ca="1" si="5"/>
        <v>29</v>
      </c>
      <c r="R128" s="6">
        <f t="shared" si="3"/>
        <v>22515.27</v>
      </c>
      <c r="S128" s="7" t="str">
        <f t="shared" si="4"/>
        <v>Profit</v>
      </c>
    </row>
    <row r="129" spans="1:19" x14ac:dyDescent="0.3">
      <c r="A129" s="4" t="s">
        <v>298</v>
      </c>
      <c r="B129" s="5">
        <v>44842</v>
      </c>
      <c r="C129" s="6" t="s">
        <v>299</v>
      </c>
      <c r="D129" s="6" t="s">
        <v>40</v>
      </c>
      <c r="E129" s="6">
        <v>7640</v>
      </c>
      <c r="F129" s="6">
        <v>18.600000000000001</v>
      </c>
      <c r="G129" s="6">
        <v>36</v>
      </c>
      <c r="H129" s="6" t="s">
        <v>26</v>
      </c>
      <c r="I129" s="6" t="s">
        <v>20</v>
      </c>
      <c r="J129" s="6" t="s">
        <v>32</v>
      </c>
      <c r="K129" s="6">
        <v>70172</v>
      </c>
      <c r="L129" s="6" t="s">
        <v>33</v>
      </c>
      <c r="M129" s="6">
        <v>0.21</v>
      </c>
      <c r="N129" s="6">
        <v>0.67</v>
      </c>
      <c r="O129" s="6">
        <v>1169.7</v>
      </c>
      <c r="P129" s="6">
        <v>0</v>
      </c>
      <c r="Q129" s="6">
        <f t="shared" ca="1" si="5"/>
        <v>41</v>
      </c>
      <c r="R129" s="6">
        <f t="shared" si="3"/>
        <v>6470.3</v>
      </c>
      <c r="S129" s="7" t="str">
        <f t="shared" si="4"/>
        <v>Profit</v>
      </c>
    </row>
    <row r="130" spans="1:19" x14ac:dyDescent="0.3">
      <c r="A130" s="4" t="s">
        <v>300</v>
      </c>
      <c r="B130" s="5">
        <v>44992</v>
      </c>
      <c r="C130" s="6" t="s">
        <v>301</v>
      </c>
      <c r="D130" s="6" t="s">
        <v>40</v>
      </c>
      <c r="E130" s="6">
        <v>16317</v>
      </c>
      <c r="F130" s="6">
        <v>20.100000000000001</v>
      </c>
      <c r="G130" s="6">
        <v>60</v>
      </c>
      <c r="H130" s="6" t="s">
        <v>26</v>
      </c>
      <c r="I130" s="6" t="s">
        <v>83</v>
      </c>
      <c r="J130" s="6" t="s">
        <v>32</v>
      </c>
      <c r="K130" s="6">
        <v>63722</v>
      </c>
      <c r="L130" s="6" t="s">
        <v>33</v>
      </c>
      <c r="M130" s="6">
        <v>0.21</v>
      </c>
      <c r="N130" s="6">
        <v>0.76</v>
      </c>
      <c r="O130" s="6">
        <v>2517.8000000000002</v>
      </c>
      <c r="P130" s="6">
        <v>0</v>
      </c>
      <c r="Q130" s="6">
        <f t="shared" ca="1" si="5"/>
        <v>36</v>
      </c>
      <c r="R130" s="6">
        <f t="shared" ref="R130:R193" si="6">E130-O130</f>
        <v>13799.2</v>
      </c>
      <c r="S130" s="7" t="str">
        <f t="shared" ref="S130:S193" si="7">IF(R130&gt;=0, "Profit","Loss")</f>
        <v>Profit</v>
      </c>
    </row>
    <row r="131" spans="1:19" x14ac:dyDescent="0.3">
      <c r="A131" s="4" t="s">
        <v>302</v>
      </c>
      <c r="B131" s="5">
        <v>45248</v>
      </c>
      <c r="C131" s="6" t="s">
        <v>303</v>
      </c>
      <c r="D131" s="6" t="s">
        <v>75</v>
      </c>
      <c r="E131" s="6">
        <v>8564</v>
      </c>
      <c r="F131" s="6">
        <v>21.8</v>
      </c>
      <c r="G131" s="6">
        <v>60</v>
      </c>
      <c r="H131" s="6" t="s">
        <v>80</v>
      </c>
      <c r="I131" s="6" t="s">
        <v>41</v>
      </c>
      <c r="J131" s="6" t="s">
        <v>37</v>
      </c>
      <c r="K131" s="6">
        <v>40625</v>
      </c>
      <c r="L131" s="6" t="s">
        <v>22</v>
      </c>
      <c r="M131" s="6">
        <v>0.21</v>
      </c>
      <c r="N131" s="6">
        <v>0.71</v>
      </c>
      <c r="O131" s="6">
        <v>3172.28</v>
      </c>
      <c r="P131" s="6">
        <v>2148.21</v>
      </c>
      <c r="Q131" s="6">
        <f t="shared" ref="Q131:Q194" ca="1" si="8">DATEDIF(B131,TODAY(),"M")</f>
        <v>28</v>
      </c>
      <c r="R131" s="6">
        <f t="shared" si="6"/>
        <v>5391.7199999999993</v>
      </c>
      <c r="S131" s="7" t="str">
        <f t="shared" si="7"/>
        <v>Profit</v>
      </c>
    </row>
    <row r="132" spans="1:19" x14ac:dyDescent="0.3">
      <c r="A132" s="4" t="s">
        <v>304</v>
      </c>
      <c r="B132" s="5">
        <v>44386</v>
      </c>
      <c r="C132" s="6" t="s">
        <v>305</v>
      </c>
      <c r="D132" s="6" t="s">
        <v>18</v>
      </c>
      <c r="E132" s="6">
        <v>28345</v>
      </c>
      <c r="F132" s="6">
        <v>14.4</v>
      </c>
      <c r="G132" s="6">
        <v>36</v>
      </c>
      <c r="H132" s="6" t="s">
        <v>26</v>
      </c>
      <c r="I132" s="6" t="s">
        <v>57</v>
      </c>
      <c r="J132" s="6" t="s">
        <v>28</v>
      </c>
      <c r="K132" s="6">
        <v>97165</v>
      </c>
      <c r="L132" s="6" t="s">
        <v>29</v>
      </c>
      <c r="M132" s="6">
        <v>0.11</v>
      </c>
      <c r="N132" s="6">
        <v>0.78</v>
      </c>
      <c r="O132" s="6">
        <v>12054.06</v>
      </c>
      <c r="P132" s="6">
        <v>0</v>
      </c>
      <c r="Q132" s="6">
        <f t="shared" ca="1" si="8"/>
        <v>56</v>
      </c>
      <c r="R132" s="6">
        <f t="shared" si="6"/>
        <v>16290.94</v>
      </c>
      <c r="S132" s="7" t="str">
        <f t="shared" si="7"/>
        <v>Profit</v>
      </c>
    </row>
    <row r="133" spans="1:19" x14ac:dyDescent="0.3">
      <c r="A133" s="4" t="s">
        <v>306</v>
      </c>
      <c r="B133" s="5">
        <v>44829</v>
      </c>
      <c r="C133" s="6" t="s">
        <v>307</v>
      </c>
      <c r="D133" s="6" t="s">
        <v>50</v>
      </c>
      <c r="E133" s="6">
        <v>29687</v>
      </c>
      <c r="F133" s="6">
        <v>15</v>
      </c>
      <c r="G133" s="6">
        <v>60</v>
      </c>
      <c r="H133" s="6" t="s">
        <v>80</v>
      </c>
      <c r="I133" s="6" t="s">
        <v>57</v>
      </c>
      <c r="J133" s="6" t="s">
        <v>21</v>
      </c>
      <c r="K133" s="6">
        <v>106509</v>
      </c>
      <c r="L133" s="6" t="s">
        <v>29</v>
      </c>
      <c r="M133" s="6">
        <v>0.47</v>
      </c>
      <c r="N133" s="6">
        <v>0.72</v>
      </c>
      <c r="O133" s="6">
        <v>7898.5</v>
      </c>
      <c r="P133" s="6">
        <v>6839.85</v>
      </c>
      <c r="Q133" s="6">
        <f t="shared" ca="1" si="8"/>
        <v>41</v>
      </c>
      <c r="R133" s="6">
        <f t="shared" si="6"/>
        <v>21788.5</v>
      </c>
      <c r="S133" s="7" t="str">
        <f t="shared" si="7"/>
        <v>Profit</v>
      </c>
    </row>
    <row r="134" spans="1:19" x14ac:dyDescent="0.3">
      <c r="A134" s="4" t="s">
        <v>308</v>
      </c>
      <c r="B134" s="5">
        <v>44824</v>
      </c>
      <c r="C134" s="6" t="s">
        <v>309</v>
      </c>
      <c r="D134" s="6" t="s">
        <v>71</v>
      </c>
      <c r="E134" s="6">
        <v>14737</v>
      </c>
      <c r="F134" s="6">
        <v>7.5</v>
      </c>
      <c r="G134" s="6">
        <v>36</v>
      </c>
      <c r="H134" s="6" t="s">
        <v>19</v>
      </c>
      <c r="I134" s="6" t="s">
        <v>20</v>
      </c>
      <c r="J134" s="6" t="s">
        <v>21</v>
      </c>
      <c r="K134" s="6">
        <v>36859</v>
      </c>
      <c r="L134" s="6" t="s">
        <v>29</v>
      </c>
      <c r="M134" s="6">
        <v>0.19</v>
      </c>
      <c r="N134" s="6">
        <v>0.8</v>
      </c>
      <c r="O134" s="6">
        <v>15842.28</v>
      </c>
      <c r="P134" s="6">
        <v>0</v>
      </c>
      <c r="Q134" s="6">
        <f t="shared" ca="1" si="8"/>
        <v>42</v>
      </c>
      <c r="R134" s="6">
        <f t="shared" si="6"/>
        <v>-1105.2800000000007</v>
      </c>
      <c r="S134" s="7" t="str">
        <f t="shared" si="7"/>
        <v>Loss</v>
      </c>
    </row>
    <row r="135" spans="1:19" x14ac:dyDescent="0.3">
      <c r="A135" s="4" t="s">
        <v>310</v>
      </c>
      <c r="B135" s="5">
        <v>45169</v>
      </c>
      <c r="C135" s="6" t="s">
        <v>311</v>
      </c>
      <c r="D135" s="6" t="s">
        <v>56</v>
      </c>
      <c r="E135" s="6">
        <v>10323</v>
      </c>
      <c r="F135" s="6">
        <v>12.7</v>
      </c>
      <c r="G135" s="6">
        <v>60</v>
      </c>
      <c r="H135" s="6" t="s">
        <v>26</v>
      </c>
      <c r="I135" s="6" t="s">
        <v>20</v>
      </c>
      <c r="J135" s="6" t="s">
        <v>28</v>
      </c>
      <c r="K135" s="6">
        <v>71609</v>
      </c>
      <c r="L135" s="6" t="s">
        <v>33</v>
      </c>
      <c r="M135" s="6">
        <v>0.27</v>
      </c>
      <c r="N135" s="6">
        <v>0.6</v>
      </c>
      <c r="O135" s="6">
        <v>3378.2</v>
      </c>
      <c r="P135" s="6">
        <v>0</v>
      </c>
      <c r="Q135" s="6">
        <f t="shared" ca="1" si="8"/>
        <v>30</v>
      </c>
      <c r="R135" s="6">
        <f t="shared" si="6"/>
        <v>6944.8</v>
      </c>
      <c r="S135" s="7" t="str">
        <f t="shared" si="7"/>
        <v>Profit</v>
      </c>
    </row>
    <row r="136" spans="1:19" x14ac:dyDescent="0.3">
      <c r="A136" s="4" t="s">
        <v>312</v>
      </c>
      <c r="B136" s="5">
        <v>44906</v>
      </c>
      <c r="C136" s="6" t="s">
        <v>313</v>
      </c>
      <c r="D136" s="6" t="s">
        <v>40</v>
      </c>
      <c r="E136" s="6">
        <v>16229</v>
      </c>
      <c r="F136" s="6">
        <v>17.899999999999999</v>
      </c>
      <c r="G136" s="6">
        <v>36</v>
      </c>
      <c r="H136" s="6" t="s">
        <v>314</v>
      </c>
      <c r="I136" s="6" t="s">
        <v>36</v>
      </c>
      <c r="J136" s="6" t="s">
        <v>28</v>
      </c>
      <c r="K136" s="6">
        <v>73307</v>
      </c>
      <c r="L136" s="6" t="s">
        <v>22</v>
      </c>
      <c r="M136" s="6">
        <v>0.1</v>
      </c>
      <c r="N136" s="6">
        <v>0.55000000000000004</v>
      </c>
      <c r="O136" s="6">
        <v>0</v>
      </c>
      <c r="P136" s="6">
        <v>0</v>
      </c>
      <c r="Q136" s="6">
        <f t="shared" ca="1" si="8"/>
        <v>39</v>
      </c>
      <c r="R136" s="6">
        <f t="shared" si="6"/>
        <v>16229</v>
      </c>
      <c r="S136" s="7" t="str">
        <f t="shared" si="7"/>
        <v>Profit</v>
      </c>
    </row>
    <row r="137" spans="1:19" x14ac:dyDescent="0.3">
      <c r="A137" s="4" t="s">
        <v>315</v>
      </c>
      <c r="B137" s="5">
        <v>44845</v>
      </c>
      <c r="C137" s="6" t="s">
        <v>316</v>
      </c>
      <c r="D137" s="6" t="s">
        <v>50</v>
      </c>
      <c r="E137" s="6">
        <v>9502</v>
      </c>
      <c r="F137" s="6">
        <v>20.6</v>
      </c>
      <c r="G137" s="6">
        <v>60</v>
      </c>
      <c r="H137" s="6" t="s">
        <v>26</v>
      </c>
      <c r="I137" s="6" t="s">
        <v>20</v>
      </c>
      <c r="J137" s="6" t="s">
        <v>37</v>
      </c>
      <c r="K137" s="6">
        <v>140986</v>
      </c>
      <c r="L137" s="6" t="s">
        <v>33</v>
      </c>
      <c r="M137" s="6">
        <v>0.44</v>
      </c>
      <c r="N137" s="6">
        <v>0.77</v>
      </c>
      <c r="O137" s="6">
        <v>2503.27</v>
      </c>
      <c r="P137" s="6">
        <v>0</v>
      </c>
      <c r="Q137" s="6">
        <f t="shared" ca="1" si="8"/>
        <v>41</v>
      </c>
      <c r="R137" s="6">
        <f t="shared" si="6"/>
        <v>6998.73</v>
      </c>
      <c r="S137" s="7" t="str">
        <f t="shared" si="7"/>
        <v>Profit</v>
      </c>
    </row>
    <row r="138" spans="1:19" x14ac:dyDescent="0.3">
      <c r="A138" s="4" t="s">
        <v>317</v>
      </c>
      <c r="B138" s="5">
        <v>44514</v>
      </c>
      <c r="C138" s="6" t="s">
        <v>318</v>
      </c>
      <c r="D138" s="6" t="s">
        <v>71</v>
      </c>
      <c r="E138" s="6">
        <v>1545</v>
      </c>
      <c r="F138" s="6">
        <v>9.3000000000000007</v>
      </c>
      <c r="G138" s="6">
        <v>36</v>
      </c>
      <c r="H138" s="6" t="s">
        <v>19</v>
      </c>
      <c r="I138" s="6" t="s">
        <v>57</v>
      </c>
      <c r="J138" s="6" t="s">
        <v>32</v>
      </c>
      <c r="K138" s="6">
        <v>131582</v>
      </c>
      <c r="L138" s="6" t="s">
        <v>22</v>
      </c>
      <c r="M138" s="6">
        <v>0.39</v>
      </c>
      <c r="N138" s="6">
        <v>0.72</v>
      </c>
      <c r="O138" s="6">
        <v>1688.68</v>
      </c>
      <c r="P138" s="6">
        <v>0</v>
      </c>
      <c r="Q138" s="6">
        <f t="shared" ca="1" si="8"/>
        <v>52</v>
      </c>
      <c r="R138" s="6">
        <f t="shared" si="6"/>
        <v>-143.68000000000006</v>
      </c>
      <c r="S138" s="7" t="str">
        <f t="shared" si="7"/>
        <v>Loss</v>
      </c>
    </row>
    <row r="139" spans="1:19" x14ac:dyDescent="0.3">
      <c r="A139" s="4" t="s">
        <v>319</v>
      </c>
      <c r="B139" s="5">
        <v>44880</v>
      </c>
      <c r="C139" s="6" t="s">
        <v>320</v>
      </c>
      <c r="D139" s="6" t="s">
        <v>56</v>
      </c>
      <c r="E139" s="6">
        <v>38114</v>
      </c>
      <c r="F139" s="6">
        <v>7.8</v>
      </c>
      <c r="G139" s="6">
        <v>36</v>
      </c>
      <c r="H139" s="6" t="s">
        <v>19</v>
      </c>
      <c r="I139" s="6" t="s">
        <v>83</v>
      </c>
      <c r="J139" s="6" t="s">
        <v>28</v>
      </c>
      <c r="K139" s="6">
        <v>51839</v>
      </c>
      <c r="L139" s="6" t="s">
        <v>33</v>
      </c>
      <c r="M139" s="6">
        <v>0.48</v>
      </c>
      <c r="N139" s="6">
        <v>0.51</v>
      </c>
      <c r="O139" s="6">
        <v>41086.89</v>
      </c>
      <c r="P139" s="6">
        <v>0</v>
      </c>
      <c r="Q139" s="6">
        <f t="shared" ca="1" si="8"/>
        <v>40</v>
      </c>
      <c r="R139" s="6">
        <f t="shared" si="6"/>
        <v>-2972.8899999999994</v>
      </c>
      <c r="S139" s="7" t="str">
        <f t="shared" si="7"/>
        <v>Loss</v>
      </c>
    </row>
    <row r="140" spans="1:19" x14ac:dyDescent="0.3">
      <c r="A140" s="4" t="s">
        <v>321</v>
      </c>
      <c r="B140" s="5">
        <v>44860</v>
      </c>
      <c r="C140" s="6" t="s">
        <v>322</v>
      </c>
      <c r="D140" s="6" t="s">
        <v>64</v>
      </c>
      <c r="E140" s="6">
        <v>30430</v>
      </c>
      <c r="F140" s="6">
        <v>18.3</v>
      </c>
      <c r="G140" s="6">
        <v>60</v>
      </c>
      <c r="H140" s="6" t="s">
        <v>26</v>
      </c>
      <c r="I140" s="6" t="s">
        <v>36</v>
      </c>
      <c r="J140" s="6" t="s">
        <v>32</v>
      </c>
      <c r="K140" s="6">
        <v>57216</v>
      </c>
      <c r="L140" s="6" t="s">
        <v>22</v>
      </c>
      <c r="M140" s="6">
        <v>0.41</v>
      </c>
      <c r="N140" s="6">
        <v>0.67</v>
      </c>
      <c r="O140" s="6">
        <v>6884.79</v>
      </c>
      <c r="P140" s="6">
        <v>0</v>
      </c>
      <c r="Q140" s="6">
        <f t="shared" ca="1" si="8"/>
        <v>40</v>
      </c>
      <c r="R140" s="6">
        <f t="shared" si="6"/>
        <v>23545.21</v>
      </c>
      <c r="S140" s="7" t="str">
        <f t="shared" si="7"/>
        <v>Profit</v>
      </c>
    </row>
    <row r="141" spans="1:19" x14ac:dyDescent="0.3">
      <c r="A141" s="4" t="s">
        <v>323</v>
      </c>
      <c r="B141" s="5">
        <v>44638</v>
      </c>
      <c r="C141" s="6" t="s">
        <v>324</v>
      </c>
      <c r="D141" s="6" t="s">
        <v>75</v>
      </c>
      <c r="E141" s="6">
        <v>10996</v>
      </c>
      <c r="F141" s="6">
        <v>5</v>
      </c>
      <c r="G141" s="6">
        <v>60</v>
      </c>
      <c r="H141" s="6" t="s">
        <v>19</v>
      </c>
      <c r="I141" s="6" t="s">
        <v>72</v>
      </c>
      <c r="J141" s="6" t="s">
        <v>47</v>
      </c>
      <c r="K141" s="6">
        <v>82953</v>
      </c>
      <c r="L141" s="6" t="s">
        <v>22</v>
      </c>
      <c r="M141" s="6">
        <v>0.23</v>
      </c>
      <c r="N141" s="6">
        <v>0.55000000000000004</v>
      </c>
      <c r="O141" s="6">
        <v>11545.8</v>
      </c>
      <c r="P141" s="6">
        <v>0</v>
      </c>
      <c r="Q141" s="6">
        <f t="shared" ca="1" si="8"/>
        <v>48</v>
      </c>
      <c r="R141" s="6">
        <f t="shared" si="6"/>
        <v>-549.79999999999927</v>
      </c>
      <c r="S141" s="7" t="str">
        <f t="shared" si="7"/>
        <v>Loss</v>
      </c>
    </row>
    <row r="142" spans="1:19" x14ac:dyDescent="0.3">
      <c r="A142" s="4" t="s">
        <v>325</v>
      </c>
      <c r="B142" s="5">
        <v>44760</v>
      </c>
      <c r="C142" s="6" t="s">
        <v>326</v>
      </c>
      <c r="D142" s="6" t="s">
        <v>50</v>
      </c>
      <c r="E142" s="6">
        <v>28788</v>
      </c>
      <c r="F142" s="6">
        <v>8.6</v>
      </c>
      <c r="G142" s="6">
        <v>36</v>
      </c>
      <c r="H142" s="6" t="s">
        <v>2045</v>
      </c>
      <c r="I142" s="6" t="s">
        <v>72</v>
      </c>
      <c r="J142" s="6" t="s">
        <v>21</v>
      </c>
      <c r="K142" s="6">
        <v>114481</v>
      </c>
      <c r="L142" s="6" t="s">
        <v>22</v>
      </c>
      <c r="M142" s="6">
        <v>0.2</v>
      </c>
      <c r="N142" s="6">
        <v>0.74</v>
      </c>
      <c r="O142" s="6">
        <v>0</v>
      </c>
      <c r="P142" s="6">
        <v>0</v>
      </c>
      <c r="Q142" s="6">
        <f t="shared" ca="1" si="8"/>
        <v>44</v>
      </c>
      <c r="R142" s="6">
        <f t="shared" si="6"/>
        <v>28788</v>
      </c>
      <c r="S142" s="7" t="str">
        <f t="shared" si="7"/>
        <v>Profit</v>
      </c>
    </row>
    <row r="143" spans="1:19" x14ac:dyDescent="0.3">
      <c r="A143" s="4" t="s">
        <v>327</v>
      </c>
      <c r="B143" s="5">
        <v>45148</v>
      </c>
      <c r="C143" s="6" t="s">
        <v>328</v>
      </c>
      <c r="D143" s="6" t="s">
        <v>75</v>
      </c>
      <c r="E143" s="6">
        <v>30969</v>
      </c>
      <c r="F143" s="6">
        <v>5.6</v>
      </c>
      <c r="G143" s="6">
        <v>60</v>
      </c>
      <c r="H143" s="6" t="s">
        <v>19</v>
      </c>
      <c r="I143" s="6" t="s">
        <v>27</v>
      </c>
      <c r="J143" s="6" t="s">
        <v>37</v>
      </c>
      <c r="K143" s="6">
        <v>90593</v>
      </c>
      <c r="L143" s="6" t="s">
        <v>33</v>
      </c>
      <c r="M143" s="6">
        <v>0.38</v>
      </c>
      <c r="N143" s="6">
        <v>0.68</v>
      </c>
      <c r="O143" s="6">
        <v>32703.26</v>
      </c>
      <c r="P143" s="6">
        <v>0</v>
      </c>
      <c r="Q143" s="6">
        <f t="shared" ca="1" si="8"/>
        <v>31</v>
      </c>
      <c r="R143" s="6">
        <f t="shared" si="6"/>
        <v>-1734.2599999999984</v>
      </c>
      <c r="S143" s="7" t="str">
        <f t="shared" si="7"/>
        <v>Loss</v>
      </c>
    </row>
    <row r="144" spans="1:19" x14ac:dyDescent="0.3">
      <c r="A144" s="4" t="s">
        <v>329</v>
      </c>
      <c r="B144" s="5">
        <v>44895</v>
      </c>
      <c r="C144" s="6" t="s">
        <v>330</v>
      </c>
      <c r="D144" s="6" t="s">
        <v>56</v>
      </c>
      <c r="E144" s="6">
        <v>14919</v>
      </c>
      <c r="F144" s="6">
        <v>8.3000000000000007</v>
      </c>
      <c r="G144" s="6">
        <v>36</v>
      </c>
      <c r="H144" s="6" t="s">
        <v>19</v>
      </c>
      <c r="I144" s="6" t="s">
        <v>41</v>
      </c>
      <c r="J144" s="6" t="s">
        <v>21</v>
      </c>
      <c r="K144" s="6">
        <v>102075</v>
      </c>
      <c r="L144" s="6" t="s">
        <v>29</v>
      </c>
      <c r="M144" s="6">
        <v>0.25</v>
      </c>
      <c r="N144" s="6">
        <v>0.78</v>
      </c>
      <c r="O144" s="6">
        <v>16157.28</v>
      </c>
      <c r="P144" s="6">
        <v>0</v>
      </c>
      <c r="Q144" s="6">
        <f t="shared" ca="1" si="8"/>
        <v>39</v>
      </c>
      <c r="R144" s="6">
        <f t="shared" si="6"/>
        <v>-1238.2800000000007</v>
      </c>
      <c r="S144" s="7" t="str">
        <f t="shared" si="7"/>
        <v>Loss</v>
      </c>
    </row>
    <row r="145" spans="1:19" x14ac:dyDescent="0.3">
      <c r="A145" s="4" t="s">
        <v>331</v>
      </c>
      <c r="B145" s="5">
        <v>44309</v>
      </c>
      <c r="C145" s="6" t="s">
        <v>332</v>
      </c>
      <c r="D145" s="6" t="s">
        <v>53</v>
      </c>
      <c r="E145" s="6">
        <v>4810</v>
      </c>
      <c r="F145" s="6">
        <v>8.6</v>
      </c>
      <c r="G145" s="6">
        <v>60</v>
      </c>
      <c r="H145" s="6" t="s">
        <v>80</v>
      </c>
      <c r="I145" s="6" t="s">
        <v>72</v>
      </c>
      <c r="J145" s="6" t="s">
        <v>37</v>
      </c>
      <c r="K145" s="6">
        <v>79522</v>
      </c>
      <c r="L145" s="6" t="s">
        <v>33</v>
      </c>
      <c r="M145" s="6">
        <v>0.33</v>
      </c>
      <c r="N145" s="6">
        <v>0.86</v>
      </c>
      <c r="O145" s="6">
        <v>1802.03</v>
      </c>
      <c r="P145" s="6">
        <v>798.06</v>
      </c>
      <c r="Q145" s="6">
        <f t="shared" ca="1" si="8"/>
        <v>58</v>
      </c>
      <c r="R145" s="6">
        <f t="shared" si="6"/>
        <v>3007.9700000000003</v>
      </c>
      <c r="S145" s="7" t="str">
        <f t="shared" si="7"/>
        <v>Profit</v>
      </c>
    </row>
    <row r="146" spans="1:19" x14ac:dyDescent="0.3">
      <c r="A146" s="4" t="s">
        <v>333</v>
      </c>
      <c r="B146" s="5">
        <v>44198</v>
      </c>
      <c r="C146" s="6" t="s">
        <v>334</v>
      </c>
      <c r="D146" s="6" t="s">
        <v>40</v>
      </c>
      <c r="E146" s="6">
        <v>31586</v>
      </c>
      <c r="F146" s="6">
        <v>12.8</v>
      </c>
      <c r="G146" s="6">
        <v>60</v>
      </c>
      <c r="H146" s="6" t="s">
        <v>19</v>
      </c>
      <c r="I146" s="6" t="s">
        <v>72</v>
      </c>
      <c r="J146" s="6" t="s">
        <v>47</v>
      </c>
      <c r="K146" s="6">
        <v>129161</v>
      </c>
      <c r="L146" s="6" t="s">
        <v>33</v>
      </c>
      <c r="M146" s="6">
        <v>0.1</v>
      </c>
      <c r="N146" s="6">
        <v>0.63</v>
      </c>
      <c r="O146" s="6">
        <v>35629.01</v>
      </c>
      <c r="P146" s="6">
        <v>0</v>
      </c>
      <c r="Q146" s="6">
        <f t="shared" ca="1" si="8"/>
        <v>62</v>
      </c>
      <c r="R146" s="6">
        <f t="shared" si="6"/>
        <v>-4043.010000000002</v>
      </c>
      <c r="S146" s="7" t="str">
        <f t="shared" si="7"/>
        <v>Loss</v>
      </c>
    </row>
    <row r="147" spans="1:19" x14ac:dyDescent="0.3">
      <c r="A147" s="4" t="s">
        <v>335</v>
      </c>
      <c r="B147" s="5">
        <v>44838</v>
      </c>
      <c r="C147" s="6" t="s">
        <v>336</v>
      </c>
      <c r="D147" s="6" t="s">
        <v>25</v>
      </c>
      <c r="E147" s="6">
        <v>17371</v>
      </c>
      <c r="F147" s="6">
        <v>13</v>
      </c>
      <c r="G147" s="6">
        <v>36</v>
      </c>
      <c r="H147" s="6" t="s">
        <v>19</v>
      </c>
      <c r="I147" s="6" t="s">
        <v>20</v>
      </c>
      <c r="J147" s="6" t="s">
        <v>21</v>
      </c>
      <c r="K147" s="6">
        <v>34886</v>
      </c>
      <c r="L147" s="6" t="s">
        <v>22</v>
      </c>
      <c r="M147" s="6">
        <v>0.12</v>
      </c>
      <c r="N147" s="6">
        <v>0.93</v>
      </c>
      <c r="O147" s="6">
        <v>19629.23</v>
      </c>
      <c r="P147" s="6">
        <v>0</v>
      </c>
      <c r="Q147" s="6">
        <f t="shared" ca="1" si="8"/>
        <v>41</v>
      </c>
      <c r="R147" s="6">
        <f t="shared" si="6"/>
        <v>-2258.2299999999996</v>
      </c>
      <c r="S147" s="7" t="str">
        <f t="shared" si="7"/>
        <v>Loss</v>
      </c>
    </row>
    <row r="148" spans="1:19" x14ac:dyDescent="0.3">
      <c r="A148" s="4" t="s">
        <v>337</v>
      </c>
      <c r="B148" s="5">
        <v>44416</v>
      </c>
      <c r="C148" s="6" t="s">
        <v>338</v>
      </c>
      <c r="D148" s="6" t="s">
        <v>71</v>
      </c>
      <c r="E148" s="6">
        <v>30629</v>
      </c>
      <c r="F148" s="6">
        <v>22.5</v>
      </c>
      <c r="G148" s="6">
        <v>60</v>
      </c>
      <c r="H148" s="6" t="s">
        <v>26</v>
      </c>
      <c r="I148" s="6" t="s">
        <v>20</v>
      </c>
      <c r="J148" s="6" t="s">
        <v>47</v>
      </c>
      <c r="K148" s="6">
        <v>141249</v>
      </c>
      <c r="L148" s="6" t="s">
        <v>22</v>
      </c>
      <c r="M148" s="6">
        <v>0.31</v>
      </c>
      <c r="N148" s="6">
        <v>0.74</v>
      </c>
      <c r="O148" s="6">
        <v>3262.78</v>
      </c>
      <c r="P148" s="6">
        <v>0</v>
      </c>
      <c r="Q148" s="6">
        <f t="shared" ca="1" si="8"/>
        <v>55</v>
      </c>
      <c r="R148" s="6">
        <f t="shared" si="6"/>
        <v>27366.22</v>
      </c>
      <c r="S148" s="7" t="str">
        <f t="shared" si="7"/>
        <v>Profit</v>
      </c>
    </row>
    <row r="149" spans="1:19" x14ac:dyDescent="0.3">
      <c r="A149" s="4" t="s">
        <v>339</v>
      </c>
      <c r="B149" s="5">
        <v>45051</v>
      </c>
      <c r="C149" s="6" t="s">
        <v>340</v>
      </c>
      <c r="D149" s="6" t="s">
        <v>18</v>
      </c>
      <c r="E149" s="6">
        <v>9436</v>
      </c>
      <c r="F149" s="6">
        <v>15.2</v>
      </c>
      <c r="G149" s="6">
        <v>60</v>
      </c>
      <c r="H149" s="6" t="s">
        <v>26</v>
      </c>
      <c r="I149" s="6" t="s">
        <v>72</v>
      </c>
      <c r="J149" s="6" t="s">
        <v>37</v>
      </c>
      <c r="K149" s="6">
        <v>37485</v>
      </c>
      <c r="L149" s="6" t="s">
        <v>29</v>
      </c>
      <c r="M149" s="6">
        <v>0.33</v>
      </c>
      <c r="N149" s="6">
        <v>0.78</v>
      </c>
      <c r="O149" s="6">
        <v>2248.61</v>
      </c>
      <c r="P149" s="6">
        <v>0</v>
      </c>
      <c r="Q149" s="6">
        <f t="shared" ca="1" si="8"/>
        <v>34</v>
      </c>
      <c r="R149" s="6">
        <f t="shared" si="6"/>
        <v>7187.3899999999994</v>
      </c>
      <c r="S149" s="7" t="str">
        <f t="shared" si="7"/>
        <v>Profit</v>
      </c>
    </row>
    <row r="150" spans="1:19" x14ac:dyDescent="0.3">
      <c r="A150" s="4" t="s">
        <v>341</v>
      </c>
      <c r="B150" s="5">
        <v>44581</v>
      </c>
      <c r="C150" s="6" t="s">
        <v>342</v>
      </c>
      <c r="D150" s="6" t="s">
        <v>46</v>
      </c>
      <c r="E150" s="6">
        <v>13984</v>
      </c>
      <c r="F150" s="6">
        <v>19.5</v>
      </c>
      <c r="G150" s="6">
        <v>36</v>
      </c>
      <c r="H150" s="6" t="s">
        <v>19</v>
      </c>
      <c r="I150" s="6" t="s">
        <v>36</v>
      </c>
      <c r="J150" s="6" t="s">
        <v>28</v>
      </c>
      <c r="K150" s="6">
        <v>61455</v>
      </c>
      <c r="L150" s="6" t="s">
        <v>29</v>
      </c>
      <c r="M150" s="6">
        <v>0.4</v>
      </c>
      <c r="N150" s="6">
        <v>0.81</v>
      </c>
      <c r="O150" s="6">
        <v>16710.88</v>
      </c>
      <c r="P150" s="6">
        <v>0</v>
      </c>
      <c r="Q150" s="6">
        <f t="shared" ca="1" si="8"/>
        <v>50</v>
      </c>
      <c r="R150" s="6">
        <f t="shared" si="6"/>
        <v>-2726.880000000001</v>
      </c>
      <c r="S150" s="7" t="str">
        <f t="shared" si="7"/>
        <v>Loss</v>
      </c>
    </row>
    <row r="151" spans="1:19" x14ac:dyDescent="0.3">
      <c r="A151" s="4" t="s">
        <v>343</v>
      </c>
      <c r="B151" s="5">
        <v>45273</v>
      </c>
      <c r="C151" s="6" t="s">
        <v>344</v>
      </c>
      <c r="D151" s="6" t="s">
        <v>40</v>
      </c>
      <c r="E151" s="6">
        <v>34039</v>
      </c>
      <c r="F151" s="6">
        <v>7.1</v>
      </c>
      <c r="G151" s="6">
        <v>60</v>
      </c>
      <c r="H151" s="6" t="s">
        <v>2045</v>
      </c>
      <c r="I151" s="6" t="s">
        <v>83</v>
      </c>
      <c r="J151" s="6" t="s">
        <v>21</v>
      </c>
      <c r="K151" s="6">
        <v>141984</v>
      </c>
      <c r="L151" s="6" t="s">
        <v>22</v>
      </c>
      <c r="M151" s="6">
        <v>0.15</v>
      </c>
      <c r="N151" s="6">
        <v>0.8</v>
      </c>
      <c r="O151" s="6">
        <v>0</v>
      </c>
      <c r="P151" s="6">
        <v>0</v>
      </c>
      <c r="Q151" s="6">
        <f t="shared" ca="1" si="8"/>
        <v>27</v>
      </c>
      <c r="R151" s="6">
        <f t="shared" si="6"/>
        <v>34039</v>
      </c>
      <c r="S151" s="7" t="str">
        <f t="shared" si="7"/>
        <v>Profit</v>
      </c>
    </row>
    <row r="152" spans="1:19" x14ac:dyDescent="0.3">
      <c r="A152" s="4" t="s">
        <v>345</v>
      </c>
      <c r="B152" s="5">
        <v>44926</v>
      </c>
      <c r="C152" s="6" t="s">
        <v>346</v>
      </c>
      <c r="D152" s="6" t="s">
        <v>25</v>
      </c>
      <c r="E152" s="6">
        <v>20895</v>
      </c>
      <c r="F152" s="6">
        <v>9.5</v>
      </c>
      <c r="G152" s="6">
        <v>36</v>
      </c>
      <c r="H152" s="6" t="s">
        <v>19</v>
      </c>
      <c r="I152" s="6" t="s">
        <v>41</v>
      </c>
      <c r="J152" s="6" t="s">
        <v>47</v>
      </c>
      <c r="K152" s="6">
        <v>46767</v>
      </c>
      <c r="L152" s="6" t="s">
        <v>29</v>
      </c>
      <c r="M152" s="6">
        <v>0.31</v>
      </c>
      <c r="N152" s="6">
        <v>0.73</v>
      </c>
      <c r="O152" s="6">
        <v>22880.02</v>
      </c>
      <c r="P152" s="6">
        <v>0</v>
      </c>
      <c r="Q152" s="6">
        <f t="shared" ca="1" si="8"/>
        <v>38</v>
      </c>
      <c r="R152" s="6">
        <f t="shared" si="6"/>
        <v>-1985.0200000000004</v>
      </c>
      <c r="S152" s="7" t="str">
        <f t="shared" si="7"/>
        <v>Loss</v>
      </c>
    </row>
    <row r="153" spans="1:19" x14ac:dyDescent="0.3">
      <c r="A153" s="4" t="s">
        <v>347</v>
      </c>
      <c r="B153" s="5">
        <v>44443</v>
      </c>
      <c r="C153" s="6" t="s">
        <v>348</v>
      </c>
      <c r="D153" s="6" t="s">
        <v>46</v>
      </c>
      <c r="E153" s="6">
        <v>19155</v>
      </c>
      <c r="F153" s="6">
        <v>19.100000000000001</v>
      </c>
      <c r="G153" s="6">
        <v>36</v>
      </c>
      <c r="H153" s="6" t="s">
        <v>26</v>
      </c>
      <c r="I153" s="6" t="s">
        <v>72</v>
      </c>
      <c r="J153" s="6" t="s">
        <v>21</v>
      </c>
      <c r="K153" s="6">
        <v>142701</v>
      </c>
      <c r="L153" s="6" t="s">
        <v>29</v>
      </c>
      <c r="M153" s="6">
        <v>0.18</v>
      </c>
      <c r="N153" s="6">
        <v>0.69</v>
      </c>
      <c r="O153" s="6">
        <v>3927.79</v>
      </c>
      <c r="P153" s="6">
        <v>0</v>
      </c>
      <c r="Q153" s="6">
        <f t="shared" ca="1" si="8"/>
        <v>54</v>
      </c>
      <c r="R153" s="6">
        <f t="shared" si="6"/>
        <v>15227.21</v>
      </c>
      <c r="S153" s="7" t="str">
        <f t="shared" si="7"/>
        <v>Profit</v>
      </c>
    </row>
    <row r="154" spans="1:19" x14ac:dyDescent="0.3">
      <c r="A154" s="4" t="s">
        <v>349</v>
      </c>
      <c r="B154" s="5">
        <v>45032</v>
      </c>
      <c r="C154" s="6" t="s">
        <v>350</v>
      </c>
      <c r="D154" s="6" t="s">
        <v>50</v>
      </c>
      <c r="E154" s="6">
        <v>11616</v>
      </c>
      <c r="F154" s="6">
        <v>6.1</v>
      </c>
      <c r="G154" s="6">
        <v>36</v>
      </c>
      <c r="H154" s="6" t="s">
        <v>19</v>
      </c>
      <c r="I154" s="6" t="s">
        <v>83</v>
      </c>
      <c r="J154" s="6" t="s">
        <v>21</v>
      </c>
      <c r="K154" s="6">
        <v>58453</v>
      </c>
      <c r="L154" s="6" t="s">
        <v>22</v>
      </c>
      <c r="M154" s="6">
        <v>0.14000000000000001</v>
      </c>
      <c r="N154" s="6">
        <v>0.52</v>
      </c>
      <c r="O154" s="6">
        <v>12324.58</v>
      </c>
      <c r="P154" s="6">
        <v>0</v>
      </c>
      <c r="Q154" s="6">
        <f t="shared" ca="1" si="8"/>
        <v>35</v>
      </c>
      <c r="R154" s="6">
        <f t="shared" si="6"/>
        <v>-708.57999999999993</v>
      </c>
      <c r="S154" s="7" t="str">
        <f t="shared" si="7"/>
        <v>Loss</v>
      </c>
    </row>
    <row r="155" spans="1:19" x14ac:dyDescent="0.3">
      <c r="A155" s="4" t="s">
        <v>351</v>
      </c>
      <c r="B155" s="5">
        <v>44399</v>
      </c>
      <c r="C155" s="6" t="s">
        <v>352</v>
      </c>
      <c r="D155" s="6" t="s">
        <v>46</v>
      </c>
      <c r="E155" s="6">
        <v>38129</v>
      </c>
      <c r="F155" s="6">
        <v>14.7</v>
      </c>
      <c r="G155" s="6">
        <v>36</v>
      </c>
      <c r="H155" s="6" t="s">
        <v>26</v>
      </c>
      <c r="I155" s="6" t="s">
        <v>83</v>
      </c>
      <c r="J155" s="6" t="s">
        <v>21</v>
      </c>
      <c r="K155" s="6">
        <v>106280</v>
      </c>
      <c r="L155" s="6" t="s">
        <v>33</v>
      </c>
      <c r="M155" s="6">
        <v>0.26</v>
      </c>
      <c r="N155" s="6">
        <v>0.51</v>
      </c>
      <c r="O155" s="6">
        <v>10453.74</v>
      </c>
      <c r="P155" s="6">
        <v>0</v>
      </c>
      <c r="Q155" s="6">
        <f t="shared" ca="1" si="8"/>
        <v>55</v>
      </c>
      <c r="R155" s="6">
        <f t="shared" si="6"/>
        <v>27675.260000000002</v>
      </c>
      <c r="S155" s="7" t="str">
        <f t="shared" si="7"/>
        <v>Profit</v>
      </c>
    </row>
    <row r="156" spans="1:19" x14ac:dyDescent="0.3">
      <c r="A156" s="4" t="s">
        <v>353</v>
      </c>
      <c r="B156" s="5">
        <v>44319</v>
      </c>
      <c r="C156" s="6" t="s">
        <v>354</v>
      </c>
      <c r="D156" s="6" t="s">
        <v>64</v>
      </c>
      <c r="E156" s="6">
        <v>25574</v>
      </c>
      <c r="F156" s="6">
        <v>17</v>
      </c>
      <c r="G156" s="6">
        <v>36</v>
      </c>
      <c r="H156" s="6" t="s">
        <v>19</v>
      </c>
      <c r="I156" s="6" t="s">
        <v>27</v>
      </c>
      <c r="J156" s="6" t="s">
        <v>32</v>
      </c>
      <c r="K156" s="6">
        <v>132638</v>
      </c>
      <c r="L156" s="6" t="s">
        <v>29</v>
      </c>
      <c r="M156" s="6">
        <v>0.17</v>
      </c>
      <c r="N156" s="6">
        <v>0.66</v>
      </c>
      <c r="O156" s="6">
        <v>29921.58</v>
      </c>
      <c r="P156" s="6">
        <v>0</v>
      </c>
      <c r="Q156" s="6">
        <f t="shared" ca="1" si="8"/>
        <v>58</v>
      </c>
      <c r="R156" s="6">
        <f t="shared" si="6"/>
        <v>-4347.5800000000017</v>
      </c>
      <c r="S156" s="7" t="str">
        <f t="shared" si="7"/>
        <v>Loss</v>
      </c>
    </row>
    <row r="157" spans="1:19" x14ac:dyDescent="0.3">
      <c r="A157" s="4" t="s">
        <v>355</v>
      </c>
      <c r="B157" s="5">
        <v>44597</v>
      </c>
      <c r="C157" s="6" t="s">
        <v>356</v>
      </c>
      <c r="D157" s="6" t="s">
        <v>40</v>
      </c>
      <c r="E157" s="6">
        <v>4430</v>
      </c>
      <c r="F157" s="6">
        <v>17</v>
      </c>
      <c r="G157" s="6">
        <v>60</v>
      </c>
      <c r="H157" s="6" t="s">
        <v>19</v>
      </c>
      <c r="I157" s="6" t="s">
        <v>57</v>
      </c>
      <c r="J157" s="6" t="s">
        <v>47</v>
      </c>
      <c r="K157" s="6">
        <v>83442</v>
      </c>
      <c r="L157" s="6" t="s">
        <v>22</v>
      </c>
      <c r="M157" s="6">
        <v>0.19</v>
      </c>
      <c r="N157" s="6">
        <v>0.65</v>
      </c>
      <c r="O157" s="6">
        <v>5183.1000000000004</v>
      </c>
      <c r="P157" s="6">
        <v>0</v>
      </c>
      <c r="Q157" s="6">
        <f t="shared" ca="1" si="8"/>
        <v>49</v>
      </c>
      <c r="R157" s="6">
        <f t="shared" si="6"/>
        <v>-753.10000000000036</v>
      </c>
      <c r="S157" s="7" t="str">
        <f t="shared" si="7"/>
        <v>Loss</v>
      </c>
    </row>
    <row r="158" spans="1:19" x14ac:dyDescent="0.3">
      <c r="A158" s="4" t="s">
        <v>357</v>
      </c>
      <c r="B158" s="5">
        <v>44963</v>
      </c>
      <c r="C158" s="6" t="s">
        <v>358</v>
      </c>
      <c r="D158" s="6" t="s">
        <v>75</v>
      </c>
      <c r="E158" s="6">
        <v>13676</v>
      </c>
      <c r="F158" s="6">
        <v>5.5</v>
      </c>
      <c r="G158" s="6">
        <v>36</v>
      </c>
      <c r="H158" s="6" t="s">
        <v>19</v>
      </c>
      <c r="I158" s="6" t="s">
        <v>72</v>
      </c>
      <c r="J158" s="6" t="s">
        <v>47</v>
      </c>
      <c r="K158" s="6">
        <v>81877</v>
      </c>
      <c r="L158" s="6" t="s">
        <v>29</v>
      </c>
      <c r="M158" s="6">
        <v>0.23</v>
      </c>
      <c r="N158" s="6">
        <v>0.67</v>
      </c>
      <c r="O158" s="6">
        <v>14428.18</v>
      </c>
      <c r="P158" s="6">
        <v>0</v>
      </c>
      <c r="Q158" s="6">
        <f t="shared" ca="1" si="8"/>
        <v>37</v>
      </c>
      <c r="R158" s="6">
        <f t="shared" si="6"/>
        <v>-752.18000000000029</v>
      </c>
      <c r="S158" s="7" t="str">
        <f t="shared" si="7"/>
        <v>Loss</v>
      </c>
    </row>
    <row r="159" spans="1:19" x14ac:dyDescent="0.3">
      <c r="A159" s="4" t="s">
        <v>359</v>
      </c>
      <c r="B159" s="5">
        <v>44490</v>
      </c>
      <c r="C159" s="6" t="s">
        <v>360</v>
      </c>
      <c r="D159" s="6" t="s">
        <v>53</v>
      </c>
      <c r="E159" s="6">
        <v>11816</v>
      </c>
      <c r="F159" s="6">
        <v>11.4</v>
      </c>
      <c r="G159" s="6">
        <v>36</v>
      </c>
      <c r="H159" s="6" t="s">
        <v>26</v>
      </c>
      <c r="I159" s="6" t="s">
        <v>83</v>
      </c>
      <c r="J159" s="6" t="s">
        <v>21</v>
      </c>
      <c r="K159" s="6">
        <v>42226</v>
      </c>
      <c r="L159" s="6" t="s">
        <v>29</v>
      </c>
      <c r="M159" s="6">
        <v>0.2</v>
      </c>
      <c r="N159" s="6">
        <v>0.56000000000000005</v>
      </c>
      <c r="O159" s="6">
        <v>3024.12</v>
      </c>
      <c r="P159" s="6">
        <v>0</v>
      </c>
      <c r="Q159" s="6">
        <f t="shared" ca="1" si="8"/>
        <v>52</v>
      </c>
      <c r="R159" s="6">
        <f t="shared" si="6"/>
        <v>8791.880000000001</v>
      </c>
      <c r="S159" s="7" t="str">
        <f t="shared" si="7"/>
        <v>Profit</v>
      </c>
    </row>
    <row r="160" spans="1:19" x14ac:dyDescent="0.3">
      <c r="A160" s="4" t="s">
        <v>361</v>
      </c>
      <c r="B160" s="5">
        <v>44476</v>
      </c>
      <c r="C160" s="6" t="s">
        <v>362</v>
      </c>
      <c r="D160" s="6" t="s">
        <v>18</v>
      </c>
      <c r="E160" s="6">
        <v>33733</v>
      </c>
      <c r="F160" s="6">
        <v>17.7</v>
      </c>
      <c r="G160" s="6">
        <v>60</v>
      </c>
      <c r="H160" s="6" t="s">
        <v>19</v>
      </c>
      <c r="I160" s="6" t="s">
        <v>57</v>
      </c>
      <c r="J160" s="6" t="s">
        <v>28</v>
      </c>
      <c r="K160" s="6">
        <v>123405</v>
      </c>
      <c r="L160" s="6" t="s">
        <v>22</v>
      </c>
      <c r="M160" s="6">
        <v>0.14000000000000001</v>
      </c>
      <c r="N160" s="6">
        <v>0.83</v>
      </c>
      <c r="O160" s="6">
        <v>39703.74</v>
      </c>
      <c r="P160" s="6">
        <v>0</v>
      </c>
      <c r="Q160" s="6">
        <f t="shared" ca="1" si="8"/>
        <v>53</v>
      </c>
      <c r="R160" s="6">
        <f t="shared" si="6"/>
        <v>-5970.739999999998</v>
      </c>
      <c r="S160" s="7" t="str">
        <f t="shared" si="7"/>
        <v>Loss</v>
      </c>
    </row>
    <row r="161" spans="1:19" x14ac:dyDescent="0.3">
      <c r="A161" s="4" t="s">
        <v>363</v>
      </c>
      <c r="B161" s="5">
        <v>45080</v>
      </c>
      <c r="C161" s="6" t="s">
        <v>364</v>
      </c>
      <c r="D161" s="6" t="s">
        <v>75</v>
      </c>
      <c r="E161" s="6">
        <v>21144</v>
      </c>
      <c r="F161" s="6">
        <v>8</v>
      </c>
      <c r="G161" s="6">
        <v>60</v>
      </c>
      <c r="H161" s="6" t="s">
        <v>26</v>
      </c>
      <c r="I161" s="6" t="s">
        <v>36</v>
      </c>
      <c r="J161" s="6" t="s">
        <v>21</v>
      </c>
      <c r="K161" s="6">
        <v>52588</v>
      </c>
      <c r="L161" s="6" t="s">
        <v>29</v>
      </c>
      <c r="M161" s="6">
        <v>0.14000000000000001</v>
      </c>
      <c r="N161" s="6">
        <v>0.89</v>
      </c>
      <c r="O161" s="6">
        <v>5994.33</v>
      </c>
      <c r="P161" s="6">
        <v>0</v>
      </c>
      <c r="Q161" s="6">
        <f t="shared" ca="1" si="8"/>
        <v>33</v>
      </c>
      <c r="R161" s="6">
        <f t="shared" si="6"/>
        <v>15149.67</v>
      </c>
      <c r="S161" s="7" t="str">
        <f t="shared" si="7"/>
        <v>Profit</v>
      </c>
    </row>
    <row r="162" spans="1:19" x14ac:dyDescent="0.3">
      <c r="A162" s="4" t="s">
        <v>365</v>
      </c>
      <c r="B162" s="5">
        <v>44394</v>
      </c>
      <c r="C162" s="6" t="s">
        <v>366</v>
      </c>
      <c r="D162" s="6" t="s">
        <v>25</v>
      </c>
      <c r="E162" s="6">
        <v>3050</v>
      </c>
      <c r="F162" s="6">
        <v>18.899999999999999</v>
      </c>
      <c r="G162" s="6">
        <v>60</v>
      </c>
      <c r="H162" s="6" t="s">
        <v>26</v>
      </c>
      <c r="I162" s="6" t="s">
        <v>20</v>
      </c>
      <c r="J162" s="6" t="s">
        <v>32</v>
      </c>
      <c r="K162" s="6">
        <v>108976</v>
      </c>
      <c r="L162" s="6" t="s">
        <v>29</v>
      </c>
      <c r="M162" s="6">
        <v>0.18</v>
      </c>
      <c r="N162" s="6">
        <v>0.92</v>
      </c>
      <c r="O162" s="6">
        <v>344.54</v>
      </c>
      <c r="P162" s="6">
        <v>0</v>
      </c>
      <c r="Q162" s="6">
        <f t="shared" ca="1" si="8"/>
        <v>56</v>
      </c>
      <c r="R162" s="6">
        <f t="shared" si="6"/>
        <v>2705.46</v>
      </c>
      <c r="S162" s="7" t="str">
        <f t="shared" si="7"/>
        <v>Profit</v>
      </c>
    </row>
    <row r="163" spans="1:19" x14ac:dyDescent="0.3">
      <c r="A163" s="4" t="s">
        <v>367</v>
      </c>
      <c r="B163" s="5">
        <v>45178</v>
      </c>
      <c r="C163" s="6" t="s">
        <v>368</v>
      </c>
      <c r="D163" s="6" t="s">
        <v>40</v>
      </c>
      <c r="E163" s="6">
        <v>34933</v>
      </c>
      <c r="F163" s="6">
        <v>19.899999999999999</v>
      </c>
      <c r="G163" s="6">
        <v>36</v>
      </c>
      <c r="H163" s="6" t="s">
        <v>19</v>
      </c>
      <c r="I163" s="6" t="s">
        <v>27</v>
      </c>
      <c r="J163" s="6" t="s">
        <v>37</v>
      </c>
      <c r="K163" s="6">
        <v>61709</v>
      </c>
      <c r="L163" s="6" t="s">
        <v>29</v>
      </c>
      <c r="M163" s="6">
        <v>0.12</v>
      </c>
      <c r="N163" s="6">
        <v>0.72</v>
      </c>
      <c r="O163" s="6">
        <v>41884.67</v>
      </c>
      <c r="P163" s="6">
        <v>0</v>
      </c>
      <c r="Q163" s="6">
        <f t="shared" ca="1" si="8"/>
        <v>30</v>
      </c>
      <c r="R163" s="6">
        <f t="shared" si="6"/>
        <v>-6951.6699999999983</v>
      </c>
      <c r="S163" s="7" t="str">
        <f t="shared" si="7"/>
        <v>Loss</v>
      </c>
    </row>
    <row r="164" spans="1:19" x14ac:dyDescent="0.3">
      <c r="A164" s="4" t="s">
        <v>369</v>
      </c>
      <c r="B164" s="5">
        <v>44948</v>
      </c>
      <c r="C164" s="6" t="s">
        <v>370</v>
      </c>
      <c r="D164" s="6" t="s">
        <v>53</v>
      </c>
      <c r="E164" s="6">
        <v>25951</v>
      </c>
      <c r="F164" s="6">
        <v>24.6</v>
      </c>
      <c r="G164" s="6">
        <v>36</v>
      </c>
      <c r="H164" s="6" t="s">
        <v>19</v>
      </c>
      <c r="I164" s="6" t="s">
        <v>27</v>
      </c>
      <c r="J164" s="6" t="s">
        <v>32</v>
      </c>
      <c r="K164" s="6">
        <v>77788</v>
      </c>
      <c r="L164" s="6" t="s">
        <v>33</v>
      </c>
      <c r="M164" s="6">
        <v>0.35</v>
      </c>
      <c r="N164" s="6">
        <v>0.82</v>
      </c>
      <c r="O164" s="6">
        <v>32334.95</v>
      </c>
      <c r="P164" s="6">
        <v>0</v>
      </c>
      <c r="Q164" s="6">
        <f t="shared" ca="1" si="8"/>
        <v>37</v>
      </c>
      <c r="R164" s="6">
        <f t="shared" si="6"/>
        <v>-6383.9500000000007</v>
      </c>
      <c r="S164" s="7" t="str">
        <f t="shared" si="7"/>
        <v>Loss</v>
      </c>
    </row>
    <row r="165" spans="1:19" x14ac:dyDescent="0.3">
      <c r="A165" s="4" t="s">
        <v>371</v>
      </c>
      <c r="B165" s="5">
        <v>44340</v>
      </c>
      <c r="C165" s="6" t="s">
        <v>372</v>
      </c>
      <c r="D165" s="6" t="s">
        <v>46</v>
      </c>
      <c r="E165" s="6">
        <v>33413</v>
      </c>
      <c r="F165" s="6">
        <v>9.1999999999999993</v>
      </c>
      <c r="G165" s="6">
        <v>36</v>
      </c>
      <c r="H165" s="6" t="s">
        <v>19</v>
      </c>
      <c r="I165" s="6" t="s">
        <v>27</v>
      </c>
      <c r="J165" s="6" t="s">
        <v>28</v>
      </c>
      <c r="K165" s="6">
        <v>118031</v>
      </c>
      <c r="L165" s="6" t="s">
        <v>33</v>
      </c>
      <c r="M165" s="6">
        <v>0.21</v>
      </c>
      <c r="N165" s="6">
        <v>0.88</v>
      </c>
      <c r="O165" s="6">
        <v>36487</v>
      </c>
      <c r="P165" s="6">
        <v>0</v>
      </c>
      <c r="Q165" s="6">
        <f t="shared" ca="1" si="8"/>
        <v>57</v>
      </c>
      <c r="R165" s="6">
        <f t="shared" si="6"/>
        <v>-3074</v>
      </c>
      <c r="S165" s="7" t="str">
        <f t="shared" si="7"/>
        <v>Loss</v>
      </c>
    </row>
    <row r="166" spans="1:19" x14ac:dyDescent="0.3">
      <c r="A166" s="4" t="s">
        <v>373</v>
      </c>
      <c r="B166" s="5">
        <v>44805</v>
      </c>
      <c r="C166" s="6" t="s">
        <v>374</v>
      </c>
      <c r="D166" s="6" t="s">
        <v>40</v>
      </c>
      <c r="E166" s="6">
        <v>35801</v>
      </c>
      <c r="F166" s="6">
        <v>21.5</v>
      </c>
      <c r="G166" s="6">
        <v>60</v>
      </c>
      <c r="H166" s="6" t="s">
        <v>26</v>
      </c>
      <c r="I166" s="6" t="s">
        <v>57</v>
      </c>
      <c r="J166" s="6" t="s">
        <v>21</v>
      </c>
      <c r="K166" s="6">
        <v>67019</v>
      </c>
      <c r="L166" s="6" t="s">
        <v>29</v>
      </c>
      <c r="M166" s="6">
        <v>0.21</v>
      </c>
      <c r="N166" s="6">
        <v>0.69</v>
      </c>
      <c r="O166" s="6">
        <v>10056.99</v>
      </c>
      <c r="P166" s="6">
        <v>0</v>
      </c>
      <c r="Q166" s="6">
        <f t="shared" ca="1" si="8"/>
        <v>42</v>
      </c>
      <c r="R166" s="6">
        <f t="shared" si="6"/>
        <v>25744.010000000002</v>
      </c>
      <c r="S166" s="7" t="str">
        <f t="shared" si="7"/>
        <v>Profit</v>
      </c>
    </row>
    <row r="167" spans="1:19" x14ac:dyDescent="0.3">
      <c r="A167" s="4" t="s">
        <v>375</v>
      </c>
      <c r="B167" s="5">
        <v>44383</v>
      </c>
      <c r="C167" s="6" t="s">
        <v>376</v>
      </c>
      <c r="D167" s="6" t="s">
        <v>46</v>
      </c>
      <c r="E167" s="6">
        <v>33913</v>
      </c>
      <c r="F167" s="6">
        <v>15.4</v>
      </c>
      <c r="G167" s="6">
        <v>36</v>
      </c>
      <c r="H167" s="6" t="s">
        <v>19</v>
      </c>
      <c r="I167" s="6" t="s">
        <v>36</v>
      </c>
      <c r="J167" s="6" t="s">
        <v>47</v>
      </c>
      <c r="K167" s="6">
        <v>74948</v>
      </c>
      <c r="L167" s="6" t="s">
        <v>22</v>
      </c>
      <c r="M167" s="6">
        <v>0.23</v>
      </c>
      <c r="N167" s="6">
        <v>0.64</v>
      </c>
      <c r="O167" s="6">
        <v>39135.599999999999</v>
      </c>
      <c r="P167" s="6">
        <v>0</v>
      </c>
      <c r="Q167" s="6">
        <f t="shared" ca="1" si="8"/>
        <v>56</v>
      </c>
      <c r="R167" s="6">
        <f t="shared" si="6"/>
        <v>-5222.5999999999985</v>
      </c>
      <c r="S167" s="7" t="str">
        <f t="shared" si="7"/>
        <v>Loss</v>
      </c>
    </row>
    <row r="168" spans="1:19" x14ac:dyDescent="0.3">
      <c r="A168" s="4" t="s">
        <v>377</v>
      </c>
      <c r="B168" s="5">
        <v>44660</v>
      </c>
      <c r="C168" s="6" t="s">
        <v>378</v>
      </c>
      <c r="D168" s="6" t="s">
        <v>50</v>
      </c>
      <c r="E168" s="6">
        <v>26280</v>
      </c>
      <c r="F168" s="6">
        <v>12.5</v>
      </c>
      <c r="G168" s="6">
        <v>60</v>
      </c>
      <c r="H168" s="6" t="s">
        <v>19</v>
      </c>
      <c r="I168" s="6" t="s">
        <v>27</v>
      </c>
      <c r="J168" s="6" t="s">
        <v>21</v>
      </c>
      <c r="K168" s="6">
        <v>95133</v>
      </c>
      <c r="L168" s="6" t="s">
        <v>29</v>
      </c>
      <c r="M168" s="6">
        <v>0.37</v>
      </c>
      <c r="N168" s="6">
        <v>0.92</v>
      </c>
      <c r="O168" s="6">
        <v>29565</v>
      </c>
      <c r="P168" s="6">
        <v>0</v>
      </c>
      <c r="Q168" s="6">
        <f t="shared" ca="1" si="8"/>
        <v>47</v>
      </c>
      <c r="R168" s="6">
        <f t="shared" si="6"/>
        <v>-3285</v>
      </c>
      <c r="S168" s="7" t="str">
        <f t="shared" si="7"/>
        <v>Loss</v>
      </c>
    </row>
    <row r="169" spans="1:19" x14ac:dyDescent="0.3">
      <c r="A169" s="4" t="s">
        <v>379</v>
      </c>
      <c r="B169" s="5">
        <v>44856</v>
      </c>
      <c r="C169" s="6" t="s">
        <v>380</v>
      </c>
      <c r="D169" s="6" t="s">
        <v>64</v>
      </c>
      <c r="E169" s="6">
        <v>25557</v>
      </c>
      <c r="F169" s="6">
        <v>7.4</v>
      </c>
      <c r="G169" s="6">
        <v>36</v>
      </c>
      <c r="H169" s="6" t="s">
        <v>26</v>
      </c>
      <c r="I169" s="6" t="s">
        <v>57</v>
      </c>
      <c r="J169" s="6" t="s">
        <v>28</v>
      </c>
      <c r="K169" s="6">
        <v>144444</v>
      </c>
      <c r="L169" s="6" t="s">
        <v>29</v>
      </c>
      <c r="M169" s="6">
        <v>0.45</v>
      </c>
      <c r="N169" s="6">
        <v>0.73</v>
      </c>
      <c r="O169" s="6">
        <v>4065.82</v>
      </c>
      <c r="P169" s="6">
        <v>0</v>
      </c>
      <c r="Q169" s="6">
        <f t="shared" ca="1" si="8"/>
        <v>40</v>
      </c>
      <c r="R169" s="6">
        <f t="shared" si="6"/>
        <v>21491.18</v>
      </c>
      <c r="S169" s="7" t="str">
        <f t="shared" si="7"/>
        <v>Profit</v>
      </c>
    </row>
    <row r="170" spans="1:19" x14ac:dyDescent="0.3">
      <c r="A170" s="4" t="s">
        <v>381</v>
      </c>
      <c r="B170" s="5">
        <v>44960</v>
      </c>
      <c r="C170" s="6" t="s">
        <v>382</v>
      </c>
      <c r="D170" s="6" t="s">
        <v>56</v>
      </c>
      <c r="E170" s="6">
        <v>36400</v>
      </c>
      <c r="F170" s="6">
        <v>19.7</v>
      </c>
      <c r="G170" s="6">
        <v>60</v>
      </c>
      <c r="H170" s="6" t="s">
        <v>26</v>
      </c>
      <c r="I170" s="6" t="s">
        <v>27</v>
      </c>
      <c r="J170" s="6" t="s">
        <v>47</v>
      </c>
      <c r="K170" s="6">
        <v>96458</v>
      </c>
      <c r="L170" s="6" t="s">
        <v>33</v>
      </c>
      <c r="M170" s="6">
        <v>0.4</v>
      </c>
      <c r="N170" s="6">
        <v>0.72</v>
      </c>
      <c r="O170" s="6">
        <v>4839.3500000000004</v>
      </c>
      <c r="P170" s="6">
        <v>0</v>
      </c>
      <c r="Q170" s="6">
        <f t="shared" ca="1" si="8"/>
        <v>37</v>
      </c>
      <c r="R170" s="6">
        <f t="shared" si="6"/>
        <v>31560.65</v>
      </c>
      <c r="S170" s="7" t="str">
        <f t="shared" si="7"/>
        <v>Profit</v>
      </c>
    </row>
    <row r="171" spans="1:19" x14ac:dyDescent="0.3">
      <c r="A171" s="4" t="s">
        <v>383</v>
      </c>
      <c r="B171" s="5">
        <v>45151</v>
      </c>
      <c r="C171" s="6" t="s">
        <v>384</v>
      </c>
      <c r="D171" s="6" t="s">
        <v>40</v>
      </c>
      <c r="E171" s="6">
        <v>5494</v>
      </c>
      <c r="F171" s="6">
        <v>9.6999999999999993</v>
      </c>
      <c r="G171" s="6">
        <v>36</v>
      </c>
      <c r="H171" s="6" t="s">
        <v>19</v>
      </c>
      <c r="I171" s="6" t="s">
        <v>57</v>
      </c>
      <c r="J171" s="6" t="s">
        <v>32</v>
      </c>
      <c r="K171" s="6">
        <v>147603</v>
      </c>
      <c r="L171" s="6" t="s">
        <v>33</v>
      </c>
      <c r="M171" s="6">
        <v>0.39</v>
      </c>
      <c r="N171" s="6">
        <v>0.57999999999999996</v>
      </c>
      <c r="O171" s="6">
        <v>6026.92</v>
      </c>
      <c r="P171" s="6">
        <v>0</v>
      </c>
      <c r="Q171" s="6">
        <f t="shared" ca="1" si="8"/>
        <v>31</v>
      </c>
      <c r="R171" s="6">
        <f t="shared" si="6"/>
        <v>-532.92000000000007</v>
      </c>
      <c r="S171" s="7" t="str">
        <f t="shared" si="7"/>
        <v>Loss</v>
      </c>
    </row>
    <row r="172" spans="1:19" x14ac:dyDescent="0.3">
      <c r="A172" s="4" t="s">
        <v>385</v>
      </c>
      <c r="B172" s="5">
        <v>44599</v>
      </c>
      <c r="C172" s="6" t="s">
        <v>386</v>
      </c>
      <c r="D172" s="6" t="s">
        <v>25</v>
      </c>
      <c r="E172" s="6">
        <v>16152</v>
      </c>
      <c r="F172" s="6">
        <v>12.4</v>
      </c>
      <c r="G172" s="6">
        <v>36</v>
      </c>
      <c r="H172" s="6" t="s">
        <v>19</v>
      </c>
      <c r="I172" s="6" t="s">
        <v>57</v>
      </c>
      <c r="J172" s="6" t="s">
        <v>37</v>
      </c>
      <c r="K172" s="6">
        <v>57526</v>
      </c>
      <c r="L172" s="6" t="s">
        <v>33</v>
      </c>
      <c r="M172" s="6">
        <v>0.28999999999999998</v>
      </c>
      <c r="N172" s="6">
        <v>0.55000000000000004</v>
      </c>
      <c r="O172" s="6">
        <v>18154.849999999999</v>
      </c>
      <c r="P172" s="6">
        <v>0</v>
      </c>
      <c r="Q172" s="6">
        <f t="shared" ca="1" si="8"/>
        <v>49</v>
      </c>
      <c r="R172" s="6">
        <f t="shared" si="6"/>
        <v>-2002.8499999999985</v>
      </c>
      <c r="S172" s="7" t="str">
        <f t="shared" si="7"/>
        <v>Loss</v>
      </c>
    </row>
    <row r="173" spans="1:19" x14ac:dyDescent="0.3">
      <c r="A173" s="4" t="s">
        <v>387</v>
      </c>
      <c r="B173" s="5">
        <v>44343</v>
      </c>
      <c r="C173" s="6" t="s">
        <v>388</v>
      </c>
      <c r="D173" s="6" t="s">
        <v>46</v>
      </c>
      <c r="E173" s="6">
        <v>24895</v>
      </c>
      <c r="F173" s="6">
        <v>6.3</v>
      </c>
      <c r="G173" s="6">
        <v>36</v>
      </c>
      <c r="H173" s="6" t="s">
        <v>26</v>
      </c>
      <c r="I173" s="6" t="s">
        <v>57</v>
      </c>
      <c r="J173" s="6" t="s">
        <v>37</v>
      </c>
      <c r="K173" s="6">
        <v>103493</v>
      </c>
      <c r="L173" s="6" t="s">
        <v>29</v>
      </c>
      <c r="M173" s="6">
        <v>0.38</v>
      </c>
      <c r="N173" s="6">
        <v>0.88</v>
      </c>
      <c r="O173" s="6">
        <v>1971.07</v>
      </c>
      <c r="P173" s="6">
        <v>0</v>
      </c>
      <c r="Q173" s="6">
        <f t="shared" ca="1" si="8"/>
        <v>57</v>
      </c>
      <c r="R173" s="6">
        <f t="shared" si="6"/>
        <v>22923.93</v>
      </c>
      <c r="S173" s="7" t="str">
        <f t="shared" si="7"/>
        <v>Profit</v>
      </c>
    </row>
    <row r="174" spans="1:19" x14ac:dyDescent="0.3">
      <c r="A174" s="4" t="s">
        <v>389</v>
      </c>
      <c r="B174" s="5">
        <v>45060</v>
      </c>
      <c r="C174" s="6" t="s">
        <v>390</v>
      </c>
      <c r="D174" s="6" t="s">
        <v>75</v>
      </c>
      <c r="E174" s="6">
        <v>10155</v>
      </c>
      <c r="F174" s="6">
        <v>21</v>
      </c>
      <c r="G174" s="6">
        <v>60</v>
      </c>
      <c r="H174" s="6" t="s">
        <v>80</v>
      </c>
      <c r="I174" s="6" t="s">
        <v>83</v>
      </c>
      <c r="J174" s="6" t="s">
        <v>21</v>
      </c>
      <c r="K174" s="6">
        <v>82198</v>
      </c>
      <c r="L174" s="6" t="s">
        <v>29</v>
      </c>
      <c r="M174" s="6">
        <v>0.32</v>
      </c>
      <c r="N174" s="6">
        <v>0.78</v>
      </c>
      <c r="O174" s="6">
        <v>3338.92</v>
      </c>
      <c r="P174" s="6">
        <v>989.42</v>
      </c>
      <c r="Q174" s="6">
        <f t="shared" ca="1" si="8"/>
        <v>34</v>
      </c>
      <c r="R174" s="6">
        <f t="shared" si="6"/>
        <v>6816.08</v>
      </c>
      <c r="S174" s="7" t="str">
        <f t="shared" si="7"/>
        <v>Profit</v>
      </c>
    </row>
    <row r="175" spans="1:19" x14ac:dyDescent="0.3">
      <c r="A175" s="4" t="s">
        <v>391</v>
      </c>
      <c r="B175" s="5">
        <v>44685</v>
      </c>
      <c r="C175" s="6" t="s">
        <v>392</v>
      </c>
      <c r="D175" s="6" t="s">
        <v>50</v>
      </c>
      <c r="E175" s="6">
        <v>32883</v>
      </c>
      <c r="F175" s="6">
        <v>20.3</v>
      </c>
      <c r="G175" s="6">
        <v>60</v>
      </c>
      <c r="H175" s="6" t="s">
        <v>80</v>
      </c>
      <c r="I175" s="6" t="s">
        <v>72</v>
      </c>
      <c r="J175" s="6" t="s">
        <v>32</v>
      </c>
      <c r="K175" s="6">
        <v>144100</v>
      </c>
      <c r="L175" s="6" t="s">
        <v>22</v>
      </c>
      <c r="M175" s="6">
        <v>0.19</v>
      </c>
      <c r="N175" s="6">
        <v>0.65</v>
      </c>
      <c r="O175" s="6">
        <v>7504.97</v>
      </c>
      <c r="P175" s="6">
        <v>9677.33</v>
      </c>
      <c r="Q175" s="6">
        <f t="shared" ca="1" si="8"/>
        <v>46</v>
      </c>
      <c r="R175" s="6">
        <f t="shared" si="6"/>
        <v>25378.03</v>
      </c>
      <c r="S175" s="7" t="str">
        <f t="shared" si="7"/>
        <v>Profit</v>
      </c>
    </row>
    <row r="176" spans="1:19" x14ac:dyDescent="0.3">
      <c r="A176" s="4" t="s">
        <v>393</v>
      </c>
      <c r="B176" s="5">
        <v>45125</v>
      </c>
      <c r="C176" s="6" t="s">
        <v>394</v>
      </c>
      <c r="D176" s="6" t="s">
        <v>25</v>
      </c>
      <c r="E176" s="6">
        <v>2828</v>
      </c>
      <c r="F176" s="6">
        <v>19.7</v>
      </c>
      <c r="G176" s="6">
        <v>36</v>
      </c>
      <c r="H176" s="6" t="s">
        <v>26</v>
      </c>
      <c r="I176" s="6" t="s">
        <v>27</v>
      </c>
      <c r="J176" s="6" t="s">
        <v>28</v>
      </c>
      <c r="K176" s="6">
        <v>129534</v>
      </c>
      <c r="L176" s="6" t="s">
        <v>29</v>
      </c>
      <c r="M176" s="6">
        <v>0.18</v>
      </c>
      <c r="N176" s="6">
        <v>0.59</v>
      </c>
      <c r="O176" s="6">
        <v>938.87</v>
      </c>
      <c r="P176" s="6">
        <v>0</v>
      </c>
      <c r="Q176" s="6">
        <f t="shared" ca="1" si="8"/>
        <v>32</v>
      </c>
      <c r="R176" s="6">
        <f t="shared" si="6"/>
        <v>1889.13</v>
      </c>
      <c r="S176" s="7" t="str">
        <f t="shared" si="7"/>
        <v>Profit</v>
      </c>
    </row>
    <row r="177" spans="1:19" x14ac:dyDescent="0.3">
      <c r="A177" s="4" t="s">
        <v>395</v>
      </c>
      <c r="B177" s="5">
        <v>44747</v>
      </c>
      <c r="C177" s="6" t="s">
        <v>396</v>
      </c>
      <c r="D177" s="6" t="s">
        <v>18</v>
      </c>
      <c r="E177" s="6">
        <v>33123</v>
      </c>
      <c r="F177" s="6">
        <v>11</v>
      </c>
      <c r="G177" s="6">
        <v>36</v>
      </c>
      <c r="H177" s="6" t="s">
        <v>19</v>
      </c>
      <c r="I177" s="6" t="s">
        <v>57</v>
      </c>
      <c r="J177" s="6" t="s">
        <v>37</v>
      </c>
      <c r="K177" s="6">
        <v>73395</v>
      </c>
      <c r="L177" s="6" t="s">
        <v>29</v>
      </c>
      <c r="M177" s="6">
        <v>0.22</v>
      </c>
      <c r="N177" s="6">
        <v>0.75</v>
      </c>
      <c r="O177" s="6">
        <v>36766.53</v>
      </c>
      <c r="P177" s="6">
        <v>0</v>
      </c>
      <c r="Q177" s="6">
        <f t="shared" ca="1" si="8"/>
        <v>44</v>
      </c>
      <c r="R177" s="6">
        <f t="shared" si="6"/>
        <v>-3643.5299999999988</v>
      </c>
      <c r="S177" s="7" t="str">
        <f t="shared" si="7"/>
        <v>Loss</v>
      </c>
    </row>
    <row r="178" spans="1:19" x14ac:dyDescent="0.3">
      <c r="A178" s="4" t="s">
        <v>397</v>
      </c>
      <c r="B178" s="5">
        <v>44534</v>
      </c>
      <c r="C178" s="6" t="s">
        <v>398</v>
      </c>
      <c r="D178" s="6" t="s">
        <v>56</v>
      </c>
      <c r="E178" s="6">
        <v>38573</v>
      </c>
      <c r="F178" s="6">
        <v>8.5</v>
      </c>
      <c r="G178" s="6">
        <v>36</v>
      </c>
      <c r="H178" s="6" t="s">
        <v>19</v>
      </c>
      <c r="I178" s="6" t="s">
        <v>57</v>
      </c>
      <c r="J178" s="6" t="s">
        <v>32</v>
      </c>
      <c r="K178" s="6">
        <v>54031</v>
      </c>
      <c r="L178" s="6" t="s">
        <v>33</v>
      </c>
      <c r="M178" s="6">
        <v>0.46</v>
      </c>
      <c r="N178" s="6">
        <v>0.76</v>
      </c>
      <c r="O178" s="6">
        <v>41851.699999999997</v>
      </c>
      <c r="P178" s="6">
        <v>0</v>
      </c>
      <c r="Q178" s="6">
        <f t="shared" ca="1" si="8"/>
        <v>51</v>
      </c>
      <c r="R178" s="6">
        <f t="shared" si="6"/>
        <v>-3278.6999999999971</v>
      </c>
      <c r="S178" s="7" t="str">
        <f t="shared" si="7"/>
        <v>Loss</v>
      </c>
    </row>
    <row r="179" spans="1:19" x14ac:dyDescent="0.3">
      <c r="A179" s="4" t="s">
        <v>399</v>
      </c>
      <c r="B179" s="5">
        <v>45068</v>
      </c>
      <c r="C179" s="6" t="s">
        <v>400</v>
      </c>
      <c r="D179" s="6" t="s">
        <v>50</v>
      </c>
      <c r="E179" s="6">
        <v>1806</v>
      </c>
      <c r="F179" s="6">
        <v>17.8</v>
      </c>
      <c r="G179" s="6">
        <v>60</v>
      </c>
      <c r="H179" s="6" t="s">
        <v>19</v>
      </c>
      <c r="I179" s="6" t="s">
        <v>36</v>
      </c>
      <c r="J179" s="6" t="s">
        <v>21</v>
      </c>
      <c r="K179" s="6">
        <v>105542</v>
      </c>
      <c r="L179" s="6" t="s">
        <v>33</v>
      </c>
      <c r="M179" s="6">
        <v>0.32</v>
      </c>
      <c r="N179" s="6">
        <v>0.59</v>
      </c>
      <c r="O179" s="6">
        <v>2127.4699999999998</v>
      </c>
      <c r="P179" s="6">
        <v>0</v>
      </c>
      <c r="Q179" s="6">
        <f t="shared" ca="1" si="8"/>
        <v>33</v>
      </c>
      <c r="R179" s="6">
        <f t="shared" si="6"/>
        <v>-321.4699999999998</v>
      </c>
      <c r="S179" s="7" t="str">
        <f t="shared" si="7"/>
        <v>Loss</v>
      </c>
    </row>
    <row r="180" spans="1:19" x14ac:dyDescent="0.3">
      <c r="A180" s="4" t="s">
        <v>401</v>
      </c>
      <c r="B180" s="5">
        <v>44837</v>
      </c>
      <c r="C180" s="6" t="s">
        <v>402</v>
      </c>
      <c r="D180" s="6" t="s">
        <v>64</v>
      </c>
      <c r="E180" s="6">
        <v>30757</v>
      </c>
      <c r="F180" s="6">
        <v>14.9</v>
      </c>
      <c r="G180" s="6">
        <v>36</v>
      </c>
      <c r="H180" s="6" t="s">
        <v>19</v>
      </c>
      <c r="I180" s="6" t="s">
        <v>72</v>
      </c>
      <c r="J180" s="6" t="s">
        <v>47</v>
      </c>
      <c r="K180" s="6">
        <v>67701</v>
      </c>
      <c r="L180" s="6" t="s">
        <v>33</v>
      </c>
      <c r="M180" s="6">
        <v>0.39</v>
      </c>
      <c r="N180" s="6">
        <v>0.88</v>
      </c>
      <c r="O180" s="6">
        <v>35339.79</v>
      </c>
      <c r="P180" s="6">
        <v>0</v>
      </c>
      <c r="Q180" s="6">
        <f t="shared" ca="1" si="8"/>
        <v>41</v>
      </c>
      <c r="R180" s="6">
        <f t="shared" si="6"/>
        <v>-4582.7900000000009</v>
      </c>
      <c r="S180" s="7" t="str">
        <f t="shared" si="7"/>
        <v>Loss</v>
      </c>
    </row>
    <row r="181" spans="1:19" x14ac:dyDescent="0.3">
      <c r="A181" s="4" t="s">
        <v>403</v>
      </c>
      <c r="B181" s="5">
        <v>44669</v>
      </c>
      <c r="C181" s="6" t="s">
        <v>404</v>
      </c>
      <c r="D181" s="6" t="s">
        <v>56</v>
      </c>
      <c r="E181" s="6">
        <v>35636</v>
      </c>
      <c r="F181" s="6">
        <v>8.6</v>
      </c>
      <c r="G181" s="6">
        <v>36</v>
      </c>
      <c r="H181" s="6" t="s">
        <v>26</v>
      </c>
      <c r="I181" s="6" t="s">
        <v>36</v>
      </c>
      <c r="J181" s="6" t="s">
        <v>21</v>
      </c>
      <c r="K181" s="6">
        <v>142599</v>
      </c>
      <c r="L181" s="6" t="s">
        <v>33</v>
      </c>
      <c r="M181" s="6">
        <v>0.24</v>
      </c>
      <c r="N181" s="6">
        <v>0.54</v>
      </c>
      <c r="O181" s="6">
        <v>13449.63</v>
      </c>
      <c r="P181" s="6">
        <v>0</v>
      </c>
      <c r="Q181" s="6">
        <f t="shared" ca="1" si="8"/>
        <v>47</v>
      </c>
      <c r="R181" s="6">
        <f t="shared" si="6"/>
        <v>22186.370000000003</v>
      </c>
      <c r="S181" s="7" t="str">
        <f t="shared" si="7"/>
        <v>Profit</v>
      </c>
    </row>
    <row r="182" spans="1:19" x14ac:dyDescent="0.3">
      <c r="A182" s="4" t="s">
        <v>405</v>
      </c>
      <c r="B182" s="5">
        <v>44347</v>
      </c>
      <c r="C182" s="6" t="s">
        <v>406</v>
      </c>
      <c r="D182" s="6" t="s">
        <v>46</v>
      </c>
      <c r="E182" s="6">
        <v>15561</v>
      </c>
      <c r="F182" s="6">
        <v>18.7</v>
      </c>
      <c r="G182" s="6">
        <v>36</v>
      </c>
      <c r="H182" s="6" t="s">
        <v>19</v>
      </c>
      <c r="I182" s="6" t="s">
        <v>20</v>
      </c>
      <c r="J182" s="6" t="s">
        <v>21</v>
      </c>
      <c r="K182" s="6">
        <v>55939</v>
      </c>
      <c r="L182" s="6" t="s">
        <v>33</v>
      </c>
      <c r="M182" s="6">
        <v>0.26</v>
      </c>
      <c r="N182" s="6">
        <v>0.66</v>
      </c>
      <c r="O182" s="6">
        <v>18470.91</v>
      </c>
      <c r="P182" s="6">
        <v>0</v>
      </c>
      <c r="Q182" s="6">
        <f t="shared" ca="1" si="8"/>
        <v>57</v>
      </c>
      <c r="R182" s="6">
        <f t="shared" si="6"/>
        <v>-2909.91</v>
      </c>
      <c r="S182" s="7" t="str">
        <f t="shared" si="7"/>
        <v>Loss</v>
      </c>
    </row>
    <row r="183" spans="1:19" x14ac:dyDescent="0.3">
      <c r="A183" s="4" t="s">
        <v>407</v>
      </c>
      <c r="B183" s="5">
        <v>44459</v>
      </c>
      <c r="C183" s="6" t="s">
        <v>408</v>
      </c>
      <c r="D183" s="6" t="s">
        <v>25</v>
      </c>
      <c r="E183" s="6">
        <v>25262</v>
      </c>
      <c r="F183" s="6">
        <v>24.8</v>
      </c>
      <c r="G183" s="6">
        <v>36</v>
      </c>
      <c r="H183" s="6" t="s">
        <v>19</v>
      </c>
      <c r="I183" s="6" t="s">
        <v>20</v>
      </c>
      <c r="J183" s="6" t="s">
        <v>32</v>
      </c>
      <c r="K183" s="6">
        <v>79145</v>
      </c>
      <c r="L183" s="6" t="s">
        <v>22</v>
      </c>
      <c r="M183" s="6">
        <v>0.15</v>
      </c>
      <c r="N183" s="6">
        <v>0.81</v>
      </c>
      <c r="O183" s="6">
        <v>31526.98</v>
      </c>
      <c r="P183" s="6">
        <v>0</v>
      </c>
      <c r="Q183" s="6">
        <f t="shared" ca="1" si="8"/>
        <v>54</v>
      </c>
      <c r="R183" s="6">
        <f t="shared" si="6"/>
        <v>-6264.98</v>
      </c>
      <c r="S183" s="7" t="str">
        <f t="shared" si="7"/>
        <v>Loss</v>
      </c>
    </row>
    <row r="184" spans="1:19" x14ac:dyDescent="0.3">
      <c r="A184" s="4" t="s">
        <v>409</v>
      </c>
      <c r="B184" s="5">
        <v>44340</v>
      </c>
      <c r="C184" s="6" t="s">
        <v>410</v>
      </c>
      <c r="D184" s="6" t="s">
        <v>18</v>
      </c>
      <c r="E184" s="6">
        <v>15899</v>
      </c>
      <c r="F184" s="6">
        <v>19.899999999999999</v>
      </c>
      <c r="G184" s="6">
        <v>60</v>
      </c>
      <c r="H184" s="6" t="s">
        <v>314</v>
      </c>
      <c r="I184" s="6" t="s">
        <v>83</v>
      </c>
      <c r="J184" s="6" t="s">
        <v>37</v>
      </c>
      <c r="K184" s="6">
        <v>50324</v>
      </c>
      <c r="L184" s="6" t="s">
        <v>22</v>
      </c>
      <c r="M184" s="6">
        <v>0.17</v>
      </c>
      <c r="N184" s="6">
        <v>0.62</v>
      </c>
      <c r="O184" s="6">
        <v>0</v>
      </c>
      <c r="P184" s="6">
        <v>0</v>
      </c>
      <c r="Q184" s="6">
        <f t="shared" ca="1" si="8"/>
        <v>57</v>
      </c>
      <c r="R184" s="6">
        <f t="shared" si="6"/>
        <v>15899</v>
      </c>
      <c r="S184" s="7" t="str">
        <f t="shared" si="7"/>
        <v>Profit</v>
      </c>
    </row>
    <row r="185" spans="1:19" x14ac:dyDescent="0.3">
      <c r="A185" s="4" t="s">
        <v>411</v>
      </c>
      <c r="B185" s="5">
        <v>44542</v>
      </c>
      <c r="C185" s="6" t="s">
        <v>412</v>
      </c>
      <c r="D185" s="6" t="s">
        <v>71</v>
      </c>
      <c r="E185" s="6">
        <v>16934</v>
      </c>
      <c r="F185" s="6">
        <v>19.8</v>
      </c>
      <c r="G185" s="6">
        <v>60</v>
      </c>
      <c r="H185" s="6" t="s">
        <v>19</v>
      </c>
      <c r="I185" s="6" t="s">
        <v>27</v>
      </c>
      <c r="J185" s="6" t="s">
        <v>32</v>
      </c>
      <c r="K185" s="6">
        <v>52867</v>
      </c>
      <c r="L185" s="6" t="s">
        <v>22</v>
      </c>
      <c r="M185" s="6">
        <v>0.43</v>
      </c>
      <c r="N185" s="6">
        <v>0.87</v>
      </c>
      <c r="O185" s="6">
        <v>20286.93</v>
      </c>
      <c r="P185" s="6">
        <v>0</v>
      </c>
      <c r="Q185" s="6">
        <f t="shared" ca="1" si="8"/>
        <v>51</v>
      </c>
      <c r="R185" s="6">
        <f t="shared" si="6"/>
        <v>-3352.9300000000003</v>
      </c>
      <c r="S185" s="7" t="str">
        <f t="shared" si="7"/>
        <v>Loss</v>
      </c>
    </row>
    <row r="186" spans="1:19" x14ac:dyDescent="0.3">
      <c r="A186" s="4" t="s">
        <v>413</v>
      </c>
      <c r="B186" s="5">
        <v>44820</v>
      </c>
      <c r="C186" s="6" t="s">
        <v>414</v>
      </c>
      <c r="D186" s="6" t="s">
        <v>64</v>
      </c>
      <c r="E186" s="6">
        <v>39197</v>
      </c>
      <c r="F186" s="6">
        <v>24</v>
      </c>
      <c r="G186" s="6">
        <v>36</v>
      </c>
      <c r="H186" s="6" t="s">
        <v>19</v>
      </c>
      <c r="I186" s="6" t="s">
        <v>20</v>
      </c>
      <c r="J186" s="6" t="s">
        <v>47</v>
      </c>
      <c r="K186" s="6">
        <v>30203</v>
      </c>
      <c r="L186" s="6" t="s">
        <v>33</v>
      </c>
      <c r="M186" s="6">
        <v>0.33</v>
      </c>
      <c r="N186" s="6">
        <v>0.83</v>
      </c>
      <c r="O186" s="6">
        <v>48604.28</v>
      </c>
      <c r="P186" s="6">
        <v>0</v>
      </c>
      <c r="Q186" s="6">
        <f t="shared" ca="1" si="8"/>
        <v>42</v>
      </c>
      <c r="R186" s="6">
        <f t="shared" si="6"/>
        <v>-9407.2799999999988</v>
      </c>
      <c r="S186" s="7" t="str">
        <f t="shared" si="7"/>
        <v>Loss</v>
      </c>
    </row>
    <row r="187" spans="1:19" x14ac:dyDescent="0.3">
      <c r="A187" s="4" t="s">
        <v>415</v>
      </c>
      <c r="B187" s="5">
        <v>45213</v>
      </c>
      <c r="C187" s="6" t="s">
        <v>416</v>
      </c>
      <c r="D187" s="6" t="s">
        <v>53</v>
      </c>
      <c r="E187" s="6">
        <v>37332</v>
      </c>
      <c r="F187" s="6">
        <v>9.1</v>
      </c>
      <c r="G187" s="6">
        <v>36</v>
      </c>
      <c r="H187" s="6" t="s">
        <v>19</v>
      </c>
      <c r="I187" s="6" t="s">
        <v>57</v>
      </c>
      <c r="J187" s="6" t="s">
        <v>32</v>
      </c>
      <c r="K187" s="6">
        <v>46544</v>
      </c>
      <c r="L187" s="6" t="s">
        <v>33</v>
      </c>
      <c r="M187" s="6">
        <v>0.24</v>
      </c>
      <c r="N187" s="6">
        <v>0.86</v>
      </c>
      <c r="O187" s="6">
        <v>40729.21</v>
      </c>
      <c r="P187" s="6">
        <v>0</v>
      </c>
      <c r="Q187" s="6">
        <f t="shared" ca="1" si="8"/>
        <v>29</v>
      </c>
      <c r="R187" s="6">
        <f t="shared" si="6"/>
        <v>-3397.2099999999991</v>
      </c>
      <c r="S187" s="7" t="str">
        <f t="shared" si="7"/>
        <v>Loss</v>
      </c>
    </row>
    <row r="188" spans="1:19" x14ac:dyDescent="0.3">
      <c r="A188" s="4" t="s">
        <v>417</v>
      </c>
      <c r="B188" s="5">
        <v>45077</v>
      </c>
      <c r="C188" s="6" t="s">
        <v>418</v>
      </c>
      <c r="D188" s="6" t="s">
        <v>46</v>
      </c>
      <c r="E188" s="6">
        <v>35157</v>
      </c>
      <c r="F188" s="6">
        <v>16.3</v>
      </c>
      <c r="G188" s="6">
        <v>60</v>
      </c>
      <c r="H188" s="6" t="s">
        <v>26</v>
      </c>
      <c r="I188" s="6" t="s">
        <v>83</v>
      </c>
      <c r="J188" s="6" t="s">
        <v>28</v>
      </c>
      <c r="K188" s="6">
        <v>45899</v>
      </c>
      <c r="L188" s="6" t="s">
        <v>33</v>
      </c>
      <c r="M188" s="6">
        <v>0.42</v>
      </c>
      <c r="N188" s="6">
        <v>0.55000000000000004</v>
      </c>
      <c r="O188" s="6">
        <v>12505.08</v>
      </c>
      <c r="P188" s="6">
        <v>0</v>
      </c>
      <c r="Q188" s="6">
        <f t="shared" ca="1" si="8"/>
        <v>33</v>
      </c>
      <c r="R188" s="6">
        <f t="shared" si="6"/>
        <v>22651.919999999998</v>
      </c>
      <c r="S188" s="7" t="str">
        <f t="shared" si="7"/>
        <v>Profit</v>
      </c>
    </row>
    <row r="189" spans="1:19" x14ac:dyDescent="0.3">
      <c r="A189" s="4" t="s">
        <v>419</v>
      </c>
      <c r="B189" s="5">
        <v>44198</v>
      </c>
      <c r="C189" s="6" t="s">
        <v>420</v>
      </c>
      <c r="D189" s="6" t="s">
        <v>71</v>
      </c>
      <c r="E189" s="6">
        <v>12593</v>
      </c>
      <c r="F189" s="6">
        <v>24.6</v>
      </c>
      <c r="G189" s="6">
        <v>60</v>
      </c>
      <c r="H189" s="6" t="s">
        <v>26</v>
      </c>
      <c r="I189" s="6" t="s">
        <v>72</v>
      </c>
      <c r="J189" s="6" t="s">
        <v>21</v>
      </c>
      <c r="K189" s="6">
        <v>59063</v>
      </c>
      <c r="L189" s="6" t="s">
        <v>22</v>
      </c>
      <c r="M189" s="6">
        <v>0.2</v>
      </c>
      <c r="N189" s="6">
        <v>0.56000000000000005</v>
      </c>
      <c r="O189" s="6">
        <v>3295.91</v>
      </c>
      <c r="P189" s="6">
        <v>0</v>
      </c>
      <c r="Q189" s="6">
        <f t="shared" ca="1" si="8"/>
        <v>62</v>
      </c>
      <c r="R189" s="6">
        <f t="shared" si="6"/>
        <v>9297.09</v>
      </c>
      <c r="S189" s="7" t="str">
        <f t="shared" si="7"/>
        <v>Profit</v>
      </c>
    </row>
    <row r="190" spans="1:19" x14ac:dyDescent="0.3">
      <c r="A190" s="4" t="s">
        <v>421</v>
      </c>
      <c r="B190" s="5">
        <v>45093</v>
      </c>
      <c r="C190" s="6" t="s">
        <v>422</v>
      </c>
      <c r="D190" s="6" t="s">
        <v>40</v>
      </c>
      <c r="E190" s="6">
        <v>18320</v>
      </c>
      <c r="F190" s="6">
        <v>8.3000000000000007</v>
      </c>
      <c r="G190" s="6">
        <v>36</v>
      </c>
      <c r="H190" s="6" t="s">
        <v>19</v>
      </c>
      <c r="I190" s="6" t="s">
        <v>27</v>
      </c>
      <c r="J190" s="6" t="s">
        <v>37</v>
      </c>
      <c r="K190" s="6">
        <v>120880</v>
      </c>
      <c r="L190" s="6" t="s">
        <v>33</v>
      </c>
      <c r="M190" s="6">
        <v>0.49</v>
      </c>
      <c r="N190" s="6">
        <v>0.63</v>
      </c>
      <c r="O190" s="6">
        <v>19840.560000000001</v>
      </c>
      <c r="P190" s="6">
        <v>0</v>
      </c>
      <c r="Q190" s="6">
        <f t="shared" ca="1" si="8"/>
        <v>33</v>
      </c>
      <c r="R190" s="6">
        <f t="shared" si="6"/>
        <v>-1520.5600000000013</v>
      </c>
      <c r="S190" s="7" t="str">
        <f t="shared" si="7"/>
        <v>Loss</v>
      </c>
    </row>
    <row r="191" spans="1:19" x14ac:dyDescent="0.3">
      <c r="A191" s="4" t="s">
        <v>423</v>
      </c>
      <c r="B191" s="5">
        <v>44450</v>
      </c>
      <c r="C191" s="6" t="s">
        <v>424</v>
      </c>
      <c r="D191" s="6" t="s">
        <v>18</v>
      </c>
      <c r="E191" s="6">
        <v>28376</v>
      </c>
      <c r="F191" s="6">
        <v>19</v>
      </c>
      <c r="G191" s="6">
        <v>60</v>
      </c>
      <c r="H191" s="6" t="s">
        <v>19</v>
      </c>
      <c r="I191" s="6" t="s">
        <v>57</v>
      </c>
      <c r="J191" s="6" t="s">
        <v>47</v>
      </c>
      <c r="K191" s="6">
        <v>33748</v>
      </c>
      <c r="L191" s="6" t="s">
        <v>22</v>
      </c>
      <c r="M191" s="6">
        <v>0.24</v>
      </c>
      <c r="N191" s="6">
        <v>0.73</v>
      </c>
      <c r="O191" s="6">
        <v>33767.440000000002</v>
      </c>
      <c r="P191" s="6">
        <v>0</v>
      </c>
      <c r="Q191" s="6">
        <f t="shared" ca="1" si="8"/>
        <v>54</v>
      </c>
      <c r="R191" s="6">
        <f t="shared" si="6"/>
        <v>-5391.4400000000023</v>
      </c>
      <c r="S191" s="7" t="str">
        <f t="shared" si="7"/>
        <v>Loss</v>
      </c>
    </row>
    <row r="192" spans="1:19" x14ac:dyDescent="0.3">
      <c r="A192" s="4" t="s">
        <v>425</v>
      </c>
      <c r="B192" s="5">
        <v>44649</v>
      </c>
      <c r="C192" s="6" t="s">
        <v>426</v>
      </c>
      <c r="D192" s="6" t="s">
        <v>75</v>
      </c>
      <c r="E192" s="6">
        <v>15199</v>
      </c>
      <c r="F192" s="6">
        <v>16.7</v>
      </c>
      <c r="G192" s="6">
        <v>60</v>
      </c>
      <c r="H192" s="6" t="s">
        <v>26</v>
      </c>
      <c r="I192" s="6" t="s">
        <v>57</v>
      </c>
      <c r="J192" s="6" t="s">
        <v>21</v>
      </c>
      <c r="K192" s="6">
        <v>135022</v>
      </c>
      <c r="L192" s="6" t="s">
        <v>33</v>
      </c>
      <c r="M192" s="6">
        <v>0.23</v>
      </c>
      <c r="N192" s="6">
        <v>0.84</v>
      </c>
      <c r="O192" s="6">
        <v>3413</v>
      </c>
      <c r="P192" s="6">
        <v>0</v>
      </c>
      <c r="Q192" s="6">
        <f t="shared" ca="1" si="8"/>
        <v>47</v>
      </c>
      <c r="R192" s="6">
        <f t="shared" si="6"/>
        <v>11786</v>
      </c>
      <c r="S192" s="7" t="str">
        <f t="shared" si="7"/>
        <v>Profit</v>
      </c>
    </row>
    <row r="193" spans="1:19" x14ac:dyDescent="0.3">
      <c r="A193" s="4" t="s">
        <v>427</v>
      </c>
      <c r="B193" s="5">
        <v>45257</v>
      </c>
      <c r="C193" s="6" t="s">
        <v>428</v>
      </c>
      <c r="D193" s="6" t="s">
        <v>53</v>
      </c>
      <c r="E193" s="6">
        <v>16876</v>
      </c>
      <c r="F193" s="6">
        <v>16.7</v>
      </c>
      <c r="G193" s="6">
        <v>36</v>
      </c>
      <c r="H193" s="6" t="s">
        <v>26</v>
      </c>
      <c r="I193" s="6" t="s">
        <v>41</v>
      </c>
      <c r="J193" s="6" t="s">
        <v>32</v>
      </c>
      <c r="K193" s="6">
        <v>147269</v>
      </c>
      <c r="L193" s="6" t="s">
        <v>29</v>
      </c>
      <c r="M193" s="6">
        <v>0.22</v>
      </c>
      <c r="N193" s="6">
        <v>0.88</v>
      </c>
      <c r="O193" s="6">
        <v>3698.91</v>
      </c>
      <c r="P193" s="6">
        <v>0</v>
      </c>
      <c r="Q193" s="6">
        <f t="shared" ca="1" si="8"/>
        <v>27</v>
      </c>
      <c r="R193" s="6">
        <f t="shared" si="6"/>
        <v>13177.09</v>
      </c>
      <c r="S193" s="7" t="str">
        <f t="shared" si="7"/>
        <v>Profit</v>
      </c>
    </row>
    <row r="194" spans="1:19" x14ac:dyDescent="0.3">
      <c r="A194" s="4" t="s">
        <v>429</v>
      </c>
      <c r="B194" s="5">
        <v>45211</v>
      </c>
      <c r="C194" s="6" t="s">
        <v>430</v>
      </c>
      <c r="D194" s="6" t="s">
        <v>25</v>
      </c>
      <c r="E194" s="6">
        <v>9245</v>
      </c>
      <c r="F194" s="6">
        <v>19</v>
      </c>
      <c r="G194" s="6">
        <v>60</v>
      </c>
      <c r="H194" s="6" t="s">
        <v>2045</v>
      </c>
      <c r="I194" s="6" t="s">
        <v>20</v>
      </c>
      <c r="J194" s="6" t="s">
        <v>28</v>
      </c>
      <c r="K194" s="6">
        <v>96629</v>
      </c>
      <c r="L194" s="6" t="s">
        <v>22</v>
      </c>
      <c r="M194" s="6">
        <v>0.15</v>
      </c>
      <c r="N194" s="6">
        <v>0.82</v>
      </c>
      <c r="O194" s="6">
        <v>0</v>
      </c>
      <c r="P194" s="6">
        <v>0</v>
      </c>
      <c r="Q194" s="6">
        <f t="shared" ca="1" si="8"/>
        <v>29</v>
      </c>
      <c r="R194" s="6">
        <f t="shared" ref="R194:R257" si="9">E194-O194</f>
        <v>9245</v>
      </c>
      <c r="S194" s="7" t="str">
        <f t="shared" ref="S194:S257" si="10">IF(R194&gt;=0, "Profit","Loss")</f>
        <v>Profit</v>
      </c>
    </row>
    <row r="195" spans="1:19" x14ac:dyDescent="0.3">
      <c r="A195" s="4" t="s">
        <v>431</v>
      </c>
      <c r="B195" s="5">
        <v>44205</v>
      </c>
      <c r="C195" s="6" t="s">
        <v>432</v>
      </c>
      <c r="D195" s="6" t="s">
        <v>18</v>
      </c>
      <c r="E195" s="6">
        <v>8214</v>
      </c>
      <c r="F195" s="6">
        <v>23.6</v>
      </c>
      <c r="G195" s="6">
        <v>60</v>
      </c>
      <c r="H195" s="6" t="s">
        <v>26</v>
      </c>
      <c r="I195" s="6" t="s">
        <v>72</v>
      </c>
      <c r="J195" s="6" t="s">
        <v>32</v>
      </c>
      <c r="K195" s="6">
        <v>110764</v>
      </c>
      <c r="L195" s="6" t="s">
        <v>29</v>
      </c>
      <c r="M195" s="6">
        <v>0.14000000000000001</v>
      </c>
      <c r="N195" s="6">
        <v>0.92</v>
      </c>
      <c r="O195" s="6">
        <v>2776.51</v>
      </c>
      <c r="P195" s="6">
        <v>0</v>
      </c>
      <c r="Q195" s="6">
        <f t="shared" ref="Q195:Q258" ca="1" si="11">DATEDIF(B195,TODAY(),"M")</f>
        <v>62</v>
      </c>
      <c r="R195" s="6">
        <f t="shared" si="9"/>
        <v>5437.49</v>
      </c>
      <c r="S195" s="7" t="str">
        <f t="shared" si="10"/>
        <v>Profit</v>
      </c>
    </row>
    <row r="196" spans="1:19" x14ac:dyDescent="0.3">
      <c r="A196" s="4" t="s">
        <v>433</v>
      </c>
      <c r="B196" s="5">
        <v>45012</v>
      </c>
      <c r="C196" s="6" t="s">
        <v>434</v>
      </c>
      <c r="D196" s="6" t="s">
        <v>56</v>
      </c>
      <c r="E196" s="6">
        <v>1726</v>
      </c>
      <c r="F196" s="6">
        <v>20.7</v>
      </c>
      <c r="G196" s="6">
        <v>36</v>
      </c>
      <c r="H196" s="6" t="s">
        <v>26</v>
      </c>
      <c r="I196" s="6" t="s">
        <v>83</v>
      </c>
      <c r="J196" s="6" t="s">
        <v>21</v>
      </c>
      <c r="K196" s="6">
        <v>50884</v>
      </c>
      <c r="L196" s="6" t="s">
        <v>22</v>
      </c>
      <c r="M196" s="6">
        <v>0.36</v>
      </c>
      <c r="N196" s="6">
        <v>0.83</v>
      </c>
      <c r="O196" s="6">
        <v>470.61</v>
      </c>
      <c r="P196" s="6">
        <v>0</v>
      </c>
      <c r="Q196" s="6">
        <f t="shared" ca="1" si="11"/>
        <v>35</v>
      </c>
      <c r="R196" s="6">
        <f t="shared" si="9"/>
        <v>1255.3899999999999</v>
      </c>
      <c r="S196" s="7" t="str">
        <f t="shared" si="10"/>
        <v>Profit</v>
      </c>
    </row>
    <row r="197" spans="1:19" x14ac:dyDescent="0.3">
      <c r="A197" s="4" t="s">
        <v>435</v>
      </c>
      <c r="B197" s="5">
        <v>44404</v>
      </c>
      <c r="C197" s="6" t="s">
        <v>436</v>
      </c>
      <c r="D197" s="6" t="s">
        <v>50</v>
      </c>
      <c r="E197" s="6">
        <v>12362</v>
      </c>
      <c r="F197" s="6">
        <v>6.1</v>
      </c>
      <c r="G197" s="6">
        <v>36</v>
      </c>
      <c r="H197" s="6" t="s">
        <v>19</v>
      </c>
      <c r="I197" s="6" t="s">
        <v>20</v>
      </c>
      <c r="J197" s="6" t="s">
        <v>47</v>
      </c>
      <c r="K197" s="6">
        <v>55183</v>
      </c>
      <c r="L197" s="6" t="s">
        <v>33</v>
      </c>
      <c r="M197" s="6">
        <v>0.45</v>
      </c>
      <c r="N197" s="6">
        <v>0.64</v>
      </c>
      <c r="O197" s="6">
        <v>13116.08</v>
      </c>
      <c r="P197" s="6">
        <v>0</v>
      </c>
      <c r="Q197" s="6">
        <f t="shared" ca="1" si="11"/>
        <v>55</v>
      </c>
      <c r="R197" s="6">
        <f t="shared" si="9"/>
        <v>-754.07999999999993</v>
      </c>
      <c r="S197" s="7" t="str">
        <f t="shared" si="10"/>
        <v>Loss</v>
      </c>
    </row>
    <row r="198" spans="1:19" x14ac:dyDescent="0.3">
      <c r="A198" s="4" t="s">
        <v>437</v>
      </c>
      <c r="B198" s="5">
        <v>44600</v>
      </c>
      <c r="C198" s="6" t="s">
        <v>438</v>
      </c>
      <c r="D198" s="6" t="s">
        <v>56</v>
      </c>
      <c r="E198" s="6">
        <v>19297</v>
      </c>
      <c r="F198" s="6">
        <v>22.1</v>
      </c>
      <c r="G198" s="6">
        <v>60</v>
      </c>
      <c r="H198" s="6" t="s">
        <v>19</v>
      </c>
      <c r="I198" s="6" t="s">
        <v>57</v>
      </c>
      <c r="J198" s="6" t="s">
        <v>37</v>
      </c>
      <c r="K198" s="6">
        <v>111570</v>
      </c>
      <c r="L198" s="6" t="s">
        <v>33</v>
      </c>
      <c r="M198" s="6">
        <v>0.42</v>
      </c>
      <c r="N198" s="6">
        <v>0.62</v>
      </c>
      <c r="O198" s="6">
        <v>23561.64</v>
      </c>
      <c r="P198" s="6">
        <v>0</v>
      </c>
      <c r="Q198" s="6">
        <f t="shared" ca="1" si="11"/>
        <v>49</v>
      </c>
      <c r="R198" s="6">
        <f t="shared" si="9"/>
        <v>-4264.6399999999994</v>
      </c>
      <c r="S198" s="7" t="str">
        <f t="shared" si="10"/>
        <v>Loss</v>
      </c>
    </row>
    <row r="199" spans="1:19" x14ac:dyDescent="0.3">
      <c r="A199" s="4" t="s">
        <v>439</v>
      </c>
      <c r="B199" s="5">
        <v>44348</v>
      </c>
      <c r="C199" s="6" t="s">
        <v>440</v>
      </c>
      <c r="D199" s="6" t="s">
        <v>56</v>
      </c>
      <c r="E199" s="6">
        <v>31448</v>
      </c>
      <c r="F199" s="6">
        <v>9.5</v>
      </c>
      <c r="G199" s="6">
        <v>36</v>
      </c>
      <c r="H199" s="6" t="s">
        <v>19</v>
      </c>
      <c r="I199" s="6" t="s">
        <v>72</v>
      </c>
      <c r="J199" s="6" t="s">
        <v>21</v>
      </c>
      <c r="K199" s="6">
        <v>101246</v>
      </c>
      <c r="L199" s="6" t="s">
        <v>29</v>
      </c>
      <c r="M199" s="6">
        <v>0.16</v>
      </c>
      <c r="N199" s="6">
        <v>0.81</v>
      </c>
      <c r="O199" s="6">
        <v>34435.56</v>
      </c>
      <c r="P199" s="6">
        <v>0</v>
      </c>
      <c r="Q199" s="6">
        <f t="shared" ca="1" si="11"/>
        <v>57</v>
      </c>
      <c r="R199" s="6">
        <f t="shared" si="9"/>
        <v>-2987.5599999999977</v>
      </c>
      <c r="S199" s="7" t="str">
        <f t="shared" si="10"/>
        <v>Loss</v>
      </c>
    </row>
    <row r="200" spans="1:19" x14ac:dyDescent="0.3">
      <c r="A200" s="4" t="s">
        <v>441</v>
      </c>
      <c r="B200" s="5">
        <v>44250</v>
      </c>
      <c r="C200" s="6" t="s">
        <v>442</v>
      </c>
      <c r="D200" s="6" t="s">
        <v>40</v>
      </c>
      <c r="E200" s="6">
        <v>27172</v>
      </c>
      <c r="F200" s="6">
        <v>12.5</v>
      </c>
      <c r="G200" s="6">
        <v>60</v>
      </c>
      <c r="H200" s="6" t="s">
        <v>26</v>
      </c>
      <c r="I200" s="6" t="s">
        <v>72</v>
      </c>
      <c r="J200" s="6" t="s">
        <v>47</v>
      </c>
      <c r="K200" s="6">
        <v>138036</v>
      </c>
      <c r="L200" s="6" t="s">
        <v>33</v>
      </c>
      <c r="M200" s="6">
        <v>0.32</v>
      </c>
      <c r="N200" s="6">
        <v>0.59</v>
      </c>
      <c r="O200" s="6">
        <v>11741.28</v>
      </c>
      <c r="P200" s="6">
        <v>0</v>
      </c>
      <c r="Q200" s="6">
        <f t="shared" ca="1" si="11"/>
        <v>60</v>
      </c>
      <c r="R200" s="6">
        <f t="shared" si="9"/>
        <v>15430.72</v>
      </c>
      <c r="S200" s="7" t="str">
        <f t="shared" si="10"/>
        <v>Profit</v>
      </c>
    </row>
    <row r="201" spans="1:19" x14ac:dyDescent="0.3">
      <c r="A201" s="4" t="s">
        <v>443</v>
      </c>
      <c r="B201" s="5">
        <v>44824</v>
      </c>
      <c r="C201" s="6" t="s">
        <v>444</v>
      </c>
      <c r="D201" s="6" t="s">
        <v>64</v>
      </c>
      <c r="E201" s="6">
        <v>8657</v>
      </c>
      <c r="F201" s="6">
        <v>14.2</v>
      </c>
      <c r="G201" s="6">
        <v>36</v>
      </c>
      <c r="H201" s="6" t="s">
        <v>26</v>
      </c>
      <c r="I201" s="6" t="s">
        <v>72</v>
      </c>
      <c r="J201" s="6" t="s">
        <v>21</v>
      </c>
      <c r="K201" s="6">
        <v>49259</v>
      </c>
      <c r="L201" s="6" t="s">
        <v>22</v>
      </c>
      <c r="M201" s="6">
        <v>0.14000000000000001</v>
      </c>
      <c r="N201" s="6">
        <v>0.54</v>
      </c>
      <c r="O201" s="6">
        <v>3840.38</v>
      </c>
      <c r="P201" s="6">
        <v>0</v>
      </c>
      <c r="Q201" s="6">
        <f t="shared" ca="1" si="11"/>
        <v>42</v>
      </c>
      <c r="R201" s="6">
        <f t="shared" si="9"/>
        <v>4816.62</v>
      </c>
      <c r="S201" s="7" t="str">
        <f t="shared" si="10"/>
        <v>Profit</v>
      </c>
    </row>
    <row r="202" spans="1:19" x14ac:dyDescent="0.3">
      <c r="A202" s="4" t="s">
        <v>445</v>
      </c>
      <c r="B202" s="5">
        <v>44783</v>
      </c>
      <c r="C202" s="6" t="s">
        <v>446</v>
      </c>
      <c r="D202" s="6" t="s">
        <v>75</v>
      </c>
      <c r="E202" s="6">
        <v>19850</v>
      </c>
      <c r="F202" s="6">
        <v>14.6</v>
      </c>
      <c r="G202" s="6">
        <v>60</v>
      </c>
      <c r="H202" s="6" t="s">
        <v>19</v>
      </c>
      <c r="I202" s="6" t="s">
        <v>57</v>
      </c>
      <c r="J202" s="6" t="s">
        <v>28</v>
      </c>
      <c r="K202" s="6">
        <v>65959</v>
      </c>
      <c r="L202" s="6" t="s">
        <v>33</v>
      </c>
      <c r="M202" s="6">
        <v>0.12</v>
      </c>
      <c r="N202" s="6">
        <v>0.74</v>
      </c>
      <c r="O202" s="6">
        <v>22748.1</v>
      </c>
      <c r="P202" s="6">
        <v>0</v>
      </c>
      <c r="Q202" s="6">
        <f t="shared" ca="1" si="11"/>
        <v>43</v>
      </c>
      <c r="R202" s="6">
        <f t="shared" si="9"/>
        <v>-2898.0999999999985</v>
      </c>
      <c r="S202" s="7" t="str">
        <f t="shared" si="10"/>
        <v>Loss</v>
      </c>
    </row>
    <row r="203" spans="1:19" x14ac:dyDescent="0.3">
      <c r="A203" s="4" t="s">
        <v>447</v>
      </c>
      <c r="B203" s="5">
        <v>44300</v>
      </c>
      <c r="C203" s="6" t="s">
        <v>448</v>
      </c>
      <c r="D203" s="6" t="s">
        <v>53</v>
      </c>
      <c r="E203" s="6">
        <v>26425</v>
      </c>
      <c r="F203" s="6">
        <v>13.7</v>
      </c>
      <c r="G203" s="6">
        <v>36</v>
      </c>
      <c r="H203" s="6" t="s">
        <v>19</v>
      </c>
      <c r="I203" s="6" t="s">
        <v>72</v>
      </c>
      <c r="J203" s="6" t="s">
        <v>32</v>
      </c>
      <c r="K203" s="6">
        <v>146525</v>
      </c>
      <c r="L203" s="6" t="s">
        <v>33</v>
      </c>
      <c r="M203" s="6">
        <v>0.36</v>
      </c>
      <c r="N203" s="6">
        <v>0.87</v>
      </c>
      <c r="O203" s="6">
        <v>30045.22</v>
      </c>
      <c r="P203" s="6">
        <v>0</v>
      </c>
      <c r="Q203" s="6">
        <f t="shared" ca="1" si="11"/>
        <v>59</v>
      </c>
      <c r="R203" s="6">
        <f t="shared" si="9"/>
        <v>-3620.2200000000012</v>
      </c>
      <c r="S203" s="7" t="str">
        <f t="shared" si="10"/>
        <v>Loss</v>
      </c>
    </row>
    <row r="204" spans="1:19" x14ac:dyDescent="0.3">
      <c r="A204" s="4" t="s">
        <v>449</v>
      </c>
      <c r="B204" s="5">
        <v>44450</v>
      </c>
      <c r="C204" s="6" t="s">
        <v>450</v>
      </c>
      <c r="D204" s="6" t="s">
        <v>64</v>
      </c>
      <c r="E204" s="6">
        <v>27685</v>
      </c>
      <c r="F204" s="6">
        <v>23.7</v>
      </c>
      <c r="G204" s="6">
        <v>60</v>
      </c>
      <c r="H204" s="6" t="s">
        <v>19</v>
      </c>
      <c r="I204" s="6" t="s">
        <v>72</v>
      </c>
      <c r="J204" s="6" t="s">
        <v>37</v>
      </c>
      <c r="K204" s="6">
        <v>63457</v>
      </c>
      <c r="L204" s="6" t="s">
        <v>22</v>
      </c>
      <c r="M204" s="6">
        <v>0.31</v>
      </c>
      <c r="N204" s="6">
        <v>0.55000000000000004</v>
      </c>
      <c r="O204" s="6">
        <v>34246.339999999997</v>
      </c>
      <c r="P204" s="6">
        <v>0</v>
      </c>
      <c r="Q204" s="6">
        <f t="shared" ca="1" si="11"/>
        <v>54</v>
      </c>
      <c r="R204" s="6">
        <f t="shared" si="9"/>
        <v>-6561.3399999999965</v>
      </c>
      <c r="S204" s="7" t="str">
        <f t="shared" si="10"/>
        <v>Loss</v>
      </c>
    </row>
    <row r="205" spans="1:19" x14ac:dyDescent="0.3">
      <c r="A205" s="4" t="s">
        <v>451</v>
      </c>
      <c r="B205" s="5">
        <v>44706</v>
      </c>
      <c r="C205" s="6" t="s">
        <v>452</v>
      </c>
      <c r="D205" s="6" t="s">
        <v>18</v>
      </c>
      <c r="E205" s="6">
        <v>25578</v>
      </c>
      <c r="F205" s="6">
        <v>19.100000000000001</v>
      </c>
      <c r="G205" s="6">
        <v>60</v>
      </c>
      <c r="H205" s="6" t="s">
        <v>80</v>
      </c>
      <c r="I205" s="6" t="s">
        <v>27</v>
      </c>
      <c r="J205" s="6" t="s">
        <v>47</v>
      </c>
      <c r="K205" s="6">
        <v>115679</v>
      </c>
      <c r="L205" s="6" t="s">
        <v>29</v>
      </c>
      <c r="M205" s="6">
        <v>0.13</v>
      </c>
      <c r="N205" s="6">
        <v>0.86</v>
      </c>
      <c r="O205" s="6">
        <v>3866.58</v>
      </c>
      <c r="P205" s="6">
        <v>7371.47</v>
      </c>
      <c r="Q205" s="6">
        <f t="shared" ca="1" si="11"/>
        <v>45</v>
      </c>
      <c r="R205" s="6">
        <f t="shared" si="9"/>
        <v>21711.42</v>
      </c>
      <c r="S205" s="7" t="str">
        <f t="shared" si="10"/>
        <v>Profit</v>
      </c>
    </row>
    <row r="206" spans="1:19" x14ac:dyDescent="0.3">
      <c r="A206" s="4" t="s">
        <v>453</v>
      </c>
      <c r="B206" s="5">
        <v>44295</v>
      </c>
      <c r="C206" s="6" t="s">
        <v>454</v>
      </c>
      <c r="D206" s="6" t="s">
        <v>56</v>
      </c>
      <c r="E206" s="6">
        <v>29831</v>
      </c>
      <c r="F206" s="6">
        <v>17.600000000000001</v>
      </c>
      <c r="G206" s="6">
        <v>60</v>
      </c>
      <c r="H206" s="6" t="s">
        <v>26</v>
      </c>
      <c r="I206" s="6" t="s">
        <v>20</v>
      </c>
      <c r="J206" s="6" t="s">
        <v>37</v>
      </c>
      <c r="K206" s="6">
        <v>32103</v>
      </c>
      <c r="L206" s="6" t="s">
        <v>29</v>
      </c>
      <c r="M206" s="6">
        <v>0.11</v>
      </c>
      <c r="N206" s="6">
        <v>0.87</v>
      </c>
      <c r="O206" s="6">
        <v>3320.34</v>
      </c>
      <c r="P206" s="6">
        <v>0</v>
      </c>
      <c r="Q206" s="6">
        <f t="shared" ca="1" si="11"/>
        <v>59</v>
      </c>
      <c r="R206" s="6">
        <f t="shared" si="9"/>
        <v>26510.66</v>
      </c>
      <c r="S206" s="7" t="str">
        <f t="shared" si="10"/>
        <v>Profit</v>
      </c>
    </row>
    <row r="207" spans="1:19" x14ac:dyDescent="0.3">
      <c r="A207" s="4" t="s">
        <v>455</v>
      </c>
      <c r="B207" s="5">
        <v>44349</v>
      </c>
      <c r="C207" s="6" t="s">
        <v>456</v>
      </c>
      <c r="D207" s="6" t="s">
        <v>40</v>
      </c>
      <c r="E207" s="6">
        <v>8906</v>
      </c>
      <c r="F207" s="6">
        <v>6</v>
      </c>
      <c r="G207" s="6">
        <v>36</v>
      </c>
      <c r="H207" s="6" t="s">
        <v>26</v>
      </c>
      <c r="I207" s="6" t="s">
        <v>27</v>
      </c>
      <c r="J207" s="6" t="s">
        <v>37</v>
      </c>
      <c r="K207" s="6">
        <v>95901</v>
      </c>
      <c r="L207" s="6" t="s">
        <v>33</v>
      </c>
      <c r="M207" s="6">
        <v>0.5</v>
      </c>
      <c r="N207" s="6">
        <v>0.72</v>
      </c>
      <c r="O207" s="6">
        <v>2971.76</v>
      </c>
      <c r="P207" s="6">
        <v>0</v>
      </c>
      <c r="Q207" s="6">
        <f t="shared" ca="1" si="11"/>
        <v>57</v>
      </c>
      <c r="R207" s="6">
        <f t="shared" si="9"/>
        <v>5934.24</v>
      </c>
      <c r="S207" s="7" t="str">
        <f t="shared" si="10"/>
        <v>Profit</v>
      </c>
    </row>
    <row r="208" spans="1:19" x14ac:dyDescent="0.3">
      <c r="A208" s="4" t="s">
        <v>457</v>
      </c>
      <c r="B208" s="5">
        <v>45110</v>
      </c>
      <c r="C208" s="6" t="s">
        <v>458</v>
      </c>
      <c r="D208" s="6" t="s">
        <v>18</v>
      </c>
      <c r="E208" s="6">
        <v>8287</v>
      </c>
      <c r="F208" s="6">
        <v>23.1</v>
      </c>
      <c r="G208" s="6">
        <v>36</v>
      </c>
      <c r="H208" s="6" t="s">
        <v>26</v>
      </c>
      <c r="I208" s="6" t="s">
        <v>36</v>
      </c>
      <c r="J208" s="6" t="s">
        <v>37</v>
      </c>
      <c r="K208" s="6">
        <v>142314</v>
      </c>
      <c r="L208" s="6" t="s">
        <v>22</v>
      </c>
      <c r="M208" s="6">
        <v>0.11</v>
      </c>
      <c r="N208" s="6">
        <v>0.53</v>
      </c>
      <c r="O208" s="6">
        <v>1537.67</v>
      </c>
      <c r="P208" s="6">
        <v>0</v>
      </c>
      <c r="Q208" s="6">
        <f t="shared" ca="1" si="11"/>
        <v>32</v>
      </c>
      <c r="R208" s="6">
        <f t="shared" si="9"/>
        <v>6749.33</v>
      </c>
      <c r="S208" s="7" t="str">
        <f t="shared" si="10"/>
        <v>Profit</v>
      </c>
    </row>
    <row r="209" spans="1:19" x14ac:dyDescent="0.3">
      <c r="A209" s="4" t="s">
        <v>459</v>
      </c>
      <c r="B209" s="5">
        <v>45074</v>
      </c>
      <c r="C209" s="6" t="s">
        <v>460</v>
      </c>
      <c r="D209" s="6" t="s">
        <v>50</v>
      </c>
      <c r="E209" s="6">
        <v>34660</v>
      </c>
      <c r="F209" s="6">
        <v>23.2</v>
      </c>
      <c r="G209" s="6">
        <v>60</v>
      </c>
      <c r="H209" s="6" t="s">
        <v>80</v>
      </c>
      <c r="I209" s="6" t="s">
        <v>72</v>
      </c>
      <c r="J209" s="6" t="s">
        <v>47</v>
      </c>
      <c r="K209" s="6">
        <v>74535</v>
      </c>
      <c r="L209" s="6" t="s">
        <v>29</v>
      </c>
      <c r="M209" s="6">
        <v>0.28000000000000003</v>
      </c>
      <c r="N209" s="6">
        <v>0.57999999999999996</v>
      </c>
      <c r="O209" s="6">
        <v>3659.1</v>
      </c>
      <c r="P209" s="6">
        <v>4720.7299999999996</v>
      </c>
      <c r="Q209" s="6">
        <f t="shared" ca="1" si="11"/>
        <v>33</v>
      </c>
      <c r="R209" s="6">
        <f t="shared" si="9"/>
        <v>31000.9</v>
      </c>
      <c r="S209" s="7" t="str">
        <f t="shared" si="10"/>
        <v>Profit</v>
      </c>
    </row>
    <row r="210" spans="1:19" x14ac:dyDescent="0.3">
      <c r="A210" s="4" t="s">
        <v>461</v>
      </c>
      <c r="B210" s="5">
        <v>44534</v>
      </c>
      <c r="C210" s="6" t="s">
        <v>462</v>
      </c>
      <c r="D210" s="6" t="s">
        <v>75</v>
      </c>
      <c r="E210" s="6">
        <v>11222</v>
      </c>
      <c r="F210" s="6">
        <v>20.6</v>
      </c>
      <c r="G210" s="6">
        <v>60</v>
      </c>
      <c r="H210" s="6" t="s">
        <v>26</v>
      </c>
      <c r="I210" s="6" t="s">
        <v>27</v>
      </c>
      <c r="J210" s="6" t="s">
        <v>47</v>
      </c>
      <c r="K210" s="6">
        <v>46103</v>
      </c>
      <c r="L210" s="6" t="s">
        <v>29</v>
      </c>
      <c r="M210" s="6">
        <v>0.3</v>
      </c>
      <c r="N210" s="6">
        <v>0.82</v>
      </c>
      <c r="O210" s="6">
        <v>5048.66</v>
      </c>
      <c r="P210" s="6">
        <v>0</v>
      </c>
      <c r="Q210" s="6">
        <f t="shared" ca="1" si="11"/>
        <v>51</v>
      </c>
      <c r="R210" s="6">
        <f t="shared" si="9"/>
        <v>6173.34</v>
      </c>
      <c r="S210" s="7" t="str">
        <f t="shared" si="10"/>
        <v>Profit</v>
      </c>
    </row>
    <row r="211" spans="1:19" x14ac:dyDescent="0.3">
      <c r="A211" s="4" t="s">
        <v>463</v>
      </c>
      <c r="B211" s="5">
        <v>45018</v>
      </c>
      <c r="C211" s="6" t="s">
        <v>464</v>
      </c>
      <c r="D211" s="6" t="s">
        <v>53</v>
      </c>
      <c r="E211" s="6">
        <v>38443</v>
      </c>
      <c r="F211" s="6">
        <v>5.0999999999999996</v>
      </c>
      <c r="G211" s="6">
        <v>36</v>
      </c>
      <c r="H211" s="6" t="s">
        <v>26</v>
      </c>
      <c r="I211" s="6" t="s">
        <v>72</v>
      </c>
      <c r="J211" s="6" t="s">
        <v>37</v>
      </c>
      <c r="K211" s="6">
        <v>128046</v>
      </c>
      <c r="L211" s="6" t="s">
        <v>33</v>
      </c>
      <c r="M211" s="6">
        <v>0.15</v>
      </c>
      <c r="N211" s="6">
        <v>0.82</v>
      </c>
      <c r="O211" s="6">
        <v>5847.39</v>
      </c>
      <c r="P211" s="6">
        <v>0</v>
      </c>
      <c r="Q211" s="6">
        <f t="shared" ca="1" si="11"/>
        <v>35</v>
      </c>
      <c r="R211" s="6">
        <f t="shared" si="9"/>
        <v>32595.61</v>
      </c>
      <c r="S211" s="7" t="str">
        <f t="shared" si="10"/>
        <v>Profit</v>
      </c>
    </row>
    <row r="212" spans="1:19" x14ac:dyDescent="0.3">
      <c r="A212" s="4" t="s">
        <v>465</v>
      </c>
      <c r="B212" s="5">
        <v>45153</v>
      </c>
      <c r="C212" s="6" t="s">
        <v>466</v>
      </c>
      <c r="D212" s="6" t="s">
        <v>50</v>
      </c>
      <c r="E212" s="6">
        <v>35701</v>
      </c>
      <c r="F212" s="6">
        <v>6.1</v>
      </c>
      <c r="G212" s="6">
        <v>36</v>
      </c>
      <c r="H212" s="6" t="s">
        <v>19</v>
      </c>
      <c r="I212" s="6" t="s">
        <v>83</v>
      </c>
      <c r="J212" s="6" t="s">
        <v>32</v>
      </c>
      <c r="K212" s="6">
        <v>120012</v>
      </c>
      <c r="L212" s="6" t="s">
        <v>22</v>
      </c>
      <c r="M212" s="6">
        <v>0.17</v>
      </c>
      <c r="N212" s="6">
        <v>0.9</v>
      </c>
      <c r="O212" s="6">
        <v>37878.76</v>
      </c>
      <c r="P212" s="6">
        <v>0</v>
      </c>
      <c r="Q212" s="6">
        <f t="shared" ca="1" si="11"/>
        <v>31</v>
      </c>
      <c r="R212" s="6">
        <f t="shared" si="9"/>
        <v>-2177.760000000002</v>
      </c>
      <c r="S212" s="7" t="str">
        <f t="shared" si="10"/>
        <v>Loss</v>
      </c>
    </row>
    <row r="213" spans="1:19" x14ac:dyDescent="0.3">
      <c r="A213" s="4" t="s">
        <v>467</v>
      </c>
      <c r="B213" s="5">
        <v>44357</v>
      </c>
      <c r="C213" s="6" t="s">
        <v>468</v>
      </c>
      <c r="D213" s="6" t="s">
        <v>40</v>
      </c>
      <c r="E213" s="6">
        <v>18764</v>
      </c>
      <c r="F213" s="6">
        <v>9.5</v>
      </c>
      <c r="G213" s="6">
        <v>36</v>
      </c>
      <c r="H213" s="6" t="s">
        <v>19</v>
      </c>
      <c r="I213" s="6" t="s">
        <v>36</v>
      </c>
      <c r="J213" s="6" t="s">
        <v>21</v>
      </c>
      <c r="K213" s="6">
        <v>108278</v>
      </c>
      <c r="L213" s="6" t="s">
        <v>29</v>
      </c>
      <c r="M213" s="6">
        <v>0.24</v>
      </c>
      <c r="N213" s="6">
        <v>0.76</v>
      </c>
      <c r="O213" s="6">
        <v>20546.580000000002</v>
      </c>
      <c r="P213" s="6">
        <v>0</v>
      </c>
      <c r="Q213" s="6">
        <f t="shared" ca="1" si="11"/>
        <v>57</v>
      </c>
      <c r="R213" s="6">
        <f t="shared" si="9"/>
        <v>-1782.5800000000017</v>
      </c>
      <c r="S213" s="7" t="str">
        <f t="shared" si="10"/>
        <v>Loss</v>
      </c>
    </row>
    <row r="214" spans="1:19" x14ac:dyDescent="0.3">
      <c r="A214" s="4" t="s">
        <v>469</v>
      </c>
      <c r="B214" s="5">
        <v>44997</v>
      </c>
      <c r="C214" s="6" t="s">
        <v>470</v>
      </c>
      <c r="D214" s="6" t="s">
        <v>75</v>
      </c>
      <c r="E214" s="6">
        <v>18674</v>
      </c>
      <c r="F214" s="6">
        <v>7.6</v>
      </c>
      <c r="G214" s="6">
        <v>36</v>
      </c>
      <c r="H214" s="6" t="s">
        <v>19</v>
      </c>
      <c r="I214" s="6" t="s">
        <v>20</v>
      </c>
      <c r="J214" s="6" t="s">
        <v>37</v>
      </c>
      <c r="K214" s="6">
        <v>42391</v>
      </c>
      <c r="L214" s="6" t="s">
        <v>33</v>
      </c>
      <c r="M214" s="6">
        <v>0.4</v>
      </c>
      <c r="N214" s="6">
        <v>0.56000000000000005</v>
      </c>
      <c r="O214" s="6">
        <v>20093.22</v>
      </c>
      <c r="P214" s="6">
        <v>0</v>
      </c>
      <c r="Q214" s="6">
        <f t="shared" ca="1" si="11"/>
        <v>36</v>
      </c>
      <c r="R214" s="6">
        <f t="shared" si="9"/>
        <v>-1419.2200000000012</v>
      </c>
      <c r="S214" s="7" t="str">
        <f t="shared" si="10"/>
        <v>Loss</v>
      </c>
    </row>
    <row r="215" spans="1:19" x14ac:dyDescent="0.3">
      <c r="A215" s="4" t="s">
        <v>471</v>
      </c>
      <c r="B215" s="5">
        <v>44594</v>
      </c>
      <c r="C215" s="6" t="s">
        <v>472</v>
      </c>
      <c r="D215" s="6" t="s">
        <v>18</v>
      </c>
      <c r="E215" s="6">
        <v>19024</v>
      </c>
      <c r="F215" s="6">
        <v>13</v>
      </c>
      <c r="G215" s="6">
        <v>36</v>
      </c>
      <c r="H215" s="6" t="s">
        <v>19</v>
      </c>
      <c r="I215" s="6" t="s">
        <v>57</v>
      </c>
      <c r="J215" s="6" t="s">
        <v>28</v>
      </c>
      <c r="K215" s="6">
        <v>132476</v>
      </c>
      <c r="L215" s="6" t="s">
        <v>33</v>
      </c>
      <c r="M215" s="6">
        <v>0.3</v>
      </c>
      <c r="N215" s="6">
        <v>0.55000000000000004</v>
      </c>
      <c r="O215" s="6">
        <v>21497.119999999999</v>
      </c>
      <c r="P215" s="6">
        <v>0</v>
      </c>
      <c r="Q215" s="6">
        <f t="shared" ca="1" si="11"/>
        <v>49</v>
      </c>
      <c r="R215" s="6">
        <f t="shared" si="9"/>
        <v>-2473.119999999999</v>
      </c>
      <c r="S215" s="7" t="str">
        <f t="shared" si="10"/>
        <v>Loss</v>
      </c>
    </row>
    <row r="216" spans="1:19" x14ac:dyDescent="0.3">
      <c r="A216" s="4" t="s">
        <v>473</v>
      </c>
      <c r="B216" s="5">
        <v>45012</v>
      </c>
      <c r="C216" s="6" t="s">
        <v>474</v>
      </c>
      <c r="D216" s="6" t="s">
        <v>56</v>
      </c>
      <c r="E216" s="6">
        <v>24874</v>
      </c>
      <c r="F216" s="6">
        <v>23.5</v>
      </c>
      <c r="G216" s="6">
        <v>36</v>
      </c>
      <c r="H216" s="6" t="s">
        <v>2045</v>
      </c>
      <c r="I216" s="6" t="s">
        <v>57</v>
      </c>
      <c r="J216" s="6" t="s">
        <v>37</v>
      </c>
      <c r="K216" s="6">
        <v>58901</v>
      </c>
      <c r="L216" s="6" t="s">
        <v>33</v>
      </c>
      <c r="M216" s="6">
        <v>0.36</v>
      </c>
      <c r="N216" s="6">
        <v>0.82</v>
      </c>
      <c r="O216" s="6">
        <v>0</v>
      </c>
      <c r="P216" s="6">
        <v>0</v>
      </c>
      <c r="Q216" s="6">
        <f t="shared" ca="1" si="11"/>
        <v>35</v>
      </c>
      <c r="R216" s="6">
        <f t="shared" si="9"/>
        <v>24874</v>
      </c>
      <c r="S216" s="7" t="str">
        <f t="shared" si="10"/>
        <v>Profit</v>
      </c>
    </row>
    <row r="217" spans="1:19" x14ac:dyDescent="0.3">
      <c r="A217" s="4" t="s">
        <v>475</v>
      </c>
      <c r="B217" s="5">
        <v>44597</v>
      </c>
      <c r="C217" s="6" t="s">
        <v>476</v>
      </c>
      <c r="D217" s="6" t="s">
        <v>56</v>
      </c>
      <c r="E217" s="6">
        <v>33284</v>
      </c>
      <c r="F217" s="6">
        <v>14.4</v>
      </c>
      <c r="G217" s="6">
        <v>60</v>
      </c>
      <c r="H217" s="6" t="s">
        <v>19</v>
      </c>
      <c r="I217" s="6" t="s">
        <v>57</v>
      </c>
      <c r="J217" s="6" t="s">
        <v>47</v>
      </c>
      <c r="K217" s="6">
        <v>127537</v>
      </c>
      <c r="L217" s="6" t="s">
        <v>33</v>
      </c>
      <c r="M217" s="6">
        <v>0.49</v>
      </c>
      <c r="N217" s="6">
        <v>0.57999999999999996</v>
      </c>
      <c r="O217" s="6">
        <v>38076.9</v>
      </c>
      <c r="P217" s="6">
        <v>0</v>
      </c>
      <c r="Q217" s="6">
        <f t="shared" ca="1" si="11"/>
        <v>49</v>
      </c>
      <c r="R217" s="6">
        <f t="shared" si="9"/>
        <v>-4792.9000000000015</v>
      </c>
      <c r="S217" s="7" t="str">
        <f t="shared" si="10"/>
        <v>Loss</v>
      </c>
    </row>
    <row r="218" spans="1:19" x14ac:dyDescent="0.3">
      <c r="A218" s="4" t="s">
        <v>477</v>
      </c>
      <c r="B218" s="5">
        <v>44836</v>
      </c>
      <c r="C218" s="6" t="s">
        <v>478</v>
      </c>
      <c r="D218" s="6" t="s">
        <v>46</v>
      </c>
      <c r="E218" s="6">
        <v>18602</v>
      </c>
      <c r="F218" s="6">
        <v>5.3</v>
      </c>
      <c r="G218" s="6">
        <v>36</v>
      </c>
      <c r="H218" s="6" t="s">
        <v>80</v>
      </c>
      <c r="I218" s="6" t="s">
        <v>20</v>
      </c>
      <c r="J218" s="6" t="s">
        <v>21</v>
      </c>
      <c r="K218" s="6">
        <v>111159</v>
      </c>
      <c r="L218" s="6" t="s">
        <v>29</v>
      </c>
      <c r="M218" s="6">
        <v>0.41</v>
      </c>
      <c r="N218" s="6">
        <v>0.65</v>
      </c>
      <c r="O218" s="6">
        <v>7046.14</v>
      </c>
      <c r="P218" s="6">
        <v>4694.51</v>
      </c>
      <c r="Q218" s="6">
        <f t="shared" ca="1" si="11"/>
        <v>41</v>
      </c>
      <c r="R218" s="6">
        <f t="shared" si="9"/>
        <v>11555.86</v>
      </c>
      <c r="S218" s="7" t="str">
        <f t="shared" si="10"/>
        <v>Profit</v>
      </c>
    </row>
    <row r="219" spans="1:19" x14ac:dyDescent="0.3">
      <c r="A219" s="4" t="s">
        <v>479</v>
      </c>
      <c r="B219" s="5">
        <v>45253</v>
      </c>
      <c r="C219" s="6" t="s">
        <v>480</v>
      </c>
      <c r="D219" s="6" t="s">
        <v>56</v>
      </c>
      <c r="E219" s="6">
        <v>38784</v>
      </c>
      <c r="F219" s="6">
        <v>10.7</v>
      </c>
      <c r="G219" s="6">
        <v>60</v>
      </c>
      <c r="H219" s="6" t="s">
        <v>19</v>
      </c>
      <c r="I219" s="6" t="s">
        <v>83</v>
      </c>
      <c r="J219" s="6" t="s">
        <v>28</v>
      </c>
      <c r="K219" s="6">
        <v>97914</v>
      </c>
      <c r="L219" s="6" t="s">
        <v>22</v>
      </c>
      <c r="M219" s="6">
        <v>0.27</v>
      </c>
      <c r="N219" s="6">
        <v>0.72</v>
      </c>
      <c r="O219" s="6">
        <v>42933.89</v>
      </c>
      <c r="P219" s="6">
        <v>0</v>
      </c>
      <c r="Q219" s="6">
        <f t="shared" ca="1" si="11"/>
        <v>27</v>
      </c>
      <c r="R219" s="6">
        <f t="shared" si="9"/>
        <v>-4149.8899999999994</v>
      </c>
      <c r="S219" s="7" t="str">
        <f t="shared" si="10"/>
        <v>Loss</v>
      </c>
    </row>
    <row r="220" spans="1:19" x14ac:dyDescent="0.3">
      <c r="A220" s="4" t="s">
        <v>481</v>
      </c>
      <c r="B220" s="5">
        <v>44884</v>
      </c>
      <c r="C220" s="6" t="s">
        <v>482</v>
      </c>
      <c r="D220" s="6" t="s">
        <v>71</v>
      </c>
      <c r="E220" s="6">
        <v>24265</v>
      </c>
      <c r="F220" s="6">
        <v>5.9</v>
      </c>
      <c r="G220" s="6">
        <v>36</v>
      </c>
      <c r="H220" s="6" t="s">
        <v>19</v>
      </c>
      <c r="I220" s="6" t="s">
        <v>20</v>
      </c>
      <c r="J220" s="6" t="s">
        <v>21</v>
      </c>
      <c r="K220" s="6">
        <v>80357</v>
      </c>
      <c r="L220" s="6" t="s">
        <v>33</v>
      </c>
      <c r="M220" s="6">
        <v>0.28000000000000003</v>
      </c>
      <c r="N220" s="6">
        <v>0.51</v>
      </c>
      <c r="O220" s="6">
        <v>25696.639999999999</v>
      </c>
      <c r="P220" s="6">
        <v>0</v>
      </c>
      <c r="Q220" s="6">
        <f t="shared" ca="1" si="11"/>
        <v>40</v>
      </c>
      <c r="R220" s="6">
        <f t="shared" si="9"/>
        <v>-1431.6399999999994</v>
      </c>
      <c r="S220" s="7" t="str">
        <f t="shared" si="10"/>
        <v>Loss</v>
      </c>
    </row>
    <row r="221" spans="1:19" x14ac:dyDescent="0.3">
      <c r="A221" s="4" t="s">
        <v>483</v>
      </c>
      <c r="B221" s="5">
        <v>44656</v>
      </c>
      <c r="C221" s="6" t="s">
        <v>484</v>
      </c>
      <c r="D221" s="6" t="s">
        <v>56</v>
      </c>
      <c r="E221" s="6">
        <v>26931</v>
      </c>
      <c r="F221" s="6">
        <v>5.7</v>
      </c>
      <c r="G221" s="6">
        <v>36</v>
      </c>
      <c r="H221" s="6" t="s">
        <v>80</v>
      </c>
      <c r="I221" s="6" t="s">
        <v>72</v>
      </c>
      <c r="J221" s="6" t="s">
        <v>21</v>
      </c>
      <c r="K221" s="6">
        <v>116908</v>
      </c>
      <c r="L221" s="6" t="s">
        <v>33</v>
      </c>
      <c r="M221" s="6">
        <v>0.35</v>
      </c>
      <c r="N221" s="6">
        <v>0.61</v>
      </c>
      <c r="O221" s="6">
        <v>8489.4699999999993</v>
      </c>
      <c r="P221" s="6">
        <v>8648.65</v>
      </c>
      <c r="Q221" s="6">
        <f t="shared" ca="1" si="11"/>
        <v>47</v>
      </c>
      <c r="R221" s="6">
        <f t="shared" si="9"/>
        <v>18441.53</v>
      </c>
      <c r="S221" s="7" t="str">
        <f t="shared" si="10"/>
        <v>Profit</v>
      </c>
    </row>
    <row r="222" spans="1:19" x14ac:dyDescent="0.3">
      <c r="A222" s="4" t="s">
        <v>485</v>
      </c>
      <c r="B222" s="5">
        <v>45151</v>
      </c>
      <c r="C222" s="6" t="s">
        <v>486</v>
      </c>
      <c r="D222" s="6" t="s">
        <v>71</v>
      </c>
      <c r="E222" s="6">
        <v>29841</v>
      </c>
      <c r="F222" s="6">
        <v>10.5</v>
      </c>
      <c r="G222" s="6">
        <v>60</v>
      </c>
      <c r="H222" s="6" t="s">
        <v>19</v>
      </c>
      <c r="I222" s="6" t="s">
        <v>27</v>
      </c>
      <c r="J222" s="6" t="s">
        <v>28</v>
      </c>
      <c r="K222" s="6">
        <v>140335</v>
      </c>
      <c r="L222" s="6" t="s">
        <v>29</v>
      </c>
      <c r="M222" s="6">
        <v>0.37</v>
      </c>
      <c r="N222" s="6">
        <v>0.68</v>
      </c>
      <c r="O222" s="6">
        <v>32974.300000000003</v>
      </c>
      <c r="P222" s="6">
        <v>0</v>
      </c>
      <c r="Q222" s="6">
        <f t="shared" ca="1" si="11"/>
        <v>31</v>
      </c>
      <c r="R222" s="6">
        <f t="shared" si="9"/>
        <v>-3133.3000000000029</v>
      </c>
      <c r="S222" s="7" t="str">
        <f t="shared" si="10"/>
        <v>Loss</v>
      </c>
    </row>
    <row r="223" spans="1:19" x14ac:dyDescent="0.3">
      <c r="A223" s="4" t="s">
        <v>487</v>
      </c>
      <c r="B223" s="5">
        <v>44666</v>
      </c>
      <c r="C223" s="6" t="s">
        <v>488</v>
      </c>
      <c r="D223" s="6" t="s">
        <v>25</v>
      </c>
      <c r="E223" s="6">
        <v>30192</v>
      </c>
      <c r="F223" s="6">
        <v>10.5</v>
      </c>
      <c r="G223" s="6">
        <v>60</v>
      </c>
      <c r="H223" s="6" t="s">
        <v>19</v>
      </c>
      <c r="I223" s="6" t="s">
        <v>20</v>
      </c>
      <c r="J223" s="6" t="s">
        <v>37</v>
      </c>
      <c r="K223" s="6">
        <v>68437</v>
      </c>
      <c r="L223" s="6" t="s">
        <v>33</v>
      </c>
      <c r="M223" s="6">
        <v>0.3</v>
      </c>
      <c r="N223" s="6">
        <v>0.63</v>
      </c>
      <c r="O223" s="6">
        <v>33362.160000000003</v>
      </c>
      <c r="P223" s="6">
        <v>0</v>
      </c>
      <c r="Q223" s="6">
        <f t="shared" ca="1" si="11"/>
        <v>47</v>
      </c>
      <c r="R223" s="6">
        <f t="shared" si="9"/>
        <v>-3170.1600000000035</v>
      </c>
      <c r="S223" s="7" t="str">
        <f t="shared" si="10"/>
        <v>Loss</v>
      </c>
    </row>
    <row r="224" spans="1:19" x14ac:dyDescent="0.3">
      <c r="A224" s="4" t="s">
        <v>489</v>
      </c>
      <c r="B224" s="5">
        <v>45242</v>
      </c>
      <c r="C224" s="6" t="s">
        <v>490</v>
      </c>
      <c r="D224" s="6" t="s">
        <v>71</v>
      </c>
      <c r="E224" s="6">
        <v>16585</v>
      </c>
      <c r="F224" s="6">
        <v>20.7</v>
      </c>
      <c r="G224" s="6">
        <v>36</v>
      </c>
      <c r="H224" s="6" t="s">
        <v>19</v>
      </c>
      <c r="I224" s="6" t="s">
        <v>36</v>
      </c>
      <c r="J224" s="6" t="s">
        <v>37</v>
      </c>
      <c r="K224" s="6">
        <v>65503</v>
      </c>
      <c r="L224" s="6" t="s">
        <v>33</v>
      </c>
      <c r="M224" s="6">
        <v>0.36</v>
      </c>
      <c r="N224" s="6">
        <v>0.56000000000000005</v>
      </c>
      <c r="O224" s="6">
        <v>20018.099999999999</v>
      </c>
      <c r="P224" s="6">
        <v>0</v>
      </c>
      <c r="Q224" s="6">
        <f t="shared" ca="1" si="11"/>
        <v>28</v>
      </c>
      <c r="R224" s="6">
        <f t="shared" si="9"/>
        <v>-3433.0999999999985</v>
      </c>
      <c r="S224" s="7" t="str">
        <f t="shared" si="10"/>
        <v>Loss</v>
      </c>
    </row>
    <row r="225" spans="1:19" x14ac:dyDescent="0.3">
      <c r="A225" s="4" t="s">
        <v>491</v>
      </c>
      <c r="B225" s="5">
        <v>44946</v>
      </c>
      <c r="C225" s="6" t="s">
        <v>492</v>
      </c>
      <c r="D225" s="6" t="s">
        <v>75</v>
      </c>
      <c r="E225" s="6">
        <v>26559</v>
      </c>
      <c r="F225" s="6">
        <v>24.5</v>
      </c>
      <c r="G225" s="6">
        <v>60</v>
      </c>
      <c r="H225" s="6" t="s">
        <v>26</v>
      </c>
      <c r="I225" s="6" t="s">
        <v>83</v>
      </c>
      <c r="J225" s="6" t="s">
        <v>37</v>
      </c>
      <c r="K225" s="6">
        <v>126282</v>
      </c>
      <c r="L225" s="6" t="s">
        <v>22</v>
      </c>
      <c r="M225" s="6">
        <v>0.11</v>
      </c>
      <c r="N225" s="6">
        <v>0.83</v>
      </c>
      <c r="O225" s="6">
        <v>10442.84</v>
      </c>
      <c r="P225" s="6">
        <v>0</v>
      </c>
      <c r="Q225" s="6">
        <f t="shared" ca="1" si="11"/>
        <v>38</v>
      </c>
      <c r="R225" s="6">
        <f t="shared" si="9"/>
        <v>16116.16</v>
      </c>
      <c r="S225" s="7" t="str">
        <f t="shared" si="10"/>
        <v>Profit</v>
      </c>
    </row>
    <row r="226" spans="1:19" x14ac:dyDescent="0.3">
      <c r="A226" s="4" t="s">
        <v>493</v>
      </c>
      <c r="B226" s="5">
        <v>44234</v>
      </c>
      <c r="C226" s="6" t="s">
        <v>494</v>
      </c>
      <c r="D226" s="6" t="s">
        <v>50</v>
      </c>
      <c r="E226" s="6">
        <v>34742</v>
      </c>
      <c r="F226" s="6">
        <v>12.4</v>
      </c>
      <c r="G226" s="6">
        <v>60</v>
      </c>
      <c r="H226" s="6" t="s">
        <v>19</v>
      </c>
      <c r="I226" s="6" t="s">
        <v>72</v>
      </c>
      <c r="J226" s="6" t="s">
        <v>32</v>
      </c>
      <c r="K226" s="6">
        <v>123459</v>
      </c>
      <c r="L226" s="6" t="s">
        <v>33</v>
      </c>
      <c r="M226" s="6">
        <v>0.27</v>
      </c>
      <c r="N226" s="6">
        <v>0.87</v>
      </c>
      <c r="O226" s="6">
        <v>39050.01</v>
      </c>
      <c r="P226" s="6">
        <v>0</v>
      </c>
      <c r="Q226" s="6">
        <f t="shared" ca="1" si="11"/>
        <v>61</v>
      </c>
      <c r="R226" s="6">
        <f t="shared" si="9"/>
        <v>-4308.010000000002</v>
      </c>
      <c r="S226" s="7" t="str">
        <f t="shared" si="10"/>
        <v>Loss</v>
      </c>
    </row>
    <row r="227" spans="1:19" x14ac:dyDescent="0.3">
      <c r="A227" s="4" t="s">
        <v>495</v>
      </c>
      <c r="B227" s="5">
        <v>44426</v>
      </c>
      <c r="C227" s="6" t="s">
        <v>496</v>
      </c>
      <c r="D227" s="6" t="s">
        <v>75</v>
      </c>
      <c r="E227" s="6">
        <v>5133</v>
      </c>
      <c r="F227" s="6">
        <v>13.6</v>
      </c>
      <c r="G227" s="6">
        <v>60</v>
      </c>
      <c r="H227" s="6" t="s">
        <v>26</v>
      </c>
      <c r="I227" s="6" t="s">
        <v>57</v>
      </c>
      <c r="J227" s="6" t="s">
        <v>37</v>
      </c>
      <c r="K227" s="6">
        <v>105403</v>
      </c>
      <c r="L227" s="6" t="s">
        <v>29</v>
      </c>
      <c r="M227" s="6">
        <v>0.21</v>
      </c>
      <c r="N227" s="6">
        <v>0.62</v>
      </c>
      <c r="O227" s="6">
        <v>722</v>
      </c>
      <c r="P227" s="6">
        <v>0</v>
      </c>
      <c r="Q227" s="6">
        <f t="shared" ca="1" si="11"/>
        <v>55</v>
      </c>
      <c r="R227" s="6">
        <f t="shared" si="9"/>
        <v>4411</v>
      </c>
      <c r="S227" s="7" t="str">
        <f t="shared" si="10"/>
        <v>Profit</v>
      </c>
    </row>
    <row r="228" spans="1:19" x14ac:dyDescent="0.3">
      <c r="A228" s="4" t="s">
        <v>497</v>
      </c>
      <c r="B228" s="5">
        <v>44759</v>
      </c>
      <c r="C228" s="6" t="s">
        <v>498</v>
      </c>
      <c r="D228" s="6" t="s">
        <v>50</v>
      </c>
      <c r="E228" s="6">
        <v>15663</v>
      </c>
      <c r="F228" s="6">
        <v>21.9</v>
      </c>
      <c r="G228" s="6">
        <v>60</v>
      </c>
      <c r="H228" s="6" t="s">
        <v>26</v>
      </c>
      <c r="I228" s="6" t="s">
        <v>20</v>
      </c>
      <c r="J228" s="6" t="s">
        <v>28</v>
      </c>
      <c r="K228" s="6">
        <v>71258</v>
      </c>
      <c r="L228" s="6" t="s">
        <v>22</v>
      </c>
      <c r="M228" s="6">
        <v>0.15</v>
      </c>
      <c r="N228" s="6">
        <v>0.85</v>
      </c>
      <c r="O228" s="6">
        <v>2433.83</v>
      </c>
      <c r="P228" s="6">
        <v>0</v>
      </c>
      <c r="Q228" s="6">
        <f t="shared" ca="1" si="11"/>
        <v>44</v>
      </c>
      <c r="R228" s="6">
        <f t="shared" si="9"/>
        <v>13229.17</v>
      </c>
      <c r="S228" s="7" t="str">
        <f t="shared" si="10"/>
        <v>Profit</v>
      </c>
    </row>
    <row r="229" spans="1:19" x14ac:dyDescent="0.3">
      <c r="A229" s="4" t="s">
        <v>499</v>
      </c>
      <c r="B229" s="5">
        <v>44634</v>
      </c>
      <c r="C229" s="6" t="s">
        <v>500</v>
      </c>
      <c r="D229" s="6" t="s">
        <v>46</v>
      </c>
      <c r="E229" s="6">
        <v>22754</v>
      </c>
      <c r="F229" s="6">
        <v>10.4</v>
      </c>
      <c r="G229" s="6">
        <v>36</v>
      </c>
      <c r="H229" s="6" t="s">
        <v>26</v>
      </c>
      <c r="I229" s="6" t="s">
        <v>27</v>
      </c>
      <c r="J229" s="6" t="s">
        <v>32</v>
      </c>
      <c r="K229" s="6">
        <v>63724</v>
      </c>
      <c r="L229" s="6" t="s">
        <v>29</v>
      </c>
      <c r="M229" s="6">
        <v>0.14000000000000001</v>
      </c>
      <c r="N229" s="6">
        <v>0.67</v>
      </c>
      <c r="O229" s="6">
        <v>6475.12</v>
      </c>
      <c r="P229" s="6">
        <v>0</v>
      </c>
      <c r="Q229" s="6">
        <f t="shared" ca="1" si="11"/>
        <v>48</v>
      </c>
      <c r="R229" s="6">
        <f t="shared" si="9"/>
        <v>16278.880000000001</v>
      </c>
      <c r="S229" s="7" t="str">
        <f t="shared" si="10"/>
        <v>Profit</v>
      </c>
    </row>
    <row r="230" spans="1:19" x14ac:dyDescent="0.3">
      <c r="A230" s="4" t="s">
        <v>501</v>
      </c>
      <c r="B230" s="5">
        <v>44223</v>
      </c>
      <c r="C230" s="6" t="s">
        <v>502</v>
      </c>
      <c r="D230" s="6" t="s">
        <v>25</v>
      </c>
      <c r="E230" s="6">
        <v>4972</v>
      </c>
      <c r="F230" s="6">
        <v>8.1</v>
      </c>
      <c r="G230" s="6">
        <v>60</v>
      </c>
      <c r="H230" s="6" t="s">
        <v>26</v>
      </c>
      <c r="I230" s="6" t="s">
        <v>20</v>
      </c>
      <c r="J230" s="6" t="s">
        <v>37</v>
      </c>
      <c r="K230" s="6">
        <v>94286</v>
      </c>
      <c r="L230" s="6" t="s">
        <v>22</v>
      </c>
      <c r="M230" s="6">
        <v>0.34</v>
      </c>
      <c r="N230" s="6">
        <v>0.73</v>
      </c>
      <c r="O230" s="6">
        <v>633.66</v>
      </c>
      <c r="P230" s="6">
        <v>0</v>
      </c>
      <c r="Q230" s="6">
        <f t="shared" ca="1" si="11"/>
        <v>61</v>
      </c>
      <c r="R230" s="6">
        <f t="shared" si="9"/>
        <v>4338.34</v>
      </c>
      <c r="S230" s="7" t="str">
        <f t="shared" si="10"/>
        <v>Profit</v>
      </c>
    </row>
    <row r="231" spans="1:19" x14ac:dyDescent="0.3">
      <c r="A231" s="4" t="s">
        <v>503</v>
      </c>
      <c r="B231" s="5">
        <v>44422</v>
      </c>
      <c r="C231" s="6" t="s">
        <v>504</v>
      </c>
      <c r="D231" s="6" t="s">
        <v>50</v>
      </c>
      <c r="E231" s="6">
        <v>6295</v>
      </c>
      <c r="F231" s="6">
        <v>22.1</v>
      </c>
      <c r="G231" s="6">
        <v>36</v>
      </c>
      <c r="H231" s="6" t="s">
        <v>19</v>
      </c>
      <c r="I231" s="6" t="s">
        <v>27</v>
      </c>
      <c r="J231" s="6" t="s">
        <v>32</v>
      </c>
      <c r="K231" s="6">
        <v>104842</v>
      </c>
      <c r="L231" s="6" t="s">
        <v>22</v>
      </c>
      <c r="M231" s="6">
        <v>0.31</v>
      </c>
      <c r="N231" s="6">
        <v>0.89</v>
      </c>
      <c r="O231" s="6">
        <v>7686.2</v>
      </c>
      <c r="P231" s="6">
        <v>0</v>
      </c>
      <c r="Q231" s="6">
        <f t="shared" ca="1" si="11"/>
        <v>55</v>
      </c>
      <c r="R231" s="6">
        <f t="shared" si="9"/>
        <v>-1391.1999999999998</v>
      </c>
      <c r="S231" s="7" t="str">
        <f t="shared" si="10"/>
        <v>Loss</v>
      </c>
    </row>
    <row r="232" spans="1:19" x14ac:dyDescent="0.3">
      <c r="A232" s="4" t="s">
        <v>505</v>
      </c>
      <c r="B232" s="5">
        <v>44994</v>
      </c>
      <c r="C232" s="6" t="s">
        <v>506</v>
      </c>
      <c r="D232" s="6" t="s">
        <v>50</v>
      </c>
      <c r="E232" s="6">
        <v>30125</v>
      </c>
      <c r="F232" s="6">
        <v>5.9</v>
      </c>
      <c r="G232" s="6">
        <v>36</v>
      </c>
      <c r="H232" s="6" t="s">
        <v>19</v>
      </c>
      <c r="I232" s="6" t="s">
        <v>83</v>
      </c>
      <c r="J232" s="6" t="s">
        <v>28</v>
      </c>
      <c r="K232" s="6">
        <v>134927</v>
      </c>
      <c r="L232" s="6" t="s">
        <v>33</v>
      </c>
      <c r="M232" s="6">
        <v>0.2</v>
      </c>
      <c r="N232" s="6">
        <v>0.84</v>
      </c>
      <c r="O232" s="6">
        <v>31902.38</v>
      </c>
      <c r="P232" s="6">
        <v>0</v>
      </c>
      <c r="Q232" s="6">
        <f t="shared" ca="1" si="11"/>
        <v>36</v>
      </c>
      <c r="R232" s="6">
        <f t="shared" si="9"/>
        <v>-1777.380000000001</v>
      </c>
      <c r="S232" s="7" t="str">
        <f t="shared" si="10"/>
        <v>Loss</v>
      </c>
    </row>
    <row r="233" spans="1:19" x14ac:dyDescent="0.3">
      <c r="A233" s="4" t="s">
        <v>507</v>
      </c>
      <c r="B233" s="5">
        <v>44480</v>
      </c>
      <c r="C233" s="6" t="s">
        <v>508</v>
      </c>
      <c r="D233" s="6" t="s">
        <v>40</v>
      </c>
      <c r="E233" s="6">
        <v>10903</v>
      </c>
      <c r="F233" s="6">
        <v>17.399999999999999</v>
      </c>
      <c r="G233" s="6">
        <v>36</v>
      </c>
      <c r="H233" s="6" t="s">
        <v>26</v>
      </c>
      <c r="I233" s="6" t="s">
        <v>20</v>
      </c>
      <c r="J233" s="6" t="s">
        <v>37</v>
      </c>
      <c r="K233" s="6">
        <v>44908</v>
      </c>
      <c r="L233" s="6" t="s">
        <v>33</v>
      </c>
      <c r="M233" s="6">
        <v>0.28999999999999998</v>
      </c>
      <c r="N233" s="6">
        <v>0.86</v>
      </c>
      <c r="O233" s="6">
        <v>2043.7</v>
      </c>
      <c r="P233" s="6">
        <v>0</v>
      </c>
      <c r="Q233" s="6">
        <f t="shared" ca="1" si="11"/>
        <v>53</v>
      </c>
      <c r="R233" s="6">
        <f t="shared" si="9"/>
        <v>8859.2999999999993</v>
      </c>
      <c r="S233" s="7" t="str">
        <f t="shared" si="10"/>
        <v>Profit</v>
      </c>
    </row>
    <row r="234" spans="1:19" x14ac:dyDescent="0.3">
      <c r="A234" s="4" t="s">
        <v>509</v>
      </c>
      <c r="B234" s="5">
        <v>45075</v>
      </c>
      <c r="C234" s="6" t="s">
        <v>510</v>
      </c>
      <c r="D234" s="6" t="s">
        <v>64</v>
      </c>
      <c r="E234" s="6">
        <v>4020</v>
      </c>
      <c r="F234" s="6">
        <v>16.2</v>
      </c>
      <c r="G234" s="6">
        <v>36</v>
      </c>
      <c r="H234" s="6" t="s">
        <v>19</v>
      </c>
      <c r="I234" s="6" t="s">
        <v>83</v>
      </c>
      <c r="J234" s="6" t="s">
        <v>47</v>
      </c>
      <c r="K234" s="6">
        <v>122617</v>
      </c>
      <c r="L234" s="6" t="s">
        <v>33</v>
      </c>
      <c r="M234" s="6">
        <v>0.3</v>
      </c>
      <c r="N234" s="6">
        <v>0.56000000000000005</v>
      </c>
      <c r="O234" s="6">
        <v>4671.24</v>
      </c>
      <c r="P234" s="6">
        <v>0</v>
      </c>
      <c r="Q234" s="6">
        <f t="shared" ca="1" si="11"/>
        <v>33</v>
      </c>
      <c r="R234" s="6">
        <f t="shared" si="9"/>
        <v>-651.23999999999978</v>
      </c>
      <c r="S234" s="7" t="str">
        <f t="shared" si="10"/>
        <v>Loss</v>
      </c>
    </row>
    <row r="235" spans="1:19" x14ac:dyDescent="0.3">
      <c r="A235" s="4" t="s">
        <v>511</v>
      </c>
      <c r="B235" s="5">
        <v>45156</v>
      </c>
      <c r="C235" s="6" t="s">
        <v>512</v>
      </c>
      <c r="D235" s="6" t="s">
        <v>64</v>
      </c>
      <c r="E235" s="6">
        <v>21420</v>
      </c>
      <c r="F235" s="6">
        <v>11.9</v>
      </c>
      <c r="G235" s="6">
        <v>60</v>
      </c>
      <c r="H235" s="6" t="s">
        <v>19</v>
      </c>
      <c r="I235" s="6" t="s">
        <v>20</v>
      </c>
      <c r="J235" s="6" t="s">
        <v>28</v>
      </c>
      <c r="K235" s="6">
        <v>80626</v>
      </c>
      <c r="L235" s="6" t="s">
        <v>29</v>
      </c>
      <c r="M235" s="6">
        <v>0.18</v>
      </c>
      <c r="N235" s="6">
        <v>0.53</v>
      </c>
      <c r="O235" s="6">
        <v>23968.98</v>
      </c>
      <c r="P235" s="6">
        <v>0</v>
      </c>
      <c r="Q235" s="6">
        <f t="shared" ca="1" si="11"/>
        <v>31</v>
      </c>
      <c r="R235" s="6">
        <f t="shared" si="9"/>
        <v>-2548.9799999999996</v>
      </c>
      <c r="S235" s="7" t="str">
        <f t="shared" si="10"/>
        <v>Loss</v>
      </c>
    </row>
    <row r="236" spans="1:19" x14ac:dyDescent="0.3">
      <c r="A236" s="4" t="s">
        <v>513</v>
      </c>
      <c r="B236" s="5">
        <v>44649</v>
      </c>
      <c r="C236" s="6" t="s">
        <v>514</v>
      </c>
      <c r="D236" s="6" t="s">
        <v>40</v>
      </c>
      <c r="E236" s="6">
        <v>22452</v>
      </c>
      <c r="F236" s="6">
        <v>11.3</v>
      </c>
      <c r="G236" s="6">
        <v>60</v>
      </c>
      <c r="H236" s="6" t="s">
        <v>19</v>
      </c>
      <c r="I236" s="6" t="s">
        <v>36</v>
      </c>
      <c r="J236" s="6" t="s">
        <v>21</v>
      </c>
      <c r="K236" s="6">
        <v>67228</v>
      </c>
      <c r="L236" s="6" t="s">
        <v>33</v>
      </c>
      <c r="M236" s="6">
        <v>0.36</v>
      </c>
      <c r="N236" s="6">
        <v>0.9</v>
      </c>
      <c r="O236" s="6">
        <v>24989.08</v>
      </c>
      <c r="P236" s="6">
        <v>0</v>
      </c>
      <c r="Q236" s="6">
        <f t="shared" ca="1" si="11"/>
        <v>47</v>
      </c>
      <c r="R236" s="6">
        <f t="shared" si="9"/>
        <v>-2537.0800000000017</v>
      </c>
      <c r="S236" s="7" t="str">
        <f t="shared" si="10"/>
        <v>Loss</v>
      </c>
    </row>
    <row r="237" spans="1:19" x14ac:dyDescent="0.3">
      <c r="A237" s="4" t="s">
        <v>515</v>
      </c>
      <c r="B237" s="5">
        <v>45216</v>
      </c>
      <c r="C237" s="6" t="s">
        <v>516</v>
      </c>
      <c r="D237" s="6" t="s">
        <v>56</v>
      </c>
      <c r="E237" s="6">
        <v>39001</v>
      </c>
      <c r="F237" s="6">
        <v>20.399999999999999</v>
      </c>
      <c r="G237" s="6">
        <v>36</v>
      </c>
      <c r="H237" s="6" t="s">
        <v>80</v>
      </c>
      <c r="I237" s="6" t="s">
        <v>20</v>
      </c>
      <c r="J237" s="6" t="s">
        <v>21</v>
      </c>
      <c r="K237" s="6">
        <v>53386</v>
      </c>
      <c r="L237" s="6" t="s">
        <v>33</v>
      </c>
      <c r="M237" s="6">
        <v>0.41</v>
      </c>
      <c r="N237" s="6">
        <v>0.67</v>
      </c>
      <c r="O237" s="6">
        <v>7661.31</v>
      </c>
      <c r="P237" s="6">
        <v>15157.1</v>
      </c>
      <c r="Q237" s="6">
        <f t="shared" ca="1" si="11"/>
        <v>29</v>
      </c>
      <c r="R237" s="6">
        <f t="shared" si="9"/>
        <v>31339.69</v>
      </c>
      <c r="S237" s="7" t="str">
        <f t="shared" si="10"/>
        <v>Profit</v>
      </c>
    </row>
    <row r="238" spans="1:19" x14ac:dyDescent="0.3">
      <c r="A238" s="4" t="s">
        <v>517</v>
      </c>
      <c r="B238" s="5">
        <v>45012</v>
      </c>
      <c r="C238" s="6" t="s">
        <v>518</v>
      </c>
      <c r="D238" s="6" t="s">
        <v>40</v>
      </c>
      <c r="E238" s="6">
        <v>10516</v>
      </c>
      <c r="F238" s="6">
        <v>6.7</v>
      </c>
      <c r="G238" s="6">
        <v>36</v>
      </c>
      <c r="H238" s="6" t="s">
        <v>19</v>
      </c>
      <c r="I238" s="6" t="s">
        <v>27</v>
      </c>
      <c r="J238" s="6" t="s">
        <v>28</v>
      </c>
      <c r="K238" s="6">
        <v>76754</v>
      </c>
      <c r="L238" s="6" t="s">
        <v>22</v>
      </c>
      <c r="M238" s="6">
        <v>0.42</v>
      </c>
      <c r="N238" s="6">
        <v>0.63</v>
      </c>
      <c r="O238" s="6">
        <v>11220.57</v>
      </c>
      <c r="P238" s="6">
        <v>0</v>
      </c>
      <c r="Q238" s="6">
        <f t="shared" ca="1" si="11"/>
        <v>35</v>
      </c>
      <c r="R238" s="6">
        <f t="shared" si="9"/>
        <v>-704.56999999999971</v>
      </c>
      <c r="S238" s="7" t="str">
        <f t="shared" si="10"/>
        <v>Loss</v>
      </c>
    </row>
    <row r="239" spans="1:19" x14ac:dyDescent="0.3">
      <c r="A239" s="4" t="s">
        <v>519</v>
      </c>
      <c r="B239" s="5">
        <v>44855</v>
      </c>
      <c r="C239" s="6" t="s">
        <v>520</v>
      </c>
      <c r="D239" s="6" t="s">
        <v>50</v>
      </c>
      <c r="E239" s="6">
        <v>3396</v>
      </c>
      <c r="F239" s="6">
        <v>9.6999999999999993</v>
      </c>
      <c r="G239" s="6">
        <v>36</v>
      </c>
      <c r="H239" s="6" t="s">
        <v>19</v>
      </c>
      <c r="I239" s="6" t="s">
        <v>57</v>
      </c>
      <c r="J239" s="6" t="s">
        <v>21</v>
      </c>
      <c r="K239" s="6">
        <v>140942</v>
      </c>
      <c r="L239" s="6" t="s">
        <v>33</v>
      </c>
      <c r="M239" s="6">
        <v>0.34</v>
      </c>
      <c r="N239" s="6">
        <v>0.83</v>
      </c>
      <c r="O239" s="6">
        <v>3725.41</v>
      </c>
      <c r="P239" s="6">
        <v>0</v>
      </c>
      <c r="Q239" s="6">
        <f t="shared" ca="1" si="11"/>
        <v>40</v>
      </c>
      <c r="R239" s="6">
        <f t="shared" si="9"/>
        <v>-329.40999999999985</v>
      </c>
      <c r="S239" s="7" t="str">
        <f t="shared" si="10"/>
        <v>Loss</v>
      </c>
    </row>
    <row r="240" spans="1:19" x14ac:dyDescent="0.3">
      <c r="A240" s="4" t="s">
        <v>521</v>
      </c>
      <c r="B240" s="5">
        <v>44743</v>
      </c>
      <c r="C240" s="6" t="s">
        <v>522</v>
      </c>
      <c r="D240" s="6" t="s">
        <v>50</v>
      </c>
      <c r="E240" s="6">
        <v>19546</v>
      </c>
      <c r="F240" s="6">
        <v>19.600000000000001</v>
      </c>
      <c r="G240" s="6">
        <v>36</v>
      </c>
      <c r="H240" s="6" t="s">
        <v>26</v>
      </c>
      <c r="I240" s="6" t="s">
        <v>83</v>
      </c>
      <c r="J240" s="6" t="s">
        <v>28</v>
      </c>
      <c r="K240" s="6">
        <v>58302</v>
      </c>
      <c r="L240" s="6" t="s">
        <v>33</v>
      </c>
      <c r="M240" s="6">
        <v>0.3</v>
      </c>
      <c r="N240" s="6">
        <v>0.88</v>
      </c>
      <c r="O240" s="6">
        <v>2381.36</v>
      </c>
      <c r="P240" s="6">
        <v>0</v>
      </c>
      <c r="Q240" s="6">
        <f t="shared" ca="1" si="11"/>
        <v>44</v>
      </c>
      <c r="R240" s="6">
        <f t="shared" si="9"/>
        <v>17164.64</v>
      </c>
      <c r="S240" s="7" t="str">
        <f t="shared" si="10"/>
        <v>Profit</v>
      </c>
    </row>
    <row r="241" spans="1:19" x14ac:dyDescent="0.3">
      <c r="A241" s="4" t="s">
        <v>523</v>
      </c>
      <c r="B241" s="5">
        <v>45269</v>
      </c>
      <c r="C241" s="6" t="s">
        <v>524</v>
      </c>
      <c r="D241" s="6" t="s">
        <v>40</v>
      </c>
      <c r="E241" s="6">
        <v>20129</v>
      </c>
      <c r="F241" s="6">
        <v>16</v>
      </c>
      <c r="G241" s="6">
        <v>60</v>
      </c>
      <c r="H241" s="6" t="s">
        <v>26</v>
      </c>
      <c r="I241" s="6" t="s">
        <v>72</v>
      </c>
      <c r="J241" s="6" t="s">
        <v>47</v>
      </c>
      <c r="K241" s="6">
        <v>90815</v>
      </c>
      <c r="L241" s="6" t="s">
        <v>33</v>
      </c>
      <c r="M241" s="6">
        <v>0.12</v>
      </c>
      <c r="N241" s="6">
        <v>0.89</v>
      </c>
      <c r="O241" s="6">
        <v>2865.01</v>
      </c>
      <c r="P241" s="6">
        <v>0</v>
      </c>
      <c r="Q241" s="6">
        <f t="shared" ca="1" si="11"/>
        <v>27</v>
      </c>
      <c r="R241" s="6">
        <f t="shared" si="9"/>
        <v>17263.989999999998</v>
      </c>
      <c r="S241" s="7" t="str">
        <f t="shared" si="10"/>
        <v>Profit</v>
      </c>
    </row>
    <row r="242" spans="1:19" x14ac:dyDescent="0.3">
      <c r="A242" s="4" t="s">
        <v>525</v>
      </c>
      <c r="B242" s="5">
        <v>44213</v>
      </c>
      <c r="C242" s="6" t="s">
        <v>526</v>
      </c>
      <c r="D242" s="6" t="s">
        <v>40</v>
      </c>
      <c r="E242" s="6">
        <v>2591</v>
      </c>
      <c r="F242" s="6">
        <v>7.6</v>
      </c>
      <c r="G242" s="6">
        <v>36</v>
      </c>
      <c r="H242" s="6" t="s">
        <v>19</v>
      </c>
      <c r="I242" s="6" t="s">
        <v>20</v>
      </c>
      <c r="J242" s="6" t="s">
        <v>28</v>
      </c>
      <c r="K242" s="6">
        <v>114748</v>
      </c>
      <c r="L242" s="6" t="s">
        <v>33</v>
      </c>
      <c r="M242" s="6">
        <v>0.22</v>
      </c>
      <c r="N242" s="6">
        <v>0.64</v>
      </c>
      <c r="O242" s="6">
        <v>2787.92</v>
      </c>
      <c r="P242" s="6">
        <v>0</v>
      </c>
      <c r="Q242" s="6">
        <f t="shared" ca="1" si="11"/>
        <v>62</v>
      </c>
      <c r="R242" s="6">
        <f t="shared" si="9"/>
        <v>-196.92000000000007</v>
      </c>
      <c r="S242" s="7" t="str">
        <f t="shared" si="10"/>
        <v>Loss</v>
      </c>
    </row>
    <row r="243" spans="1:19" x14ac:dyDescent="0.3">
      <c r="A243" s="4" t="s">
        <v>527</v>
      </c>
      <c r="B243" s="5">
        <v>44354</v>
      </c>
      <c r="C243" s="6" t="s">
        <v>528</v>
      </c>
      <c r="D243" s="6" t="s">
        <v>56</v>
      </c>
      <c r="E243" s="6">
        <v>12303</v>
      </c>
      <c r="F243" s="6">
        <v>22.6</v>
      </c>
      <c r="G243" s="6">
        <v>60</v>
      </c>
      <c r="H243" s="6" t="s">
        <v>19</v>
      </c>
      <c r="I243" s="6" t="s">
        <v>72</v>
      </c>
      <c r="J243" s="6" t="s">
        <v>37</v>
      </c>
      <c r="K243" s="6">
        <v>93344</v>
      </c>
      <c r="L243" s="6" t="s">
        <v>22</v>
      </c>
      <c r="M243" s="6">
        <v>0.14000000000000001</v>
      </c>
      <c r="N243" s="6">
        <v>0.88</v>
      </c>
      <c r="O243" s="6">
        <v>15083.48</v>
      </c>
      <c r="P243" s="6">
        <v>0</v>
      </c>
      <c r="Q243" s="6">
        <f t="shared" ca="1" si="11"/>
        <v>57</v>
      </c>
      <c r="R243" s="6">
        <f t="shared" si="9"/>
        <v>-2780.4799999999996</v>
      </c>
      <c r="S243" s="7" t="str">
        <f t="shared" si="10"/>
        <v>Loss</v>
      </c>
    </row>
    <row r="244" spans="1:19" x14ac:dyDescent="0.3">
      <c r="A244" s="4" t="s">
        <v>529</v>
      </c>
      <c r="B244" s="5">
        <v>44673</v>
      </c>
      <c r="C244" s="6" t="s">
        <v>530</v>
      </c>
      <c r="D244" s="6" t="s">
        <v>75</v>
      </c>
      <c r="E244" s="6">
        <v>31561</v>
      </c>
      <c r="F244" s="6">
        <v>12.9</v>
      </c>
      <c r="G244" s="6">
        <v>36</v>
      </c>
      <c r="H244" s="6" t="s">
        <v>26</v>
      </c>
      <c r="I244" s="6" t="s">
        <v>57</v>
      </c>
      <c r="J244" s="6" t="s">
        <v>37</v>
      </c>
      <c r="K244" s="6">
        <v>65618</v>
      </c>
      <c r="L244" s="6" t="s">
        <v>33</v>
      </c>
      <c r="M244" s="6">
        <v>0.49</v>
      </c>
      <c r="N244" s="6">
        <v>0.52</v>
      </c>
      <c r="O244" s="6">
        <v>12777.42</v>
      </c>
      <c r="P244" s="6">
        <v>0</v>
      </c>
      <c r="Q244" s="6">
        <f t="shared" ca="1" si="11"/>
        <v>46</v>
      </c>
      <c r="R244" s="6">
        <f t="shared" si="9"/>
        <v>18783.580000000002</v>
      </c>
      <c r="S244" s="7" t="str">
        <f t="shared" si="10"/>
        <v>Profit</v>
      </c>
    </row>
    <row r="245" spans="1:19" x14ac:dyDescent="0.3">
      <c r="A245" s="4" t="s">
        <v>531</v>
      </c>
      <c r="B245" s="5">
        <v>45266</v>
      </c>
      <c r="C245" s="6" t="s">
        <v>532</v>
      </c>
      <c r="D245" s="6" t="s">
        <v>25</v>
      </c>
      <c r="E245" s="6">
        <v>7183</v>
      </c>
      <c r="F245" s="6">
        <v>21.6</v>
      </c>
      <c r="G245" s="6">
        <v>36</v>
      </c>
      <c r="H245" s="6" t="s">
        <v>314</v>
      </c>
      <c r="I245" s="6" t="s">
        <v>27</v>
      </c>
      <c r="J245" s="6" t="s">
        <v>32</v>
      </c>
      <c r="K245" s="6">
        <v>141603</v>
      </c>
      <c r="L245" s="6" t="s">
        <v>22</v>
      </c>
      <c r="M245" s="6">
        <v>0.15</v>
      </c>
      <c r="N245" s="6">
        <v>0.52</v>
      </c>
      <c r="O245" s="6">
        <v>0</v>
      </c>
      <c r="P245" s="6">
        <v>0</v>
      </c>
      <c r="Q245" s="6">
        <f t="shared" ca="1" si="11"/>
        <v>27</v>
      </c>
      <c r="R245" s="6">
        <f t="shared" si="9"/>
        <v>7183</v>
      </c>
      <c r="S245" s="7" t="str">
        <f t="shared" si="10"/>
        <v>Profit</v>
      </c>
    </row>
    <row r="246" spans="1:19" x14ac:dyDescent="0.3">
      <c r="A246" s="4" t="s">
        <v>533</v>
      </c>
      <c r="B246" s="5">
        <v>44714</v>
      </c>
      <c r="C246" s="6" t="s">
        <v>534</v>
      </c>
      <c r="D246" s="6" t="s">
        <v>18</v>
      </c>
      <c r="E246" s="6">
        <v>27572</v>
      </c>
      <c r="F246" s="6">
        <v>20.8</v>
      </c>
      <c r="G246" s="6">
        <v>36</v>
      </c>
      <c r="H246" s="6" t="s">
        <v>26</v>
      </c>
      <c r="I246" s="6" t="s">
        <v>36</v>
      </c>
      <c r="J246" s="6" t="s">
        <v>21</v>
      </c>
      <c r="K246" s="6">
        <v>106234</v>
      </c>
      <c r="L246" s="6" t="s">
        <v>29</v>
      </c>
      <c r="M246" s="6">
        <v>0.16</v>
      </c>
      <c r="N246" s="6">
        <v>0.78</v>
      </c>
      <c r="O246" s="6">
        <v>3453.07</v>
      </c>
      <c r="P246" s="6">
        <v>0</v>
      </c>
      <c r="Q246" s="6">
        <f t="shared" ca="1" si="11"/>
        <v>45</v>
      </c>
      <c r="R246" s="6">
        <f t="shared" si="9"/>
        <v>24118.93</v>
      </c>
      <c r="S246" s="7" t="str">
        <f t="shared" si="10"/>
        <v>Profit</v>
      </c>
    </row>
    <row r="247" spans="1:19" x14ac:dyDescent="0.3">
      <c r="A247" s="4" t="s">
        <v>535</v>
      </c>
      <c r="B247" s="5">
        <v>44295</v>
      </c>
      <c r="C247" s="6" t="s">
        <v>536</v>
      </c>
      <c r="D247" s="6" t="s">
        <v>50</v>
      </c>
      <c r="E247" s="6">
        <v>35080</v>
      </c>
      <c r="F247" s="6">
        <v>17.5</v>
      </c>
      <c r="G247" s="6">
        <v>36</v>
      </c>
      <c r="H247" s="6" t="s">
        <v>19</v>
      </c>
      <c r="I247" s="6" t="s">
        <v>57</v>
      </c>
      <c r="J247" s="6" t="s">
        <v>21</v>
      </c>
      <c r="K247" s="6">
        <v>91114</v>
      </c>
      <c r="L247" s="6" t="s">
        <v>33</v>
      </c>
      <c r="M247" s="6">
        <v>0.46</v>
      </c>
      <c r="N247" s="6">
        <v>0.53</v>
      </c>
      <c r="O247" s="6">
        <v>41219</v>
      </c>
      <c r="P247" s="6">
        <v>0</v>
      </c>
      <c r="Q247" s="6">
        <f t="shared" ca="1" si="11"/>
        <v>59</v>
      </c>
      <c r="R247" s="6">
        <f t="shared" si="9"/>
        <v>-6139</v>
      </c>
      <c r="S247" s="7" t="str">
        <f t="shared" si="10"/>
        <v>Loss</v>
      </c>
    </row>
    <row r="248" spans="1:19" x14ac:dyDescent="0.3">
      <c r="A248" s="4" t="s">
        <v>537</v>
      </c>
      <c r="B248" s="5">
        <v>45257</v>
      </c>
      <c r="C248" s="6" t="s">
        <v>538</v>
      </c>
      <c r="D248" s="6" t="s">
        <v>25</v>
      </c>
      <c r="E248" s="6">
        <v>21695</v>
      </c>
      <c r="F248" s="6">
        <v>14.9</v>
      </c>
      <c r="G248" s="6">
        <v>60</v>
      </c>
      <c r="H248" s="6" t="s">
        <v>19</v>
      </c>
      <c r="I248" s="6" t="s">
        <v>57</v>
      </c>
      <c r="J248" s="6" t="s">
        <v>28</v>
      </c>
      <c r="K248" s="6">
        <v>147652</v>
      </c>
      <c r="L248" s="6" t="s">
        <v>33</v>
      </c>
      <c r="M248" s="6">
        <v>0.48</v>
      </c>
      <c r="N248" s="6">
        <v>0.65</v>
      </c>
      <c r="O248" s="6">
        <v>24927.56</v>
      </c>
      <c r="P248" s="6">
        <v>0</v>
      </c>
      <c r="Q248" s="6">
        <f t="shared" ca="1" si="11"/>
        <v>27</v>
      </c>
      <c r="R248" s="6">
        <f t="shared" si="9"/>
        <v>-3232.5600000000013</v>
      </c>
      <c r="S248" s="7" t="str">
        <f t="shared" si="10"/>
        <v>Loss</v>
      </c>
    </row>
    <row r="249" spans="1:19" x14ac:dyDescent="0.3">
      <c r="A249" s="4" t="s">
        <v>539</v>
      </c>
      <c r="B249" s="5">
        <v>44476</v>
      </c>
      <c r="C249" s="6" t="s">
        <v>540</v>
      </c>
      <c r="D249" s="6" t="s">
        <v>40</v>
      </c>
      <c r="E249" s="6">
        <v>8314</v>
      </c>
      <c r="F249" s="6">
        <v>24.6</v>
      </c>
      <c r="G249" s="6">
        <v>60</v>
      </c>
      <c r="H249" s="6" t="s">
        <v>80</v>
      </c>
      <c r="I249" s="6" t="s">
        <v>20</v>
      </c>
      <c r="J249" s="6" t="s">
        <v>21</v>
      </c>
      <c r="K249" s="6">
        <v>100130</v>
      </c>
      <c r="L249" s="6" t="s">
        <v>33</v>
      </c>
      <c r="M249" s="6">
        <v>0.41</v>
      </c>
      <c r="N249" s="6">
        <v>0.8</v>
      </c>
      <c r="O249" s="6">
        <v>902.38</v>
      </c>
      <c r="P249" s="6">
        <v>4096.3</v>
      </c>
      <c r="Q249" s="6">
        <f t="shared" ca="1" si="11"/>
        <v>53</v>
      </c>
      <c r="R249" s="6">
        <f t="shared" si="9"/>
        <v>7411.62</v>
      </c>
      <c r="S249" s="7" t="str">
        <f t="shared" si="10"/>
        <v>Profit</v>
      </c>
    </row>
    <row r="250" spans="1:19" x14ac:dyDescent="0.3">
      <c r="A250" s="4" t="s">
        <v>541</v>
      </c>
      <c r="B250" s="5">
        <v>44693</v>
      </c>
      <c r="C250" s="6" t="s">
        <v>542</v>
      </c>
      <c r="D250" s="6" t="s">
        <v>56</v>
      </c>
      <c r="E250" s="6">
        <v>20623</v>
      </c>
      <c r="F250" s="6">
        <v>7.9</v>
      </c>
      <c r="G250" s="6">
        <v>60</v>
      </c>
      <c r="H250" s="6" t="s">
        <v>26</v>
      </c>
      <c r="I250" s="6" t="s">
        <v>72</v>
      </c>
      <c r="J250" s="6" t="s">
        <v>37</v>
      </c>
      <c r="K250" s="6">
        <v>55525</v>
      </c>
      <c r="L250" s="6" t="s">
        <v>22</v>
      </c>
      <c r="M250" s="6">
        <v>0.1</v>
      </c>
      <c r="N250" s="6">
        <v>0.65</v>
      </c>
      <c r="O250" s="6">
        <v>6871.78</v>
      </c>
      <c r="P250" s="6">
        <v>0</v>
      </c>
      <c r="Q250" s="6">
        <f t="shared" ca="1" si="11"/>
        <v>46</v>
      </c>
      <c r="R250" s="6">
        <f t="shared" si="9"/>
        <v>13751.220000000001</v>
      </c>
      <c r="S250" s="7" t="str">
        <f t="shared" si="10"/>
        <v>Profit</v>
      </c>
    </row>
    <row r="251" spans="1:19" x14ac:dyDescent="0.3">
      <c r="A251" s="4" t="s">
        <v>543</v>
      </c>
      <c r="B251" s="5">
        <v>44498</v>
      </c>
      <c r="C251" s="6" t="s">
        <v>544</v>
      </c>
      <c r="D251" s="6" t="s">
        <v>71</v>
      </c>
      <c r="E251" s="6">
        <v>3139</v>
      </c>
      <c r="F251" s="6">
        <v>19.5</v>
      </c>
      <c r="G251" s="6">
        <v>36</v>
      </c>
      <c r="H251" s="6" t="s">
        <v>19</v>
      </c>
      <c r="I251" s="6" t="s">
        <v>57</v>
      </c>
      <c r="J251" s="6" t="s">
        <v>47</v>
      </c>
      <c r="K251" s="6">
        <v>109818</v>
      </c>
      <c r="L251" s="6" t="s">
        <v>33</v>
      </c>
      <c r="M251" s="6">
        <v>0.1</v>
      </c>
      <c r="N251" s="6">
        <v>0.57999999999999996</v>
      </c>
      <c r="O251" s="6">
        <v>3751.1</v>
      </c>
      <c r="P251" s="6">
        <v>0</v>
      </c>
      <c r="Q251" s="6">
        <f t="shared" ca="1" si="11"/>
        <v>52</v>
      </c>
      <c r="R251" s="6">
        <f t="shared" si="9"/>
        <v>-612.09999999999991</v>
      </c>
      <c r="S251" s="7" t="str">
        <f t="shared" si="10"/>
        <v>Loss</v>
      </c>
    </row>
    <row r="252" spans="1:19" x14ac:dyDescent="0.3">
      <c r="A252" s="4" t="s">
        <v>545</v>
      </c>
      <c r="B252" s="5">
        <v>44377</v>
      </c>
      <c r="C252" s="6" t="s">
        <v>546</v>
      </c>
      <c r="D252" s="6" t="s">
        <v>56</v>
      </c>
      <c r="E252" s="6">
        <v>32290</v>
      </c>
      <c r="F252" s="6">
        <v>8.8000000000000007</v>
      </c>
      <c r="G252" s="6">
        <v>36</v>
      </c>
      <c r="H252" s="6" t="s">
        <v>19</v>
      </c>
      <c r="I252" s="6" t="s">
        <v>57</v>
      </c>
      <c r="J252" s="6" t="s">
        <v>28</v>
      </c>
      <c r="K252" s="6">
        <v>144589</v>
      </c>
      <c r="L252" s="6" t="s">
        <v>33</v>
      </c>
      <c r="M252" s="6">
        <v>0.25</v>
      </c>
      <c r="N252" s="6">
        <v>0.63</v>
      </c>
      <c r="O252" s="6">
        <v>35131.519999999997</v>
      </c>
      <c r="P252" s="6">
        <v>0</v>
      </c>
      <c r="Q252" s="6">
        <f t="shared" ca="1" si="11"/>
        <v>56</v>
      </c>
      <c r="R252" s="6">
        <f t="shared" si="9"/>
        <v>-2841.5199999999968</v>
      </c>
      <c r="S252" s="7" t="str">
        <f t="shared" si="10"/>
        <v>Loss</v>
      </c>
    </row>
    <row r="253" spans="1:19" x14ac:dyDescent="0.3">
      <c r="A253" s="4" t="s">
        <v>547</v>
      </c>
      <c r="B253" s="5">
        <v>44803</v>
      </c>
      <c r="C253" s="6" t="s">
        <v>548</v>
      </c>
      <c r="D253" s="6" t="s">
        <v>53</v>
      </c>
      <c r="E253" s="6">
        <v>19088</v>
      </c>
      <c r="F253" s="6">
        <v>11.8</v>
      </c>
      <c r="G253" s="6">
        <v>60</v>
      </c>
      <c r="H253" s="6" t="s">
        <v>26</v>
      </c>
      <c r="I253" s="6" t="s">
        <v>20</v>
      </c>
      <c r="J253" s="6" t="s">
        <v>21</v>
      </c>
      <c r="K253" s="6">
        <v>44334</v>
      </c>
      <c r="L253" s="6" t="s">
        <v>29</v>
      </c>
      <c r="M253" s="6">
        <v>0.16</v>
      </c>
      <c r="N253" s="6">
        <v>0.71</v>
      </c>
      <c r="O253" s="6">
        <v>9337.7000000000007</v>
      </c>
      <c r="P253" s="6">
        <v>0</v>
      </c>
      <c r="Q253" s="6">
        <f t="shared" ca="1" si="11"/>
        <v>42</v>
      </c>
      <c r="R253" s="6">
        <f t="shared" si="9"/>
        <v>9750.2999999999993</v>
      </c>
      <c r="S253" s="7" t="str">
        <f t="shared" si="10"/>
        <v>Profit</v>
      </c>
    </row>
    <row r="254" spans="1:19" x14ac:dyDescent="0.3">
      <c r="A254" s="4" t="s">
        <v>549</v>
      </c>
      <c r="B254" s="5">
        <v>44896</v>
      </c>
      <c r="C254" s="6" t="s">
        <v>550</v>
      </c>
      <c r="D254" s="6" t="s">
        <v>53</v>
      </c>
      <c r="E254" s="6">
        <v>34130</v>
      </c>
      <c r="F254" s="6">
        <v>11.2</v>
      </c>
      <c r="G254" s="6">
        <v>60</v>
      </c>
      <c r="H254" s="6" t="s">
        <v>19</v>
      </c>
      <c r="I254" s="6" t="s">
        <v>57</v>
      </c>
      <c r="J254" s="6" t="s">
        <v>37</v>
      </c>
      <c r="K254" s="6">
        <v>124715</v>
      </c>
      <c r="L254" s="6" t="s">
        <v>22</v>
      </c>
      <c r="M254" s="6">
        <v>0.11</v>
      </c>
      <c r="N254" s="6">
        <v>0.71</v>
      </c>
      <c r="O254" s="6">
        <v>37952.559999999998</v>
      </c>
      <c r="P254" s="6">
        <v>0</v>
      </c>
      <c r="Q254" s="6">
        <f t="shared" ca="1" si="11"/>
        <v>39</v>
      </c>
      <c r="R254" s="6">
        <f t="shared" si="9"/>
        <v>-3822.5599999999977</v>
      </c>
      <c r="S254" s="7" t="str">
        <f t="shared" si="10"/>
        <v>Loss</v>
      </c>
    </row>
    <row r="255" spans="1:19" x14ac:dyDescent="0.3">
      <c r="A255" s="4" t="s">
        <v>551</v>
      </c>
      <c r="B255" s="5">
        <v>45189</v>
      </c>
      <c r="C255" s="6" t="s">
        <v>552</v>
      </c>
      <c r="D255" s="6" t="s">
        <v>25</v>
      </c>
      <c r="E255" s="6">
        <v>33088</v>
      </c>
      <c r="F255" s="6">
        <v>23.9</v>
      </c>
      <c r="G255" s="6">
        <v>36</v>
      </c>
      <c r="H255" s="6" t="s">
        <v>19</v>
      </c>
      <c r="I255" s="6" t="s">
        <v>41</v>
      </c>
      <c r="J255" s="6" t="s">
        <v>32</v>
      </c>
      <c r="K255" s="6">
        <v>92767</v>
      </c>
      <c r="L255" s="6" t="s">
        <v>22</v>
      </c>
      <c r="M255" s="6">
        <v>0.28999999999999998</v>
      </c>
      <c r="N255" s="6">
        <v>0.85</v>
      </c>
      <c r="O255" s="6">
        <v>40996.03</v>
      </c>
      <c r="P255" s="6">
        <v>0</v>
      </c>
      <c r="Q255" s="6">
        <f t="shared" ca="1" si="11"/>
        <v>30</v>
      </c>
      <c r="R255" s="6">
        <f t="shared" si="9"/>
        <v>-7908.0299999999988</v>
      </c>
      <c r="S255" s="7" t="str">
        <f t="shared" si="10"/>
        <v>Loss</v>
      </c>
    </row>
    <row r="256" spans="1:19" x14ac:dyDescent="0.3">
      <c r="A256" s="4" t="s">
        <v>553</v>
      </c>
      <c r="B256" s="5">
        <v>44387</v>
      </c>
      <c r="C256" s="6" t="s">
        <v>554</v>
      </c>
      <c r="D256" s="6" t="s">
        <v>64</v>
      </c>
      <c r="E256" s="6">
        <v>27292</v>
      </c>
      <c r="F256" s="6">
        <v>24.3</v>
      </c>
      <c r="G256" s="6">
        <v>36</v>
      </c>
      <c r="H256" s="6" t="s">
        <v>19</v>
      </c>
      <c r="I256" s="6" t="s">
        <v>57</v>
      </c>
      <c r="J256" s="6" t="s">
        <v>21</v>
      </c>
      <c r="K256" s="6">
        <v>36644</v>
      </c>
      <c r="L256" s="6" t="s">
        <v>29</v>
      </c>
      <c r="M256" s="6">
        <v>0.48</v>
      </c>
      <c r="N256" s="6">
        <v>0.84</v>
      </c>
      <c r="O256" s="6">
        <v>33923.96</v>
      </c>
      <c r="P256" s="6">
        <v>0</v>
      </c>
      <c r="Q256" s="6">
        <f t="shared" ca="1" si="11"/>
        <v>56</v>
      </c>
      <c r="R256" s="6">
        <f t="shared" si="9"/>
        <v>-6631.9599999999991</v>
      </c>
      <c r="S256" s="7" t="str">
        <f t="shared" si="10"/>
        <v>Loss</v>
      </c>
    </row>
    <row r="257" spans="1:19" x14ac:dyDescent="0.3">
      <c r="A257" s="4" t="s">
        <v>555</v>
      </c>
      <c r="B257" s="5">
        <v>44449</v>
      </c>
      <c r="C257" s="6" t="s">
        <v>556</v>
      </c>
      <c r="D257" s="6" t="s">
        <v>53</v>
      </c>
      <c r="E257" s="6">
        <v>21670</v>
      </c>
      <c r="F257" s="6">
        <v>8.6999999999999993</v>
      </c>
      <c r="G257" s="6">
        <v>60</v>
      </c>
      <c r="H257" s="6" t="s">
        <v>19</v>
      </c>
      <c r="I257" s="6" t="s">
        <v>72</v>
      </c>
      <c r="J257" s="6" t="s">
        <v>47</v>
      </c>
      <c r="K257" s="6">
        <v>131154</v>
      </c>
      <c r="L257" s="6" t="s">
        <v>22</v>
      </c>
      <c r="M257" s="6">
        <v>0.23</v>
      </c>
      <c r="N257" s="6">
        <v>0.71</v>
      </c>
      <c r="O257" s="6">
        <v>23555.29</v>
      </c>
      <c r="P257" s="6">
        <v>0</v>
      </c>
      <c r="Q257" s="6">
        <f t="shared" ca="1" si="11"/>
        <v>54</v>
      </c>
      <c r="R257" s="6">
        <f t="shared" si="9"/>
        <v>-1885.2900000000009</v>
      </c>
      <c r="S257" s="7" t="str">
        <f t="shared" si="10"/>
        <v>Loss</v>
      </c>
    </row>
    <row r="258" spans="1:19" x14ac:dyDescent="0.3">
      <c r="A258" s="4" t="s">
        <v>557</v>
      </c>
      <c r="B258" s="5">
        <v>45177</v>
      </c>
      <c r="C258" s="6" t="s">
        <v>558</v>
      </c>
      <c r="D258" s="6" t="s">
        <v>53</v>
      </c>
      <c r="E258" s="6">
        <v>4738</v>
      </c>
      <c r="F258" s="6">
        <v>5.4</v>
      </c>
      <c r="G258" s="6">
        <v>36</v>
      </c>
      <c r="H258" s="6" t="s">
        <v>19</v>
      </c>
      <c r="I258" s="6" t="s">
        <v>27</v>
      </c>
      <c r="J258" s="6" t="s">
        <v>47</v>
      </c>
      <c r="K258" s="6">
        <v>143237</v>
      </c>
      <c r="L258" s="6" t="s">
        <v>33</v>
      </c>
      <c r="M258" s="6">
        <v>0.36</v>
      </c>
      <c r="N258" s="6">
        <v>0.88</v>
      </c>
      <c r="O258" s="6">
        <v>4993.8500000000004</v>
      </c>
      <c r="P258" s="6">
        <v>0</v>
      </c>
      <c r="Q258" s="6">
        <f t="shared" ca="1" si="11"/>
        <v>30</v>
      </c>
      <c r="R258" s="6">
        <f t="shared" ref="R258:R321" si="12">E258-O258</f>
        <v>-255.85000000000036</v>
      </c>
      <c r="S258" s="7" t="str">
        <f t="shared" ref="S258:S321" si="13">IF(R258&gt;=0, "Profit","Loss")</f>
        <v>Loss</v>
      </c>
    </row>
    <row r="259" spans="1:19" x14ac:dyDescent="0.3">
      <c r="A259" s="4" t="s">
        <v>559</v>
      </c>
      <c r="B259" s="5">
        <v>45124</v>
      </c>
      <c r="C259" s="6" t="s">
        <v>560</v>
      </c>
      <c r="D259" s="6" t="s">
        <v>75</v>
      </c>
      <c r="E259" s="6">
        <v>3469</v>
      </c>
      <c r="F259" s="6">
        <v>19.399999999999999</v>
      </c>
      <c r="G259" s="6">
        <v>36</v>
      </c>
      <c r="H259" s="6" t="s">
        <v>26</v>
      </c>
      <c r="I259" s="6" t="s">
        <v>27</v>
      </c>
      <c r="J259" s="6" t="s">
        <v>21</v>
      </c>
      <c r="K259" s="6">
        <v>62933</v>
      </c>
      <c r="L259" s="6" t="s">
        <v>33</v>
      </c>
      <c r="M259" s="6">
        <v>0.36</v>
      </c>
      <c r="N259" s="6">
        <v>0.55000000000000004</v>
      </c>
      <c r="O259" s="6">
        <v>690.49</v>
      </c>
      <c r="P259" s="6">
        <v>0</v>
      </c>
      <c r="Q259" s="6">
        <f t="shared" ref="Q259:Q322" ca="1" si="14">DATEDIF(B259,TODAY(),"M")</f>
        <v>32</v>
      </c>
      <c r="R259" s="6">
        <f t="shared" si="12"/>
        <v>2778.51</v>
      </c>
      <c r="S259" s="7" t="str">
        <f t="shared" si="13"/>
        <v>Profit</v>
      </c>
    </row>
    <row r="260" spans="1:19" x14ac:dyDescent="0.3">
      <c r="A260" s="4" t="s">
        <v>561</v>
      </c>
      <c r="B260" s="5">
        <v>44324</v>
      </c>
      <c r="C260" s="6" t="s">
        <v>562</v>
      </c>
      <c r="D260" s="6" t="s">
        <v>71</v>
      </c>
      <c r="E260" s="6">
        <v>23534</v>
      </c>
      <c r="F260" s="6">
        <v>13.4</v>
      </c>
      <c r="G260" s="6">
        <v>60</v>
      </c>
      <c r="H260" s="6" t="s">
        <v>19</v>
      </c>
      <c r="I260" s="6" t="s">
        <v>57</v>
      </c>
      <c r="J260" s="6" t="s">
        <v>21</v>
      </c>
      <c r="K260" s="6">
        <v>73469</v>
      </c>
      <c r="L260" s="6" t="s">
        <v>29</v>
      </c>
      <c r="M260" s="6">
        <v>0.2</v>
      </c>
      <c r="N260" s="6">
        <v>0.61</v>
      </c>
      <c r="O260" s="6">
        <v>26687.56</v>
      </c>
      <c r="P260" s="6">
        <v>0</v>
      </c>
      <c r="Q260" s="6">
        <f t="shared" ca="1" si="14"/>
        <v>58</v>
      </c>
      <c r="R260" s="6">
        <f t="shared" si="12"/>
        <v>-3153.5600000000013</v>
      </c>
      <c r="S260" s="7" t="str">
        <f t="shared" si="13"/>
        <v>Loss</v>
      </c>
    </row>
    <row r="261" spans="1:19" x14ac:dyDescent="0.3">
      <c r="A261" s="4" t="s">
        <v>563</v>
      </c>
      <c r="B261" s="5">
        <v>44214</v>
      </c>
      <c r="C261" s="6" t="s">
        <v>564</v>
      </c>
      <c r="D261" s="6" t="s">
        <v>75</v>
      </c>
      <c r="E261" s="6">
        <v>10017</v>
      </c>
      <c r="F261" s="6">
        <v>6.8</v>
      </c>
      <c r="G261" s="6">
        <v>36</v>
      </c>
      <c r="H261" s="6" t="s">
        <v>19</v>
      </c>
      <c r="I261" s="6" t="s">
        <v>72</v>
      </c>
      <c r="J261" s="6" t="s">
        <v>37</v>
      </c>
      <c r="K261" s="6">
        <v>63687</v>
      </c>
      <c r="L261" s="6" t="s">
        <v>22</v>
      </c>
      <c r="M261" s="6">
        <v>0.36</v>
      </c>
      <c r="N261" s="6">
        <v>0.87</v>
      </c>
      <c r="O261" s="6">
        <v>10698.16</v>
      </c>
      <c r="P261" s="6">
        <v>0</v>
      </c>
      <c r="Q261" s="6">
        <f t="shared" ca="1" si="14"/>
        <v>62</v>
      </c>
      <c r="R261" s="6">
        <f t="shared" si="12"/>
        <v>-681.15999999999985</v>
      </c>
      <c r="S261" s="7" t="str">
        <f t="shared" si="13"/>
        <v>Loss</v>
      </c>
    </row>
    <row r="262" spans="1:19" x14ac:dyDescent="0.3">
      <c r="A262" s="4" t="s">
        <v>565</v>
      </c>
      <c r="B262" s="5">
        <v>44762</v>
      </c>
      <c r="C262" s="6" t="s">
        <v>566</v>
      </c>
      <c r="D262" s="6" t="s">
        <v>71</v>
      </c>
      <c r="E262" s="6">
        <v>3808</v>
      </c>
      <c r="F262" s="6">
        <v>18.7</v>
      </c>
      <c r="G262" s="6">
        <v>60</v>
      </c>
      <c r="H262" s="6" t="s">
        <v>19</v>
      </c>
      <c r="I262" s="6" t="s">
        <v>83</v>
      </c>
      <c r="J262" s="6" t="s">
        <v>21</v>
      </c>
      <c r="K262" s="6">
        <v>136609</v>
      </c>
      <c r="L262" s="6" t="s">
        <v>22</v>
      </c>
      <c r="M262" s="6">
        <v>0.18</v>
      </c>
      <c r="N262" s="6">
        <v>0.67</v>
      </c>
      <c r="O262" s="6">
        <v>4520.1000000000004</v>
      </c>
      <c r="P262" s="6">
        <v>0</v>
      </c>
      <c r="Q262" s="6">
        <f t="shared" ca="1" si="14"/>
        <v>44</v>
      </c>
      <c r="R262" s="6">
        <f t="shared" si="12"/>
        <v>-712.10000000000036</v>
      </c>
      <c r="S262" s="7" t="str">
        <f t="shared" si="13"/>
        <v>Loss</v>
      </c>
    </row>
    <row r="263" spans="1:19" x14ac:dyDescent="0.3">
      <c r="A263" s="4" t="s">
        <v>567</v>
      </c>
      <c r="B263" s="5">
        <v>44766</v>
      </c>
      <c r="C263" s="6" t="s">
        <v>568</v>
      </c>
      <c r="D263" s="6" t="s">
        <v>46</v>
      </c>
      <c r="E263" s="6">
        <v>13713</v>
      </c>
      <c r="F263" s="6">
        <v>15.9</v>
      </c>
      <c r="G263" s="6">
        <v>36</v>
      </c>
      <c r="H263" s="6" t="s">
        <v>19</v>
      </c>
      <c r="I263" s="6" t="s">
        <v>20</v>
      </c>
      <c r="J263" s="6" t="s">
        <v>32</v>
      </c>
      <c r="K263" s="6">
        <v>82656</v>
      </c>
      <c r="L263" s="6" t="s">
        <v>22</v>
      </c>
      <c r="M263" s="6">
        <v>0.15</v>
      </c>
      <c r="N263" s="6">
        <v>0.94</v>
      </c>
      <c r="O263" s="6">
        <v>15893.37</v>
      </c>
      <c r="P263" s="6">
        <v>0</v>
      </c>
      <c r="Q263" s="6">
        <f t="shared" ca="1" si="14"/>
        <v>43</v>
      </c>
      <c r="R263" s="6">
        <f t="shared" si="12"/>
        <v>-2180.3700000000008</v>
      </c>
      <c r="S263" s="7" t="str">
        <f t="shared" si="13"/>
        <v>Loss</v>
      </c>
    </row>
    <row r="264" spans="1:19" x14ac:dyDescent="0.3">
      <c r="A264" s="4" t="s">
        <v>569</v>
      </c>
      <c r="B264" s="5">
        <v>44882</v>
      </c>
      <c r="C264" s="6" t="s">
        <v>570</v>
      </c>
      <c r="D264" s="6" t="s">
        <v>18</v>
      </c>
      <c r="E264" s="6">
        <v>3719</v>
      </c>
      <c r="F264" s="6">
        <v>24.6</v>
      </c>
      <c r="G264" s="6">
        <v>60</v>
      </c>
      <c r="H264" s="6" t="s">
        <v>19</v>
      </c>
      <c r="I264" s="6" t="s">
        <v>57</v>
      </c>
      <c r="J264" s="6" t="s">
        <v>37</v>
      </c>
      <c r="K264" s="6">
        <v>47375</v>
      </c>
      <c r="L264" s="6" t="s">
        <v>29</v>
      </c>
      <c r="M264" s="6">
        <v>0.38</v>
      </c>
      <c r="N264" s="6">
        <v>0.71</v>
      </c>
      <c r="O264" s="6">
        <v>4633.87</v>
      </c>
      <c r="P264" s="6">
        <v>0</v>
      </c>
      <c r="Q264" s="6">
        <f t="shared" ca="1" si="14"/>
        <v>40</v>
      </c>
      <c r="R264" s="6">
        <f t="shared" si="12"/>
        <v>-914.86999999999989</v>
      </c>
      <c r="S264" s="7" t="str">
        <f t="shared" si="13"/>
        <v>Loss</v>
      </c>
    </row>
    <row r="265" spans="1:19" x14ac:dyDescent="0.3">
      <c r="A265" s="4" t="s">
        <v>571</v>
      </c>
      <c r="B265" s="5">
        <v>44822</v>
      </c>
      <c r="C265" s="6" t="s">
        <v>572</v>
      </c>
      <c r="D265" s="6" t="s">
        <v>50</v>
      </c>
      <c r="E265" s="6">
        <v>23890</v>
      </c>
      <c r="F265" s="6">
        <v>9.5</v>
      </c>
      <c r="G265" s="6">
        <v>36</v>
      </c>
      <c r="H265" s="6" t="s">
        <v>19</v>
      </c>
      <c r="I265" s="6" t="s">
        <v>20</v>
      </c>
      <c r="J265" s="6" t="s">
        <v>28</v>
      </c>
      <c r="K265" s="6">
        <v>144019</v>
      </c>
      <c r="L265" s="6" t="s">
        <v>33</v>
      </c>
      <c r="M265" s="6">
        <v>0.15</v>
      </c>
      <c r="N265" s="6">
        <v>0.86</v>
      </c>
      <c r="O265" s="6">
        <v>26159.55</v>
      </c>
      <c r="P265" s="6">
        <v>0</v>
      </c>
      <c r="Q265" s="6">
        <f t="shared" ca="1" si="14"/>
        <v>42</v>
      </c>
      <c r="R265" s="6">
        <f t="shared" si="12"/>
        <v>-2269.5499999999993</v>
      </c>
      <c r="S265" s="7" t="str">
        <f t="shared" si="13"/>
        <v>Loss</v>
      </c>
    </row>
    <row r="266" spans="1:19" x14ac:dyDescent="0.3">
      <c r="A266" s="4" t="s">
        <v>573</v>
      </c>
      <c r="B266" s="5">
        <v>45050</v>
      </c>
      <c r="C266" s="6" t="s">
        <v>574</v>
      </c>
      <c r="D266" s="6" t="s">
        <v>53</v>
      </c>
      <c r="E266" s="6">
        <v>12700</v>
      </c>
      <c r="F266" s="6">
        <v>13.1</v>
      </c>
      <c r="G266" s="6">
        <v>60</v>
      </c>
      <c r="H266" s="6" t="s">
        <v>26</v>
      </c>
      <c r="I266" s="6" t="s">
        <v>57</v>
      </c>
      <c r="J266" s="6" t="s">
        <v>32</v>
      </c>
      <c r="K266" s="6">
        <v>95206</v>
      </c>
      <c r="L266" s="6" t="s">
        <v>29</v>
      </c>
      <c r="M266" s="6">
        <v>0.5</v>
      </c>
      <c r="N266" s="6">
        <v>0.68</v>
      </c>
      <c r="O266" s="6">
        <v>1313.12</v>
      </c>
      <c r="P266" s="6">
        <v>0</v>
      </c>
      <c r="Q266" s="6">
        <f t="shared" ca="1" si="14"/>
        <v>34</v>
      </c>
      <c r="R266" s="6">
        <f t="shared" si="12"/>
        <v>11386.880000000001</v>
      </c>
      <c r="S266" s="7" t="str">
        <f t="shared" si="13"/>
        <v>Profit</v>
      </c>
    </row>
    <row r="267" spans="1:19" x14ac:dyDescent="0.3">
      <c r="A267" s="4" t="s">
        <v>575</v>
      </c>
      <c r="B267" s="5">
        <v>45158</v>
      </c>
      <c r="C267" s="6" t="s">
        <v>576</v>
      </c>
      <c r="D267" s="6" t="s">
        <v>50</v>
      </c>
      <c r="E267" s="6">
        <v>37509</v>
      </c>
      <c r="F267" s="6">
        <v>15.9</v>
      </c>
      <c r="G267" s="6">
        <v>60</v>
      </c>
      <c r="H267" s="6" t="s">
        <v>19</v>
      </c>
      <c r="I267" s="6" t="s">
        <v>57</v>
      </c>
      <c r="J267" s="6" t="s">
        <v>37</v>
      </c>
      <c r="K267" s="6">
        <v>126462</v>
      </c>
      <c r="L267" s="6" t="s">
        <v>33</v>
      </c>
      <c r="M267" s="6">
        <v>0.17</v>
      </c>
      <c r="N267" s="6">
        <v>0.69</v>
      </c>
      <c r="O267" s="6">
        <v>43472.93</v>
      </c>
      <c r="P267" s="6">
        <v>0</v>
      </c>
      <c r="Q267" s="6">
        <f t="shared" ca="1" si="14"/>
        <v>31</v>
      </c>
      <c r="R267" s="6">
        <f t="shared" si="12"/>
        <v>-5963.93</v>
      </c>
      <c r="S267" s="7" t="str">
        <f t="shared" si="13"/>
        <v>Loss</v>
      </c>
    </row>
    <row r="268" spans="1:19" x14ac:dyDescent="0.3">
      <c r="A268" s="4" t="s">
        <v>577</v>
      </c>
      <c r="B268" s="5">
        <v>44351</v>
      </c>
      <c r="C268" s="6" t="s">
        <v>578</v>
      </c>
      <c r="D268" s="6" t="s">
        <v>53</v>
      </c>
      <c r="E268" s="6">
        <v>37766</v>
      </c>
      <c r="F268" s="6">
        <v>20.8</v>
      </c>
      <c r="G268" s="6">
        <v>60</v>
      </c>
      <c r="H268" s="6" t="s">
        <v>19</v>
      </c>
      <c r="I268" s="6" t="s">
        <v>27</v>
      </c>
      <c r="J268" s="6" t="s">
        <v>37</v>
      </c>
      <c r="K268" s="6">
        <v>66607</v>
      </c>
      <c r="L268" s="6" t="s">
        <v>29</v>
      </c>
      <c r="M268" s="6">
        <v>0.34</v>
      </c>
      <c r="N268" s="6">
        <v>0.67</v>
      </c>
      <c r="O268" s="6">
        <v>45621.33</v>
      </c>
      <c r="P268" s="6">
        <v>0</v>
      </c>
      <c r="Q268" s="6">
        <f t="shared" ca="1" si="14"/>
        <v>57</v>
      </c>
      <c r="R268" s="6">
        <f t="shared" si="12"/>
        <v>-7855.3300000000017</v>
      </c>
      <c r="S268" s="7" t="str">
        <f t="shared" si="13"/>
        <v>Loss</v>
      </c>
    </row>
    <row r="269" spans="1:19" x14ac:dyDescent="0.3">
      <c r="A269" s="4" t="s">
        <v>579</v>
      </c>
      <c r="B269" s="5">
        <v>44686</v>
      </c>
      <c r="C269" s="6" t="s">
        <v>580</v>
      </c>
      <c r="D269" s="6" t="s">
        <v>75</v>
      </c>
      <c r="E269" s="6">
        <v>27705</v>
      </c>
      <c r="F269" s="6">
        <v>16</v>
      </c>
      <c r="G269" s="6">
        <v>60</v>
      </c>
      <c r="H269" s="6" t="s">
        <v>19</v>
      </c>
      <c r="I269" s="6" t="s">
        <v>20</v>
      </c>
      <c r="J269" s="6" t="s">
        <v>47</v>
      </c>
      <c r="K269" s="6">
        <v>113178</v>
      </c>
      <c r="L269" s="6" t="s">
        <v>33</v>
      </c>
      <c r="M269" s="6">
        <v>0.26</v>
      </c>
      <c r="N269" s="6">
        <v>0.82</v>
      </c>
      <c r="O269" s="6">
        <v>32137.8</v>
      </c>
      <c r="P269" s="6">
        <v>0</v>
      </c>
      <c r="Q269" s="6">
        <f t="shared" ca="1" si="14"/>
        <v>46</v>
      </c>
      <c r="R269" s="6">
        <f t="shared" si="12"/>
        <v>-4432.7999999999993</v>
      </c>
      <c r="S269" s="7" t="str">
        <f t="shared" si="13"/>
        <v>Loss</v>
      </c>
    </row>
    <row r="270" spans="1:19" x14ac:dyDescent="0.3">
      <c r="A270" s="4" t="s">
        <v>581</v>
      </c>
      <c r="B270" s="5">
        <v>44981</v>
      </c>
      <c r="C270" s="6" t="s">
        <v>582</v>
      </c>
      <c r="D270" s="6" t="s">
        <v>18</v>
      </c>
      <c r="E270" s="6">
        <v>19787</v>
      </c>
      <c r="F270" s="6">
        <v>17.3</v>
      </c>
      <c r="G270" s="6">
        <v>36</v>
      </c>
      <c r="H270" s="6" t="s">
        <v>19</v>
      </c>
      <c r="I270" s="6" t="s">
        <v>72</v>
      </c>
      <c r="J270" s="6" t="s">
        <v>37</v>
      </c>
      <c r="K270" s="6">
        <v>53993</v>
      </c>
      <c r="L270" s="6" t="s">
        <v>22</v>
      </c>
      <c r="M270" s="6">
        <v>0.15</v>
      </c>
      <c r="N270" s="6">
        <v>0.75</v>
      </c>
      <c r="O270" s="6">
        <v>23210.15</v>
      </c>
      <c r="P270" s="6">
        <v>0</v>
      </c>
      <c r="Q270" s="6">
        <f t="shared" ca="1" si="14"/>
        <v>36</v>
      </c>
      <c r="R270" s="6">
        <f t="shared" si="12"/>
        <v>-3423.1500000000015</v>
      </c>
      <c r="S270" s="7" t="str">
        <f t="shared" si="13"/>
        <v>Loss</v>
      </c>
    </row>
    <row r="271" spans="1:19" x14ac:dyDescent="0.3">
      <c r="A271" s="4" t="s">
        <v>583</v>
      </c>
      <c r="B271" s="5">
        <v>44442</v>
      </c>
      <c r="C271" s="6" t="s">
        <v>584</v>
      </c>
      <c r="D271" s="6" t="s">
        <v>75</v>
      </c>
      <c r="E271" s="6">
        <v>27588</v>
      </c>
      <c r="F271" s="6">
        <v>9.5</v>
      </c>
      <c r="G271" s="6">
        <v>36</v>
      </c>
      <c r="H271" s="6" t="s">
        <v>80</v>
      </c>
      <c r="I271" s="6" t="s">
        <v>72</v>
      </c>
      <c r="J271" s="6" t="s">
        <v>32</v>
      </c>
      <c r="K271" s="6">
        <v>74386</v>
      </c>
      <c r="L271" s="6" t="s">
        <v>22</v>
      </c>
      <c r="M271" s="6">
        <v>0.11</v>
      </c>
      <c r="N271" s="6">
        <v>0.92</v>
      </c>
      <c r="O271" s="6">
        <v>7479.55</v>
      </c>
      <c r="P271" s="6">
        <v>6127.76</v>
      </c>
      <c r="Q271" s="6">
        <f t="shared" ca="1" si="14"/>
        <v>54</v>
      </c>
      <c r="R271" s="6">
        <f t="shared" si="12"/>
        <v>20108.45</v>
      </c>
      <c r="S271" s="7" t="str">
        <f t="shared" si="13"/>
        <v>Profit</v>
      </c>
    </row>
    <row r="272" spans="1:19" x14ac:dyDescent="0.3">
      <c r="A272" s="4" t="s">
        <v>585</v>
      </c>
      <c r="B272" s="5">
        <v>45259</v>
      </c>
      <c r="C272" s="6" t="s">
        <v>586</v>
      </c>
      <c r="D272" s="6" t="s">
        <v>75</v>
      </c>
      <c r="E272" s="6">
        <v>27123</v>
      </c>
      <c r="F272" s="6">
        <v>21.9</v>
      </c>
      <c r="G272" s="6">
        <v>60</v>
      </c>
      <c r="H272" s="6" t="s">
        <v>19</v>
      </c>
      <c r="I272" s="6" t="s">
        <v>72</v>
      </c>
      <c r="J272" s="6" t="s">
        <v>21</v>
      </c>
      <c r="K272" s="6">
        <v>76287</v>
      </c>
      <c r="L272" s="6" t="s">
        <v>22</v>
      </c>
      <c r="M272" s="6">
        <v>0.35</v>
      </c>
      <c r="N272" s="6">
        <v>0.61</v>
      </c>
      <c r="O272" s="6">
        <v>33062.94</v>
      </c>
      <c r="P272" s="6">
        <v>0</v>
      </c>
      <c r="Q272" s="6">
        <f t="shared" ca="1" si="14"/>
        <v>27</v>
      </c>
      <c r="R272" s="6">
        <f t="shared" si="12"/>
        <v>-5939.9400000000023</v>
      </c>
      <c r="S272" s="7" t="str">
        <f t="shared" si="13"/>
        <v>Loss</v>
      </c>
    </row>
    <row r="273" spans="1:19" x14ac:dyDescent="0.3">
      <c r="A273" s="4" t="s">
        <v>587</v>
      </c>
      <c r="B273" s="5">
        <v>44955</v>
      </c>
      <c r="C273" s="6" t="s">
        <v>588</v>
      </c>
      <c r="D273" s="6" t="s">
        <v>71</v>
      </c>
      <c r="E273" s="6">
        <v>34062</v>
      </c>
      <c r="F273" s="6">
        <v>13.6</v>
      </c>
      <c r="G273" s="6">
        <v>36</v>
      </c>
      <c r="H273" s="6" t="s">
        <v>80</v>
      </c>
      <c r="I273" s="6" t="s">
        <v>27</v>
      </c>
      <c r="J273" s="6" t="s">
        <v>32</v>
      </c>
      <c r="K273" s="6">
        <v>116724</v>
      </c>
      <c r="L273" s="6" t="s">
        <v>29</v>
      </c>
      <c r="M273" s="6">
        <v>0.42</v>
      </c>
      <c r="N273" s="6">
        <v>0.55000000000000004</v>
      </c>
      <c r="O273" s="6">
        <v>12667.87</v>
      </c>
      <c r="P273" s="6">
        <v>12334.49</v>
      </c>
      <c r="Q273" s="6">
        <f t="shared" ca="1" si="14"/>
        <v>37</v>
      </c>
      <c r="R273" s="6">
        <f t="shared" si="12"/>
        <v>21394.129999999997</v>
      </c>
      <c r="S273" s="7" t="str">
        <f t="shared" si="13"/>
        <v>Profit</v>
      </c>
    </row>
    <row r="274" spans="1:19" x14ac:dyDescent="0.3">
      <c r="A274" s="4" t="s">
        <v>589</v>
      </c>
      <c r="B274" s="5">
        <v>44734</v>
      </c>
      <c r="C274" s="6" t="s">
        <v>590</v>
      </c>
      <c r="D274" s="6" t="s">
        <v>64</v>
      </c>
      <c r="E274" s="6">
        <v>11177</v>
      </c>
      <c r="F274" s="6">
        <v>7.8</v>
      </c>
      <c r="G274" s="6">
        <v>36</v>
      </c>
      <c r="H274" s="6" t="s">
        <v>19</v>
      </c>
      <c r="I274" s="6" t="s">
        <v>57</v>
      </c>
      <c r="J274" s="6" t="s">
        <v>28</v>
      </c>
      <c r="K274" s="6">
        <v>128132</v>
      </c>
      <c r="L274" s="6" t="s">
        <v>29</v>
      </c>
      <c r="M274" s="6">
        <v>0.44</v>
      </c>
      <c r="N274" s="6">
        <v>0.68</v>
      </c>
      <c r="O274" s="6">
        <v>12048.81</v>
      </c>
      <c r="P274" s="6">
        <v>0</v>
      </c>
      <c r="Q274" s="6">
        <f t="shared" ca="1" si="14"/>
        <v>44</v>
      </c>
      <c r="R274" s="6">
        <f t="shared" si="12"/>
        <v>-871.80999999999949</v>
      </c>
      <c r="S274" s="7" t="str">
        <f t="shared" si="13"/>
        <v>Loss</v>
      </c>
    </row>
    <row r="275" spans="1:19" x14ac:dyDescent="0.3">
      <c r="A275" s="4" t="s">
        <v>591</v>
      </c>
      <c r="B275" s="5">
        <v>45117</v>
      </c>
      <c r="C275" s="6" t="s">
        <v>592</v>
      </c>
      <c r="D275" s="6" t="s">
        <v>56</v>
      </c>
      <c r="E275" s="6">
        <v>22727</v>
      </c>
      <c r="F275" s="6">
        <v>18.3</v>
      </c>
      <c r="G275" s="6">
        <v>36</v>
      </c>
      <c r="H275" s="6" t="s">
        <v>26</v>
      </c>
      <c r="I275" s="6" t="s">
        <v>36</v>
      </c>
      <c r="J275" s="6" t="s">
        <v>37</v>
      </c>
      <c r="K275" s="6">
        <v>123308</v>
      </c>
      <c r="L275" s="6" t="s">
        <v>29</v>
      </c>
      <c r="M275" s="6">
        <v>0.28999999999999998</v>
      </c>
      <c r="N275" s="6">
        <v>0.78</v>
      </c>
      <c r="O275" s="6">
        <v>9155.07</v>
      </c>
      <c r="P275" s="6">
        <v>0</v>
      </c>
      <c r="Q275" s="6">
        <f t="shared" ca="1" si="14"/>
        <v>32</v>
      </c>
      <c r="R275" s="6">
        <f t="shared" si="12"/>
        <v>13571.93</v>
      </c>
      <c r="S275" s="7" t="str">
        <f t="shared" si="13"/>
        <v>Profit</v>
      </c>
    </row>
    <row r="276" spans="1:19" x14ac:dyDescent="0.3">
      <c r="A276" s="4" t="s">
        <v>593</v>
      </c>
      <c r="B276" s="5">
        <v>44604</v>
      </c>
      <c r="C276" s="6" t="s">
        <v>594</v>
      </c>
      <c r="D276" s="6" t="s">
        <v>25</v>
      </c>
      <c r="E276" s="6">
        <v>31220</v>
      </c>
      <c r="F276" s="6">
        <v>9.3000000000000007</v>
      </c>
      <c r="G276" s="6">
        <v>36</v>
      </c>
      <c r="H276" s="6" t="s">
        <v>19</v>
      </c>
      <c r="I276" s="6" t="s">
        <v>72</v>
      </c>
      <c r="J276" s="6" t="s">
        <v>37</v>
      </c>
      <c r="K276" s="6">
        <v>126393</v>
      </c>
      <c r="L276" s="6" t="s">
        <v>22</v>
      </c>
      <c r="M276" s="6">
        <v>0.41</v>
      </c>
      <c r="N276" s="6">
        <v>0.89</v>
      </c>
      <c r="O276" s="6">
        <v>34123.46</v>
      </c>
      <c r="P276" s="6">
        <v>0</v>
      </c>
      <c r="Q276" s="6">
        <f t="shared" ca="1" si="14"/>
        <v>49</v>
      </c>
      <c r="R276" s="6">
        <f t="shared" si="12"/>
        <v>-2903.4599999999991</v>
      </c>
      <c r="S276" s="7" t="str">
        <f t="shared" si="13"/>
        <v>Loss</v>
      </c>
    </row>
    <row r="277" spans="1:19" x14ac:dyDescent="0.3">
      <c r="A277" s="4" t="s">
        <v>595</v>
      </c>
      <c r="B277" s="5">
        <v>44721</v>
      </c>
      <c r="C277" s="6" t="s">
        <v>596</v>
      </c>
      <c r="D277" s="6" t="s">
        <v>50</v>
      </c>
      <c r="E277" s="6">
        <v>10882</v>
      </c>
      <c r="F277" s="6">
        <v>7</v>
      </c>
      <c r="G277" s="6">
        <v>36</v>
      </c>
      <c r="H277" s="6" t="s">
        <v>26</v>
      </c>
      <c r="I277" s="6" t="s">
        <v>72</v>
      </c>
      <c r="J277" s="6" t="s">
        <v>37</v>
      </c>
      <c r="K277" s="6">
        <v>106312</v>
      </c>
      <c r="L277" s="6" t="s">
        <v>33</v>
      </c>
      <c r="M277" s="6">
        <v>0.37</v>
      </c>
      <c r="N277" s="6">
        <v>0.66</v>
      </c>
      <c r="O277" s="6">
        <v>3592.5</v>
      </c>
      <c r="P277" s="6">
        <v>0</v>
      </c>
      <c r="Q277" s="6">
        <f t="shared" ca="1" si="14"/>
        <v>45</v>
      </c>
      <c r="R277" s="6">
        <f t="shared" si="12"/>
        <v>7289.5</v>
      </c>
      <c r="S277" s="7" t="str">
        <f t="shared" si="13"/>
        <v>Profit</v>
      </c>
    </row>
    <row r="278" spans="1:19" x14ac:dyDescent="0.3">
      <c r="A278" s="4" t="s">
        <v>597</v>
      </c>
      <c r="B278" s="5">
        <v>45024</v>
      </c>
      <c r="C278" s="6" t="s">
        <v>598</v>
      </c>
      <c r="D278" s="6" t="s">
        <v>46</v>
      </c>
      <c r="E278" s="6">
        <v>2136</v>
      </c>
      <c r="F278" s="6">
        <v>22.2</v>
      </c>
      <c r="G278" s="6">
        <v>60</v>
      </c>
      <c r="H278" s="6" t="s">
        <v>19</v>
      </c>
      <c r="I278" s="6" t="s">
        <v>83</v>
      </c>
      <c r="J278" s="6" t="s">
        <v>37</v>
      </c>
      <c r="K278" s="6">
        <v>128371</v>
      </c>
      <c r="L278" s="6" t="s">
        <v>22</v>
      </c>
      <c r="M278" s="6">
        <v>0.39</v>
      </c>
      <c r="N278" s="6">
        <v>0.79</v>
      </c>
      <c r="O278" s="6">
        <v>2610.19</v>
      </c>
      <c r="P278" s="6">
        <v>0</v>
      </c>
      <c r="Q278" s="6">
        <f t="shared" ca="1" si="14"/>
        <v>35</v>
      </c>
      <c r="R278" s="6">
        <f t="shared" si="12"/>
        <v>-474.19000000000005</v>
      </c>
      <c r="S278" s="7" t="str">
        <f t="shared" si="13"/>
        <v>Loss</v>
      </c>
    </row>
    <row r="279" spans="1:19" x14ac:dyDescent="0.3">
      <c r="A279" s="4" t="s">
        <v>599</v>
      </c>
      <c r="B279" s="5">
        <v>45099</v>
      </c>
      <c r="C279" s="6" t="s">
        <v>600</v>
      </c>
      <c r="D279" s="6" t="s">
        <v>53</v>
      </c>
      <c r="E279" s="6">
        <v>35832</v>
      </c>
      <c r="F279" s="6">
        <v>14.2</v>
      </c>
      <c r="G279" s="6">
        <v>60</v>
      </c>
      <c r="H279" s="6" t="s">
        <v>19</v>
      </c>
      <c r="I279" s="6" t="s">
        <v>57</v>
      </c>
      <c r="J279" s="6" t="s">
        <v>47</v>
      </c>
      <c r="K279" s="6">
        <v>105324</v>
      </c>
      <c r="L279" s="6" t="s">
        <v>22</v>
      </c>
      <c r="M279" s="6">
        <v>0.3</v>
      </c>
      <c r="N279" s="6">
        <v>0.66</v>
      </c>
      <c r="O279" s="6">
        <v>40920.14</v>
      </c>
      <c r="P279" s="6">
        <v>0</v>
      </c>
      <c r="Q279" s="6">
        <f t="shared" ca="1" si="14"/>
        <v>32</v>
      </c>
      <c r="R279" s="6">
        <f t="shared" si="12"/>
        <v>-5088.1399999999994</v>
      </c>
      <c r="S279" s="7" t="str">
        <f t="shared" si="13"/>
        <v>Loss</v>
      </c>
    </row>
    <row r="280" spans="1:19" x14ac:dyDescent="0.3">
      <c r="A280" s="4" t="s">
        <v>601</v>
      </c>
      <c r="B280" s="5">
        <v>44232</v>
      </c>
      <c r="C280" s="6" t="s">
        <v>602</v>
      </c>
      <c r="D280" s="6" t="s">
        <v>75</v>
      </c>
      <c r="E280" s="6">
        <v>32966</v>
      </c>
      <c r="F280" s="6">
        <v>20</v>
      </c>
      <c r="G280" s="6">
        <v>60</v>
      </c>
      <c r="H280" s="6" t="s">
        <v>26</v>
      </c>
      <c r="I280" s="6" t="s">
        <v>20</v>
      </c>
      <c r="J280" s="6" t="s">
        <v>47</v>
      </c>
      <c r="K280" s="6">
        <v>101196</v>
      </c>
      <c r="L280" s="6" t="s">
        <v>33</v>
      </c>
      <c r="M280" s="6">
        <v>0.35</v>
      </c>
      <c r="N280" s="6">
        <v>0.78</v>
      </c>
      <c r="O280" s="6">
        <v>6322.07</v>
      </c>
      <c r="P280" s="6">
        <v>0</v>
      </c>
      <c r="Q280" s="6">
        <f t="shared" ca="1" si="14"/>
        <v>61</v>
      </c>
      <c r="R280" s="6">
        <f t="shared" si="12"/>
        <v>26643.93</v>
      </c>
      <c r="S280" s="7" t="str">
        <f t="shared" si="13"/>
        <v>Profit</v>
      </c>
    </row>
    <row r="281" spans="1:19" x14ac:dyDescent="0.3">
      <c r="A281" s="4" t="s">
        <v>603</v>
      </c>
      <c r="B281" s="5">
        <v>44881</v>
      </c>
      <c r="C281" s="6" t="s">
        <v>604</v>
      </c>
      <c r="D281" s="6" t="s">
        <v>64</v>
      </c>
      <c r="E281" s="6">
        <v>8009</v>
      </c>
      <c r="F281" s="6">
        <v>10.8</v>
      </c>
      <c r="G281" s="6">
        <v>60</v>
      </c>
      <c r="H281" s="6" t="s">
        <v>26</v>
      </c>
      <c r="I281" s="6" t="s">
        <v>27</v>
      </c>
      <c r="J281" s="6" t="s">
        <v>21</v>
      </c>
      <c r="K281" s="6">
        <v>100014</v>
      </c>
      <c r="L281" s="6" t="s">
        <v>33</v>
      </c>
      <c r="M281" s="6">
        <v>0.42</v>
      </c>
      <c r="N281" s="6">
        <v>0.9</v>
      </c>
      <c r="O281" s="6">
        <v>2353.41</v>
      </c>
      <c r="P281" s="6">
        <v>0</v>
      </c>
      <c r="Q281" s="6">
        <f t="shared" ca="1" si="14"/>
        <v>40</v>
      </c>
      <c r="R281" s="6">
        <f t="shared" si="12"/>
        <v>5655.59</v>
      </c>
      <c r="S281" s="7" t="str">
        <f t="shared" si="13"/>
        <v>Profit</v>
      </c>
    </row>
    <row r="282" spans="1:19" x14ac:dyDescent="0.3">
      <c r="A282" s="4" t="s">
        <v>605</v>
      </c>
      <c r="B282" s="5">
        <v>44216</v>
      </c>
      <c r="C282" s="6" t="s">
        <v>606</v>
      </c>
      <c r="D282" s="6" t="s">
        <v>75</v>
      </c>
      <c r="E282" s="6">
        <v>13987</v>
      </c>
      <c r="F282" s="6">
        <v>20.7</v>
      </c>
      <c r="G282" s="6">
        <v>36</v>
      </c>
      <c r="H282" s="6" t="s">
        <v>19</v>
      </c>
      <c r="I282" s="6" t="s">
        <v>72</v>
      </c>
      <c r="J282" s="6" t="s">
        <v>37</v>
      </c>
      <c r="K282" s="6">
        <v>38210</v>
      </c>
      <c r="L282" s="6" t="s">
        <v>33</v>
      </c>
      <c r="M282" s="6">
        <v>0.26</v>
      </c>
      <c r="N282" s="6">
        <v>0.6</v>
      </c>
      <c r="O282" s="6">
        <v>16882.310000000001</v>
      </c>
      <c r="P282" s="6">
        <v>0</v>
      </c>
      <c r="Q282" s="6">
        <f t="shared" ca="1" si="14"/>
        <v>62</v>
      </c>
      <c r="R282" s="6">
        <f t="shared" si="12"/>
        <v>-2895.3100000000013</v>
      </c>
      <c r="S282" s="7" t="str">
        <f t="shared" si="13"/>
        <v>Loss</v>
      </c>
    </row>
    <row r="283" spans="1:19" x14ac:dyDescent="0.3">
      <c r="A283" s="4" t="s">
        <v>607</v>
      </c>
      <c r="B283" s="5">
        <v>44517</v>
      </c>
      <c r="C283" s="6" t="s">
        <v>608</v>
      </c>
      <c r="D283" s="6" t="s">
        <v>18</v>
      </c>
      <c r="E283" s="6">
        <v>38311</v>
      </c>
      <c r="F283" s="6">
        <v>7.2</v>
      </c>
      <c r="G283" s="6">
        <v>36</v>
      </c>
      <c r="H283" s="6" t="s">
        <v>19</v>
      </c>
      <c r="I283" s="6" t="s">
        <v>36</v>
      </c>
      <c r="J283" s="6" t="s">
        <v>28</v>
      </c>
      <c r="K283" s="6">
        <v>40922</v>
      </c>
      <c r="L283" s="6" t="s">
        <v>33</v>
      </c>
      <c r="M283" s="6">
        <v>0.42</v>
      </c>
      <c r="N283" s="6">
        <v>0.68</v>
      </c>
      <c r="O283" s="6">
        <v>41069.39</v>
      </c>
      <c r="P283" s="6">
        <v>0</v>
      </c>
      <c r="Q283" s="6">
        <f t="shared" ca="1" si="14"/>
        <v>52</v>
      </c>
      <c r="R283" s="6">
        <f t="shared" si="12"/>
        <v>-2758.3899999999994</v>
      </c>
      <c r="S283" s="7" t="str">
        <f t="shared" si="13"/>
        <v>Loss</v>
      </c>
    </row>
    <row r="284" spans="1:19" x14ac:dyDescent="0.3">
      <c r="A284" s="4" t="s">
        <v>609</v>
      </c>
      <c r="B284" s="5">
        <v>44708</v>
      </c>
      <c r="C284" s="6" t="s">
        <v>610</v>
      </c>
      <c r="D284" s="6" t="s">
        <v>71</v>
      </c>
      <c r="E284" s="6">
        <v>32575</v>
      </c>
      <c r="F284" s="6">
        <v>12.1</v>
      </c>
      <c r="G284" s="6">
        <v>60</v>
      </c>
      <c r="H284" s="6" t="s">
        <v>19</v>
      </c>
      <c r="I284" s="6" t="s">
        <v>41</v>
      </c>
      <c r="J284" s="6" t="s">
        <v>21</v>
      </c>
      <c r="K284" s="6">
        <v>66289</v>
      </c>
      <c r="L284" s="6" t="s">
        <v>22</v>
      </c>
      <c r="M284" s="6">
        <v>0.34</v>
      </c>
      <c r="N284" s="6">
        <v>0.95</v>
      </c>
      <c r="O284" s="6">
        <v>36516.57</v>
      </c>
      <c r="P284" s="6">
        <v>0</v>
      </c>
      <c r="Q284" s="6">
        <f t="shared" ca="1" si="14"/>
        <v>45</v>
      </c>
      <c r="R284" s="6">
        <f t="shared" si="12"/>
        <v>-3941.5699999999997</v>
      </c>
      <c r="S284" s="7" t="str">
        <f t="shared" si="13"/>
        <v>Loss</v>
      </c>
    </row>
    <row r="285" spans="1:19" x14ac:dyDescent="0.3">
      <c r="A285" s="4" t="s">
        <v>611</v>
      </c>
      <c r="B285" s="5">
        <v>44596</v>
      </c>
      <c r="C285" s="6" t="s">
        <v>612</v>
      </c>
      <c r="D285" s="6" t="s">
        <v>46</v>
      </c>
      <c r="E285" s="6">
        <v>2007</v>
      </c>
      <c r="F285" s="6">
        <v>24.6</v>
      </c>
      <c r="G285" s="6">
        <v>36</v>
      </c>
      <c r="H285" s="6" t="s">
        <v>26</v>
      </c>
      <c r="I285" s="6" t="s">
        <v>57</v>
      </c>
      <c r="J285" s="6" t="s">
        <v>37</v>
      </c>
      <c r="K285" s="6">
        <v>63340</v>
      </c>
      <c r="L285" s="6" t="s">
        <v>29</v>
      </c>
      <c r="M285" s="6">
        <v>0.17</v>
      </c>
      <c r="N285" s="6">
        <v>0.89</v>
      </c>
      <c r="O285" s="6">
        <v>182.76</v>
      </c>
      <c r="P285" s="6">
        <v>0</v>
      </c>
      <c r="Q285" s="6">
        <f t="shared" ca="1" si="14"/>
        <v>49</v>
      </c>
      <c r="R285" s="6">
        <f t="shared" si="12"/>
        <v>1824.24</v>
      </c>
      <c r="S285" s="7" t="str">
        <f t="shared" si="13"/>
        <v>Profit</v>
      </c>
    </row>
    <row r="286" spans="1:19" x14ac:dyDescent="0.3">
      <c r="A286" s="4" t="s">
        <v>613</v>
      </c>
      <c r="B286" s="5">
        <v>44850</v>
      </c>
      <c r="C286" s="6" t="s">
        <v>614</v>
      </c>
      <c r="D286" s="6" t="s">
        <v>56</v>
      </c>
      <c r="E286" s="6">
        <v>6445</v>
      </c>
      <c r="F286" s="6">
        <v>20.9</v>
      </c>
      <c r="G286" s="6">
        <v>36</v>
      </c>
      <c r="H286" s="6" t="s">
        <v>19</v>
      </c>
      <c r="I286" s="6" t="s">
        <v>57</v>
      </c>
      <c r="J286" s="6" t="s">
        <v>47</v>
      </c>
      <c r="K286" s="6">
        <v>69850</v>
      </c>
      <c r="L286" s="6" t="s">
        <v>22</v>
      </c>
      <c r="M286" s="6">
        <v>0.11</v>
      </c>
      <c r="N286" s="6">
        <v>0.75</v>
      </c>
      <c r="O286" s="6">
        <v>7792</v>
      </c>
      <c r="P286" s="6">
        <v>0</v>
      </c>
      <c r="Q286" s="6">
        <f t="shared" ca="1" si="14"/>
        <v>41</v>
      </c>
      <c r="R286" s="6">
        <f t="shared" si="12"/>
        <v>-1347</v>
      </c>
      <c r="S286" s="7" t="str">
        <f t="shared" si="13"/>
        <v>Loss</v>
      </c>
    </row>
    <row r="287" spans="1:19" x14ac:dyDescent="0.3">
      <c r="A287" s="4" t="s">
        <v>615</v>
      </c>
      <c r="B287" s="5">
        <v>45168</v>
      </c>
      <c r="C287" s="6" t="s">
        <v>616</v>
      </c>
      <c r="D287" s="6" t="s">
        <v>18</v>
      </c>
      <c r="E287" s="6">
        <v>11706</v>
      </c>
      <c r="F287" s="6">
        <v>14.9</v>
      </c>
      <c r="G287" s="6">
        <v>60</v>
      </c>
      <c r="H287" s="6" t="s">
        <v>19</v>
      </c>
      <c r="I287" s="6" t="s">
        <v>57</v>
      </c>
      <c r="J287" s="6" t="s">
        <v>28</v>
      </c>
      <c r="K287" s="6">
        <v>86984</v>
      </c>
      <c r="L287" s="6" t="s">
        <v>33</v>
      </c>
      <c r="M287" s="6">
        <v>0.25</v>
      </c>
      <c r="N287" s="6">
        <v>0.73</v>
      </c>
      <c r="O287" s="6">
        <v>13450.19</v>
      </c>
      <c r="P287" s="6">
        <v>0</v>
      </c>
      <c r="Q287" s="6">
        <f t="shared" ca="1" si="14"/>
        <v>30</v>
      </c>
      <c r="R287" s="6">
        <f t="shared" si="12"/>
        <v>-1744.1900000000005</v>
      </c>
      <c r="S287" s="7" t="str">
        <f t="shared" si="13"/>
        <v>Loss</v>
      </c>
    </row>
    <row r="288" spans="1:19" x14ac:dyDescent="0.3">
      <c r="A288" s="4" t="s">
        <v>617</v>
      </c>
      <c r="B288" s="5">
        <v>44667</v>
      </c>
      <c r="C288" s="6" t="s">
        <v>618</v>
      </c>
      <c r="D288" s="6" t="s">
        <v>40</v>
      </c>
      <c r="E288" s="6">
        <v>30257</v>
      </c>
      <c r="F288" s="6">
        <v>11.8</v>
      </c>
      <c r="G288" s="6">
        <v>36</v>
      </c>
      <c r="H288" s="6" t="s">
        <v>26</v>
      </c>
      <c r="I288" s="6" t="s">
        <v>57</v>
      </c>
      <c r="J288" s="6" t="s">
        <v>21</v>
      </c>
      <c r="K288" s="6">
        <v>133699</v>
      </c>
      <c r="L288" s="6" t="s">
        <v>29</v>
      </c>
      <c r="M288" s="6">
        <v>0.32</v>
      </c>
      <c r="N288" s="6">
        <v>0.63</v>
      </c>
      <c r="O288" s="6">
        <v>10757.13</v>
      </c>
      <c r="P288" s="6">
        <v>0</v>
      </c>
      <c r="Q288" s="6">
        <f t="shared" ca="1" si="14"/>
        <v>47</v>
      </c>
      <c r="R288" s="6">
        <f t="shared" si="12"/>
        <v>19499.870000000003</v>
      </c>
      <c r="S288" s="7" t="str">
        <f t="shared" si="13"/>
        <v>Profit</v>
      </c>
    </row>
    <row r="289" spans="1:19" x14ac:dyDescent="0.3">
      <c r="A289" s="4" t="s">
        <v>619</v>
      </c>
      <c r="B289" s="5">
        <v>45030</v>
      </c>
      <c r="C289" s="6" t="s">
        <v>620</v>
      </c>
      <c r="D289" s="6" t="s">
        <v>46</v>
      </c>
      <c r="E289" s="6">
        <v>22736</v>
      </c>
      <c r="F289" s="6">
        <v>22.4</v>
      </c>
      <c r="G289" s="6">
        <v>60</v>
      </c>
      <c r="H289" s="6" t="s">
        <v>80</v>
      </c>
      <c r="I289" s="6" t="s">
        <v>83</v>
      </c>
      <c r="J289" s="6" t="s">
        <v>28</v>
      </c>
      <c r="K289" s="6">
        <v>143711</v>
      </c>
      <c r="L289" s="6" t="s">
        <v>29</v>
      </c>
      <c r="M289" s="6">
        <v>0.44</v>
      </c>
      <c r="N289" s="6">
        <v>0.73</v>
      </c>
      <c r="O289" s="6">
        <v>7219.33</v>
      </c>
      <c r="P289" s="6">
        <v>8265.9599999999991</v>
      </c>
      <c r="Q289" s="6">
        <f t="shared" ca="1" si="14"/>
        <v>35</v>
      </c>
      <c r="R289" s="6">
        <f t="shared" si="12"/>
        <v>15516.67</v>
      </c>
      <c r="S289" s="7" t="str">
        <f t="shared" si="13"/>
        <v>Profit</v>
      </c>
    </row>
    <row r="290" spans="1:19" x14ac:dyDescent="0.3">
      <c r="A290" s="4" t="s">
        <v>621</v>
      </c>
      <c r="B290" s="5">
        <v>44923</v>
      </c>
      <c r="C290" s="6" t="s">
        <v>622</v>
      </c>
      <c r="D290" s="6" t="s">
        <v>75</v>
      </c>
      <c r="E290" s="6">
        <v>14281</v>
      </c>
      <c r="F290" s="6">
        <v>15.9</v>
      </c>
      <c r="G290" s="6">
        <v>60</v>
      </c>
      <c r="H290" s="6" t="s">
        <v>26</v>
      </c>
      <c r="I290" s="6" t="s">
        <v>27</v>
      </c>
      <c r="J290" s="6" t="s">
        <v>37</v>
      </c>
      <c r="K290" s="6">
        <v>114178</v>
      </c>
      <c r="L290" s="6" t="s">
        <v>22</v>
      </c>
      <c r="M290" s="6">
        <v>0.15</v>
      </c>
      <c r="N290" s="6">
        <v>0.88</v>
      </c>
      <c r="O290" s="6">
        <v>6915.78</v>
      </c>
      <c r="P290" s="6">
        <v>0</v>
      </c>
      <c r="Q290" s="6">
        <f t="shared" ca="1" si="14"/>
        <v>38</v>
      </c>
      <c r="R290" s="6">
        <f t="shared" si="12"/>
        <v>7365.22</v>
      </c>
      <c r="S290" s="7" t="str">
        <f t="shared" si="13"/>
        <v>Profit</v>
      </c>
    </row>
    <row r="291" spans="1:19" x14ac:dyDescent="0.3">
      <c r="A291" s="4" t="s">
        <v>623</v>
      </c>
      <c r="B291" s="5">
        <v>45050</v>
      </c>
      <c r="C291" s="6" t="s">
        <v>624</v>
      </c>
      <c r="D291" s="6" t="s">
        <v>18</v>
      </c>
      <c r="E291" s="6">
        <v>2435</v>
      </c>
      <c r="F291" s="6">
        <v>20.2</v>
      </c>
      <c r="G291" s="6">
        <v>36</v>
      </c>
      <c r="H291" s="6" t="s">
        <v>26</v>
      </c>
      <c r="I291" s="6" t="s">
        <v>72</v>
      </c>
      <c r="J291" s="6" t="s">
        <v>32</v>
      </c>
      <c r="K291" s="6">
        <v>41094</v>
      </c>
      <c r="L291" s="6" t="s">
        <v>22</v>
      </c>
      <c r="M291" s="6">
        <v>0.42</v>
      </c>
      <c r="N291" s="6">
        <v>0.81</v>
      </c>
      <c r="O291" s="6">
        <v>407.08</v>
      </c>
      <c r="P291" s="6">
        <v>0</v>
      </c>
      <c r="Q291" s="6">
        <f t="shared" ca="1" si="14"/>
        <v>34</v>
      </c>
      <c r="R291" s="6">
        <f t="shared" si="12"/>
        <v>2027.92</v>
      </c>
      <c r="S291" s="7" t="str">
        <f t="shared" si="13"/>
        <v>Profit</v>
      </c>
    </row>
    <row r="292" spans="1:19" x14ac:dyDescent="0.3">
      <c r="A292" s="4" t="s">
        <v>625</v>
      </c>
      <c r="B292" s="5">
        <v>44247</v>
      </c>
      <c r="C292" s="6" t="s">
        <v>626</v>
      </c>
      <c r="D292" s="6" t="s">
        <v>56</v>
      </c>
      <c r="E292" s="6">
        <v>34339</v>
      </c>
      <c r="F292" s="6">
        <v>20.100000000000001</v>
      </c>
      <c r="G292" s="6">
        <v>36</v>
      </c>
      <c r="H292" s="6" t="s">
        <v>26</v>
      </c>
      <c r="I292" s="6" t="s">
        <v>20</v>
      </c>
      <c r="J292" s="6" t="s">
        <v>28</v>
      </c>
      <c r="K292" s="6">
        <v>117959</v>
      </c>
      <c r="L292" s="6" t="s">
        <v>22</v>
      </c>
      <c r="M292" s="6">
        <v>0.45</v>
      </c>
      <c r="N292" s="6">
        <v>0.63</v>
      </c>
      <c r="O292" s="6">
        <v>2002.15</v>
      </c>
      <c r="P292" s="6">
        <v>0</v>
      </c>
      <c r="Q292" s="6">
        <f t="shared" ca="1" si="14"/>
        <v>61</v>
      </c>
      <c r="R292" s="6">
        <f t="shared" si="12"/>
        <v>32336.85</v>
      </c>
      <c r="S292" s="7" t="str">
        <f t="shared" si="13"/>
        <v>Profit</v>
      </c>
    </row>
    <row r="293" spans="1:19" x14ac:dyDescent="0.3">
      <c r="A293" s="4" t="s">
        <v>627</v>
      </c>
      <c r="B293" s="5">
        <v>44771</v>
      </c>
      <c r="C293" s="6" t="s">
        <v>628</v>
      </c>
      <c r="D293" s="6" t="s">
        <v>64</v>
      </c>
      <c r="E293" s="6">
        <v>36150</v>
      </c>
      <c r="F293" s="6">
        <v>5.4</v>
      </c>
      <c r="G293" s="6">
        <v>60</v>
      </c>
      <c r="H293" s="6" t="s">
        <v>19</v>
      </c>
      <c r="I293" s="6" t="s">
        <v>57</v>
      </c>
      <c r="J293" s="6" t="s">
        <v>28</v>
      </c>
      <c r="K293" s="6">
        <v>63418</v>
      </c>
      <c r="L293" s="6" t="s">
        <v>29</v>
      </c>
      <c r="M293" s="6">
        <v>0.16</v>
      </c>
      <c r="N293" s="6">
        <v>0.59</v>
      </c>
      <c r="O293" s="6">
        <v>38102.1</v>
      </c>
      <c r="P293" s="6">
        <v>0</v>
      </c>
      <c r="Q293" s="6">
        <f t="shared" ca="1" si="14"/>
        <v>43</v>
      </c>
      <c r="R293" s="6">
        <f t="shared" si="12"/>
        <v>-1952.0999999999985</v>
      </c>
      <c r="S293" s="7" t="str">
        <f t="shared" si="13"/>
        <v>Loss</v>
      </c>
    </row>
    <row r="294" spans="1:19" x14ac:dyDescent="0.3">
      <c r="A294" s="4" t="s">
        <v>629</v>
      </c>
      <c r="B294" s="5">
        <v>44346</v>
      </c>
      <c r="C294" s="6" t="s">
        <v>630</v>
      </c>
      <c r="D294" s="6" t="s">
        <v>64</v>
      </c>
      <c r="E294" s="6">
        <v>26821</v>
      </c>
      <c r="F294" s="6">
        <v>7.5</v>
      </c>
      <c r="G294" s="6">
        <v>60</v>
      </c>
      <c r="H294" s="6" t="s">
        <v>19</v>
      </c>
      <c r="I294" s="6" t="s">
        <v>57</v>
      </c>
      <c r="J294" s="6" t="s">
        <v>47</v>
      </c>
      <c r="K294" s="6">
        <v>35741</v>
      </c>
      <c r="L294" s="6" t="s">
        <v>29</v>
      </c>
      <c r="M294" s="6">
        <v>0.44</v>
      </c>
      <c r="N294" s="6">
        <v>0.62</v>
      </c>
      <c r="O294" s="6">
        <v>28832.57</v>
      </c>
      <c r="P294" s="6">
        <v>0</v>
      </c>
      <c r="Q294" s="6">
        <f t="shared" ca="1" si="14"/>
        <v>57</v>
      </c>
      <c r="R294" s="6">
        <f t="shared" si="12"/>
        <v>-2011.5699999999997</v>
      </c>
      <c r="S294" s="7" t="str">
        <f t="shared" si="13"/>
        <v>Loss</v>
      </c>
    </row>
    <row r="295" spans="1:19" x14ac:dyDescent="0.3">
      <c r="A295" s="4" t="s">
        <v>631</v>
      </c>
      <c r="B295" s="5">
        <v>44510</v>
      </c>
      <c r="C295" s="6" t="s">
        <v>632</v>
      </c>
      <c r="D295" s="6" t="s">
        <v>50</v>
      </c>
      <c r="E295" s="6">
        <v>27660</v>
      </c>
      <c r="F295" s="6">
        <v>18.2</v>
      </c>
      <c r="G295" s="6">
        <v>36</v>
      </c>
      <c r="H295" s="6" t="s">
        <v>26</v>
      </c>
      <c r="I295" s="6" t="s">
        <v>83</v>
      </c>
      <c r="J295" s="6" t="s">
        <v>37</v>
      </c>
      <c r="K295" s="6">
        <v>141585</v>
      </c>
      <c r="L295" s="6" t="s">
        <v>29</v>
      </c>
      <c r="M295" s="6">
        <v>0.5</v>
      </c>
      <c r="N295" s="6">
        <v>0.57999999999999996</v>
      </c>
      <c r="O295" s="6">
        <v>8174.19</v>
      </c>
      <c r="P295" s="6">
        <v>0</v>
      </c>
      <c r="Q295" s="6">
        <f t="shared" ca="1" si="14"/>
        <v>52</v>
      </c>
      <c r="R295" s="6">
        <f t="shared" si="12"/>
        <v>19485.810000000001</v>
      </c>
      <c r="S295" s="7" t="str">
        <f t="shared" si="13"/>
        <v>Profit</v>
      </c>
    </row>
    <row r="296" spans="1:19" x14ac:dyDescent="0.3">
      <c r="A296" s="4" t="s">
        <v>633</v>
      </c>
      <c r="B296" s="5">
        <v>44766</v>
      </c>
      <c r="C296" s="6" t="s">
        <v>634</v>
      </c>
      <c r="D296" s="6" t="s">
        <v>56</v>
      </c>
      <c r="E296" s="6">
        <v>6084</v>
      </c>
      <c r="F296" s="6">
        <v>8.1999999999999993</v>
      </c>
      <c r="G296" s="6">
        <v>60</v>
      </c>
      <c r="H296" s="6" t="s">
        <v>19</v>
      </c>
      <c r="I296" s="6" t="s">
        <v>20</v>
      </c>
      <c r="J296" s="6" t="s">
        <v>28</v>
      </c>
      <c r="K296" s="6">
        <v>102374</v>
      </c>
      <c r="L296" s="6" t="s">
        <v>33</v>
      </c>
      <c r="M296" s="6">
        <v>0.39</v>
      </c>
      <c r="N296" s="6">
        <v>0.54</v>
      </c>
      <c r="O296" s="6">
        <v>6582.89</v>
      </c>
      <c r="P296" s="6">
        <v>0</v>
      </c>
      <c r="Q296" s="6">
        <f t="shared" ca="1" si="14"/>
        <v>43</v>
      </c>
      <c r="R296" s="6">
        <f t="shared" si="12"/>
        <v>-498.89000000000033</v>
      </c>
      <c r="S296" s="7" t="str">
        <f t="shared" si="13"/>
        <v>Loss</v>
      </c>
    </row>
    <row r="297" spans="1:19" x14ac:dyDescent="0.3">
      <c r="A297" s="4" t="s">
        <v>635</v>
      </c>
      <c r="B297" s="5">
        <v>44501</v>
      </c>
      <c r="C297" s="6" t="s">
        <v>636</v>
      </c>
      <c r="D297" s="6" t="s">
        <v>64</v>
      </c>
      <c r="E297" s="6">
        <v>17661</v>
      </c>
      <c r="F297" s="6">
        <v>10.1</v>
      </c>
      <c r="G297" s="6">
        <v>60</v>
      </c>
      <c r="H297" s="6" t="s">
        <v>80</v>
      </c>
      <c r="I297" s="6" t="s">
        <v>83</v>
      </c>
      <c r="J297" s="6" t="s">
        <v>37</v>
      </c>
      <c r="K297" s="6">
        <v>147275</v>
      </c>
      <c r="L297" s="6" t="s">
        <v>33</v>
      </c>
      <c r="M297" s="6">
        <v>0.41</v>
      </c>
      <c r="N297" s="6">
        <v>0.69</v>
      </c>
      <c r="O297" s="6">
        <v>5510.89</v>
      </c>
      <c r="P297" s="6">
        <v>3016.27</v>
      </c>
      <c r="Q297" s="6">
        <f t="shared" ca="1" si="14"/>
        <v>52</v>
      </c>
      <c r="R297" s="6">
        <f t="shared" si="12"/>
        <v>12150.11</v>
      </c>
      <c r="S297" s="7" t="str">
        <f t="shared" si="13"/>
        <v>Profit</v>
      </c>
    </row>
    <row r="298" spans="1:19" x14ac:dyDescent="0.3">
      <c r="A298" s="4" t="s">
        <v>637</v>
      </c>
      <c r="B298" s="5">
        <v>44878</v>
      </c>
      <c r="C298" s="6" t="s">
        <v>638</v>
      </c>
      <c r="D298" s="6" t="s">
        <v>18</v>
      </c>
      <c r="E298" s="6">
        <v>14507</v>
      </c>
      <c r="F298" s="6">
        <v>23.9</v>
      </c>
      <c r="G298" s="6">
        <v>60</v>
      </c>
      <c r="H298" s="6" t="s">
        <v>19</v>
      </c>
      <c r="I298" s="6" t="s">
        <v>27</v>
      </c>
      <c r="J298" s="6" t="s">
        <v>47</v>
      </c>
      <c r="K298" s="6">
        <v>98798</v>
      </c>
      <c r="L298" s="6" t="s">
        <v>22</v>
      </c>
      <c r="M298" s="6">
        <v>0.5</v>
      </c>
      <c r="N298" s="6">
        <v>0.55000000000000004</v>
      </c>
      <c r="O298" s="6">
        <v>17974.169999999998</v>
      </c>
      <c r="P298" s="6">
        <v>0</v>
      </c>
      <c r="Q298" s="6">
        <f t="shared" ca="1" si="14"/>
        <v>40</v>
      </c>
      <c r="R298" s="6">
        <f t="shared" si="12"/>
        <v>-3467.1699999999983</v>
      </c>
      <c r="S298" s="7" t="str">
        <f t="shared" si="13"/>
        <v>Loss</v>
      </c>
    </row>
    <row r="299" spans="1:19" x14ac:dyDescent="0.3">
      <c r="A299" s="4" t="s">
        <v>639</v>
      </c>
      <c r="B299" s="5">
        <v>45034</v>
      </c>
      <c r="C299" s="6" t="s">
        <v>640</v>
      </c>
      <c r="D299" s="6" t="s">
        <v>50</v>
      </c>
      <c r="E299" s="6">
        <v>8059</v>
      </c>
      <c r="F299" s="6">
        <v>16.2</v>
      </c>
      <c r="G299" s="6">
        <v>36</v>
      </c>
      <c r="H299" s="6" t="s">
        <v>19</v>
      </c>
      <c r="I299" s="6" t="s">
        <v>27</v>
      </c>
      <c r="J299" s="6" t="s">
        <v>37</v>
      </c>
      <c r="K299" s="6">
        <v>146026</v>
      </c>
      <c r="L299" s="6" t="s">
        <v>29</v>
      </c>
      <c r="M299" s="6">
        <v>0.34</v>
      </c>
      <c r="N299" s="6">
        <v>0.57999999999999996</v>
      </c>
      <c r="O299" s="6">
        <v>9364.56</v>
      </c>
      <c r="P299" s="6">
        <v>0</v>
      </c>
      <c r="Q299" s="6">
        <f t="shared" ca="1" si="14"/>
        <v>35</v>
      </c>
      <c r="R299" s="6">
        <f t="shared" si="12"/>
        <v>-1305.5599999999995</v>
      </c>
      <c r="S299" s="7" t="str">
        <f t="shared" si="13"/>
        <v>Loss</v>
      </c>
    </row>
    <row r="300" spans="1:19" x14ac:dyDescent="0.3">
      <c r="A300" s="4" t="s">
        <v>641</v>
      </c>
      <c r="B300" s="5">
        <v>45274</v>
      </c>
      <c r="C300" s="6" t="s">
        <v>642</v>
      </c>
      <c r="D300" s="6" t="s">
        <v>64</v>
      </c>
      <c r="E300" s="6">
        <v>19271</v>
      </c>
      <c r="F300" s="6">
        <v>20</v>
      </c>
      <c r="G300" s="6">
        <v>60</v>
      </c>
      <c r="H300" s="6" t="s">
        <v>80</v>
      </c>
      <c r="I300" s="6" t="s">
        <v>57</v>
      </c>
      <c r="J300" s="6" t="s">
        <v>47</v>
      </c>
      <c r="K300" s="6">
        <v>100532</v>
      </c>
      <c r="L300" s="6" t="s">
        <v>22</v>
      </c>
      <c r="M300" s="6">
        <v>0.22</v>
      </c>
      <c r="N300" s="6">
        <v>0.75</v>
      </c>
      <c r="O300" s="6">
        <v>6496.68</v>
      </c>
      <c r="P300" s="6">
        <v>2294.8000000000002</v>
      </c>
      <c r="Q300" s="6">
        <f t="shared" ca="1" si="14"/>
        <v>27</v>
      </c>
      <c r="R300" s="6">
        <f t="shared" si="12"/>
        <v>12774.32</v>
      </c>
      <c r="S300" s="7" t="str">
        <f t="shared" si="13"/>
        <v>Profit</v>
      </c>
    </row>
    <row r="301" spans="1:19" x14ac:dyDescent="0.3">
      <c r="A301" s="4" t="s">
        <v>643</v>
      </c>
      <c r="B301" s="5">
        <v>45199</v>
      </c>
      <c r="C301" s="6" t="s">
        <v>644</v>
      </c>
      <c r="D301" s="6" t="s">
        <v>46</v>
      </c>
      <c r="E301" s="6">
        <v>8491</v>
      </c>
      <c r="F301" s="6">
        <v>16.2</v>
      </c>
      <c r="G301" s="6">
        <v>36</v>
      </c>
      <c r="H301" s="6" t="s">
        <v>26</v>
      </c>
      <c r="I301" s="6" t="s">
        <v>27</v>
      </c>
      <c r="J301" s="6" t="s">
        <v>47</v>
      </c>
      <c r="K301" s="6">
        <v>140130</v>
      </c>
      <c r="L301" s="6" t="s">
        <v>29</v>
      </c>
      <c r="M301" s="6">
        <v>0.44</v>
      </c>
      <c r="N301" s="6">
        <v>0.56999999999999995</v>
      </c>
      <c r="O301" s="6">
        <v>1164.82</v>
      </c>
      <c r="P301" s="6">
        <v>0</v>
      </c>
      <c r="Q301" s="6">
        <f t="shared" ca="1" si="14"/>
        <v>29</v>
      </c>
      <c r="R301" s="6">
        <f t="shared" si="12"/>
        <v>7326.18</v>
      </c>
      <c r="S301" s="7" t="str">
        <f t="shared" si="13"/>
        <v>Profit</v>
      </c>
    </row>
    <row r="302" spans="1:19" x14ac:dyDescent="0.3">
      <c r="A302" s="4" t="s">
        <v>645</v>
      </c>
      <c r="B302" s="5">
        <v>44640</v>
      </c>
      <c r="C302" s="6" t="s">
        <v>646</v>
      </c>
      <c r="D302" s="6" t="s">
        <v>71</v>
      </c>
      <c r="E302" s="6">
        <v>15859</v>
      </c>
      <c r="F302" s="6">
        <v>16.100000000000001</v>
      </c>
      <c r="G302" s="6">
        <v>60</v>
      </c>
      <c r="H302" s="6" t="s">
        <v>19</v>
      </c>
      <c r="I302" s="6" t="s">
        <v>72</v>
      </c>
      <c r="J302" s="6" t="s">
        <v>21</v>
      </c>
      <c r="K302" s="6">
        <v>52164</v>
      </c>
      <c r="L302" s="6" t="s">
        <v>22</v>
      </c>
      <c r="M302" s="6">
        <v>0.35</v>
      </c>
      <c r="N302" s="6">
        <v>0.53</v>
      </c>
      <c r="O302" s="6">
        <v>18412.3</v>
      </c>
      <c r="P302" s="6">
        <v>0</v>
      </c>
      <c r="Q302" s="6">
        <f t="shared" ca="1" si="14"/>
        <v>48</v>
      </c>
      <c r="R302" s="6">
        <f t="shared" si="12"/>
        <v>-2553.2999999999993</v>
      </c>
      <c r="S302" s="7" t="str">
        <f t="shared" si="13"/>
        <v>Loss</v>
      </c>
    </row>
    <row r="303" spans="1:19" x14ac:dyDescent="0.3">
      <c r="A303" s="4" t="s">
        <v>647</v>
      </c>
      <c r="B303" s="5">
        <v>44809</v>
      </c>
      <c r="C303" s="6" t="s">
        <v>648</v>
      </c>
      <c r="D303" s="6" t="s">
        <v>40</v>
      </c>
      <c r="E303" s="6">
        <v>9073</v>
      </c>
      <c r="F303" s="6">
        <v>6.9</v>
      </c>
      <c r="G303" s="6">
        <v>36</v>
      </c>
      <c r="H303" s="6" t="s">
        <v>26</v>
      </c>
      <c r="I303" s="6" t="s">
        <v>27</v>
      </c>
      <c r="J303" s="6" t="s">
        <v>37</v>
      </c>
      <c r="K303" s="6">
        <v>65595</v>
      </c>
      <c r="L303" s="6" t="s">
        <v>33</v>
      </c>
      <c r="M303" s="6">
        <v>0.33</v>
      </c>
      <c r="N303" s="6">
        <v>0.64</v>
      </c>
      <c r="O303" s="6">
        <v>1522.35</v>
      </c>
      <c r="P303" s="6">
        <v>0</v>
      </c>
      <c r="Q303" s="6">
        <f t="shared" ca="1" si="14"/>
        <v>42</v>
      </c>
      <c r="R303" s="6">
        <f t="shared" si="12"/>
        <v>7550.65</v>
      </c>
      <c r="S303" s="7" t="str">
        <f t="shared" si="13"/>
        <v>Profit</v>
      </c>
    </row>
    <row r="304" spans="1:19" x14ac:dyDescent="0.3">
      <c r="A304" s="4" t="s">
        <v>649</v>
      </c>
      <c r="B304" s="5">
        <v>45189</v>
      </c>
      <c r="C304" s="6" t="s">
        <v>650</v>
      </c>
      <c r="D304" s="6" t="s">
        <v>56</v>
      </c>
      <c r="E304" s="6">
        <v>10077</v>
      </c>
      <c r="F304" s="6">
        <v>11.9</v>
      </c>
      <c r="G304" s="6">
        <v>60</v>
      </c>
      <c r="H304" s="6" t="s">
        <v>26</v>
      </c>
      <c r="I304" s="6" t="s">
        <v>57</v>
      </c>
      <c r="J304" s="6" t="s">
        <v>32</v>
      </c>
      <c r="K304" s="6">
        <v>60257</v>
      </c>
      <c r="L304" s="6" t="s">
        <v>29</v>
      </c>
      <c r="M304" s="6">
        <v>0.2</v>
      </c>
      <c r="N304" s="6">
        <v>0.6</v>
      </c>
      <c r="O304" s="6">
        <v>2828.27</v>
      </c>
      <c r="P304" s="6">
        <v>0</v>
      </c>
      <c r="Q304" s="6">
        <f t="shared" ca="1" si="14"/>
        <v>30</v>
      </c>
      <c r="R304" s="6">
        <f t="shared" si="12"/>
        <v>7248.73</v>
      </c>
      <c r="S304" s="7" t="str">
        <f t="shared" si="13"/>
        <v>Profit</v>
      </c>
    </row>
    <row r="305" spans="1:19" x14ac:dyDescent="0.3">
      <c r="A305" s="4" t="s">
        <v>651</v>
      </c>
      <c r="B305" s="5">
        <v>44460</v>
      </c>
      <c r="C305" s="6" t="s">
        <v>652</v>
      </c>
      <c r="D305" s="6" t="s">
        <v>18</v>
      </c>
      <c r="E305" s="6">
        <v>21953</v>
      </c>
      <c r="F305" s="6">
        <v>10.6</v>
      </c>
      <c r="G305" s="6">
        <v>36</v>
      </c>
      <c r="H305" s="6" t="s">
        <v>19</v>
      </c>
      <c r="I305" s="6" t="s">
        <v>72</v>
      </c>
      <c r="J305" s="6" t="s">
        <v>21</v>
      </c>
      <c r="K305" s="6">
        <v>44211</v>
      </c>
      <c r="L305" s="6" t="s">
        <v>33</v>
      </c>
      <c r="M305" s="6">
        <v>0.4</v>
      </c>
      <c r="N305" s="6">
        <v>0.73</v>
      </c>
      <c r="O305" s="6">
        <v>24280.02</v>
      </c>
      <c r="P305" s="6">
        <v>0</v>
      </c>
      <c r="Q305" s="6">
        <f t="shared" ca="1" si="14"/>
        <v>53</v>
      </c>
      <c r="R305" s="6">
        <f t="shared" si="12"/>
        <v>-2327.0200000000004</v>
      </c>
      <c r="S305" s="7" t="str">
        <f t="shared" si="13"/>
        <v>Loss</v>
      </c>
    </row>
    <row r="306" spans="1:19" x14ac:dyDescent="0.3">
      <c r="A306" s="4" t="s">
        <v>653</v>
      </c>
      <c r="B306" s="5">
        <v>45273</v>
      </c>
      <c r="C306" s="6" t="s">
        <v>654</v>
      </c>
      <c r="D306" s="6" t="s">
        <v>53</v>
      </c>
      <c r="E306" s="6">
        <v>12383</v>
      </c>
      <c r="F306" s="6">
        <v>12.8</v>
      </c>
      <c r="G306" s="6">
        <v>36</v>
      </c>
      <c r="H306" s="6" t="s">
        <v>19</v>
      </c>
      <c r="I306" s="6" t="s">
        <v>27</v>
      </c>
      <c r="J306" s="6" t="s">
        <v>47</v>
      </c>
      <c r="K306" s="6">
        <v>125989</v>
      </c>
      <c r="L306" s="6" t="s">
        <v>29</v>
      </c>
      <c r="M306" s="6">
        <v>0.13</v>
      </c>
      <c r="N306" s="6">
        <v>0.55000000000000004</v>
      </c>
      <c r="O306" s="6">
        <v>13968.02</v>
      </c>
      <c r="P306" s="6">
        <v>0</v>
      </c>
      <c r="Q306" s="6">
        <f t="shared" ca="1" si="14"/>
        <v>27</v>
      </c>
      <c r="R306" s="6">
        <f t="shared" si="12"/>
        <v>-1585.0200000000004</v>
      </c>
      <c r="S306" s="7" t="str">
        <f t="shared" si="13"/>
        <v>Loss</v>
      </c>
    </row>
    <row r="307" spans="1:19" x14ac:dyDescent="0.3">
      <c r="A307" s="4" t="s">
        <v>655</v>
      </c>
      <c r="B307" s="5">
        <v>45200</v>
      </c>
      <c r="C307" s="6" t="s">
        <v>656</v>
      </c>
      <c r="D307" s="6" t="s">
        <v>75</v>
      </c>
      <c r="E307" s="6">
        <v>3353</v>
      </c>
      <c r="F307" s="6">
        <v>21</v>
      </c>
      <c r="G307" s="6">
        <v>36</v>
      </c>
      <c r="H307" s="6" t="s">
        <v>26</v>
      </c>
      <c r="I307" s="6" t="s">
        <v>20</v>
      </c>
      <c r="J307" s="6" t="s">
        <v>32</v>
      </c>
      <c r="K307" s="6">
        <v>35232</v>
      </c>
      <c r="L307" s="6" t="s">
        <v>22</v>
      </c>
      <c r="M307" s="6">
        <v>0.47</v>
      </c>
      <c r="N307" s="6">
        <v>0.84</v>
      </c>
      <c r="O307" s="6">
        <v>666.48</v>
      </c>
      <c r="P307" s="6">
        <v>0</v>
      </c>
      <c r="Q307" s="6">
        <f t="shared" ca="1" si="14"/>
        <v>29</v>
      </c>
      <c r="R307" s="6">
        <f t="shared" si="12"/>
        <v>2686.52</v>
      </c>
      <c r="S307" s="7" t="str">
        <f t="shared" si="13"/>
        <v>Profit</v>
      </c>
    </row>
    <row r="308" spans="1:19" x14ac:dyDescent="0.3">
      <c r="A308" s="4" t="s">
        <v>657</v>
      </c>
      <c r="B308" s="5">
        <v>44201</v>
      </c>
      <c r="C308" s="6" t="s">
        <v>658</v>
      </c>
      <c r="D308" s="6" t="s">
        <v>18</v>
      </c>
      <c r="E308" s="6">
        <v>24821</v>
      </c>
      <c r="F308" s="6">
        <v>12.4</v>
      </c>
      <c r="G308" s="6">
        <v>60</v>
      </c>
      <c r="H308" s="6" t="s">
        <v>80</v>
      </c>
      <c r="I308" s="6" t="s">
        <v>57</v>
      </c>
      <c r="J308" s="6" t="s">
        <v>28</v>
      </c>
      <c r="K308" s="6">
        <v>97753</v>
      </c>
      <c r="L308" s="6" t="s">
        <v>29</v>
      </c>
      <c r="M308" s="6">
        <v>0.23</v>
      </c>
      <c r="N308" s="6">
        <v>0.91</v>
      </c>
      <c r="O308" s="6">
        <v>8889.73</v>
      </c>
      <c r="P308" s="6">
        <v>5061.28</v>
      </c>
      <c r="Q308" s="6">
        <f t="shared" ca="1" si="14"/>
        <v>62</v>
      </c>
      <c r="R308" s="6">
        <f t="shared" si="12"/>
        <v>15931.27</v>
      </c>
      <c r="S308" s="7" t="str">
        <f t="shared" si="13"/>
        <v>Profit</v>
      </c>
    </row>
    <row r="309" spans="1:19" x14ac:dyDescent="0.3">
      <c r="A309" s="4" t="s">
        <v>659</v>
      </c>
      <c r="B309" s="5">
        <v>44970</v>
      </c>
      <c r="C309" s="6" t="s">
        <v>660</v>
      </c>
      <c r="D309" s="6" t="s">
        <v>64</v>
      </c>
      <c r="E309" s="6">
        <v>38567</v>
      </c>
      <c r="F309" s="6">
        <v>14</v>
      </c>
      <c r="G309" s="6">
        <v>60</v>
      </c>
      <c r="H309" s="6" t="s">
        <v>19</v>
      </c>
      <c r="I309" s="6" t="s">
        <v>41</v>
      </c>
      <c r="J309" s="6" t="s">
        <v>28</v>
      </c>
      <c r="K309" s="6">
        <v>82691</v>
      </c>
      <c r="L309" s="6" t="s">
        <v>33</v>
      </c>
      <c r="M309" s="6">
        <v>0.15</v>
      </c>
      <c r="N309" s="6">
        <v>0.83</v>
      </c>
      <c r="O309" s="6">
        <v>43966.38</v>
      </c>
      <c r="P309" s="6">
        <v>0</v>
      </c>
      <c r="Q309" s="6">
        <f t="shared" ca="1" si="14"/>
        <v>37</v>
      </c>
      <c r="R309" s="6">
        <f t="shared" si="12"/>
        <v>-5399.3799999999974</v>
      </c>
      <c r="S309" s="7" t="str">
        <f t="shared" si="13"/>
        <v>Loss</v>
      </c>
    </row>
    <row r="310" spans="1:19" x14ac:dyDescent="0.3">
      <c r="A310" s="4" t="s">
        <v>661</v>
      </c>
      <c r="B310" s="5">
        <v>45073</v>
      </c>
      <c r="C310" s="6" t="s">
        <v>662</v>
      </c>
      <c r="D310" s="6" t="s">
        <v>18</v>
      </c>
      <c r="E310" s="6">
        <v>25860</v>
      </c>
      <c r="F310" s="6">
        <v>12.9</v>
      </c>
      <c r="G310" s="6">
        <v>60</v>
      </c>
      <c r="H310" s="6" t="s">
        <v>80</v>
      </c>
      <c r="I310" s="6" t="s">
        <v>20</v>
      </c>
      <c r="J310" s="6" t="s">
        <v>21</v>
      </c>
      <c r="K310" s="6">
        <v>119765</v>
      </c>
      <c r="L310" s="6" t="s">
        <v>29</v>
      </c>
      <c r="M310" s="6">
        <v>0.28000000000000003</v>
      </c>
      <c r="N310" s="6">
        <v>0.74</v>
      </c>
      <c r="O310" s="6">
        <v>6261.43</v>
      </c>
      <c r="P310" s="6">
        <v>5898.18</v>
      </c>
      <c r="Q310" s="6">
        <f t="shared" ca="1" si="14"/>
        <v>33</v>
      </c>
      <c r="R310" s="6">
        <f t="shared" si="12"/>
        <v>19598.57</v>
      </c>
      <c r="S310" s="7" t="str">
        <f t="shared" si="13"/>
        <v>Profit</v>
      </c>
    </row>
    <row r="311" spans="1:19" x14ac:dyDescent="0.3">
      <c r="A311" s="4" t="s">
        <v>663</v>
      </c>
      <c r="B311" s="5">
        <v>45188</v>
      </c>
      <c r="C311" s="6" t="s">
        <v>664</v>
      </c>
      <c r="D311" s="6" t="s">
        <v>53</v>
      </c>
      <c r="E311" s="6">
        <v>22195</v>
      </c>
      <c r="F311" s="6">
        <v>6.9</v>
      </c>
      <c r="G311" s="6">
        <v>36</v>
      </c>
      <c r="H311" s="6" t="s">
        <v>80</v>
      </c>
      <c r="I311" s="6" t="s">
        <v>57</v>
      </c>
      <c r="J311" s="6" t="s">
        <v>32</v>
      </c>
      <c r="K311" s="6">
        <v>109768</v>
      </c>
      <c r="L311" s="6" t="s">
        <v>22</v>
      </c>
      <c r="M311" s="6">
        <v>0.12</v>
      </c>
      <c r="N311" s="6">
        <v>0.89</v>
      </c>
      <c r="O311" s="6">
        <v>7543.49</v>
      </c>
      <c r="P311" s="6">
        <v>5682.73</v>
      </c>
      <c r="Q311" s="6">
        <f t="shared" ca="1" si="14"/>
        <v>30</v>
      </c>
      <c r="R311" s="6">
        <f t="shared" si="12"/>
        <v>14651.51</v>
      </c>
      <c r="S311" s="7" t="str">
        <f t="shared" si="13"/>
        <v>Profit</v>
      </c>
    </row>
    <row r="312" spans="1:19" x14ac:dyDescent="0.3">
      <c r="A312" s="4" t="s">
        <v>665</v>
      </c>
      <c r="B312" s="5">
        <v>45080</v>
      </c>
      <c r="C312" s="6" t="s">
        <v>666</v>
      </c>
      <c r="D312" s="6" t="s">
        <v>75</v>
      </c>
      <c r="E312" s="6">
        <v>12939</v>
      </c>
      <c r="F312" s="6">
        <v>13.8</v>
      </c>
      <c r="G312" s="6">
        <v>60</v>
      </c>
      <c r="H312" s="6" t="s">
        <v>19</v>
      </c>
      <c r="I312" s="6" t="s">
        <v>57</v>
      </c>
      <c r="J312" s="6" t="s">
        <v>37</v>
      </c>
      <c r="K312" s="6">
        <v>55613</v>
      </c>
      <c r="L312" s="6" t="s">
        <v>29</v>
      </c>
      <c r="M312" s="6">
        <v>0.37</v>
      </c>
      <c r="N312" s="6">
        <v>0.81</v>
      </c>
      <c r="O312" s="6">
        <v>14724.58</v>
      </c>
      <c r="P312" s="6">
        <v>0</v>
      </c>
      <c r="Q312" s="6">
        <f t="shared" ca="1" si="14"/>
        <v>33</v>
      </c>
      <c r="R312" s="6">
        <f t="shared" si="12"/>
        <v>-1785.58</v>
      </c>
      <c r="S312" s="7" t="str">
        <f t="shared" si="13"/>
        <v>Loss</v>
      </c>
    </row>
    <row r="313" spans="1:19" x14ac:dyDescent="0.3">
      <c r="A313" s="4" t="s">
        <v>667</v>
      </c>
      <c r="B313" s="5">
        <v>44243</v>
      </c>
      <c r="C313" s="6" t="s">
        <v>668</v>
      </c>
      <c r="D313" s="6" t="s">
        <v>50</v>
      </c>
      <c r="E313" s="6">
        <v>26338</v>
      </c>
      <c r="F313" s="6">
        <v>8.9</v>
      </c>
      <c r="G313" s="6">
        <v>36</v>
      </c>
      <c r="H313" s="6" t="s">
        <v>26</v>
      </c>
      <c r="I313" s="6" t="s">
        <v>27</v>
      </c>
      <c r="J313" s="6" t="s">
        <v>32</v>
      </c>
      <c r="K313" s="6">
        <v>44026</v>
      </c>
      <c r="L313" s="6" t="s">
        <v>33</v>
      </c>
      <c r="M313" s="6">
        <v>0.46</v>
      </c>
      <c r="N313" s="6">
        <v>0.5</v>
      </c>
      <c r="O313" s="6">
        <v>8198.4599999999991</v>
      </c>
      <c r="P313" s="6">
        <v>0</v>
      </c>
      <c r="Q313" s="6">
        <f t="shared" ca="1" si="14"/>
        <v>61</v>
      </c>
      <c r="R313" s="6">
        <f t="shared" si="12"/>
        <v>18139.54</v>
      </c>
      <c r="S313" s="7" t="str">
        <f t="shared" si="13"/>
        <v>Profit</v>
      </c>
    </row>
    <row r="314" spans="1:19" x14ac:dyDescent="0.3">
      <c r="A314" s="4" t="s">
        <v>669</v>
      </c>
      <c r="B314" s="5">
        <v>45063</v>
      </c>
      <c r="C314" s="6" t="s">
        <v>670</v>
      </c>
      <c r="D314" s="6" t="s">
        <v>64</v>
      </c>
      <c r="E314" s="6">
        <v>22730</v>
      </c>
      <c r="F314" s="6">
        <v>8.6999999999999993</v>
      </c>
      <c r="G314" s="6">
        <v>60</v>
      </c>
      <c r="H314" s="6" t="s">
        <v>19</v>
      </c>
      <c r="I314" s="6" t="s">
        <v>20</v>
      </c>
      <c r="J314" s="6" t="s">
        <v>21</v>
      </c>
      <c r="K314" s="6">
        <v>83535</v>
      </c>
      <c r="L314" s="6" t="s">
        <v>22</v>
      </c>
      <c r="M314" s="6">
        <v>0.43</v>
      </c>
      <c r="N314" s="6">
        <v>0.68</v>
      </c>
      <c r="O314" s="6">
        <v>24707.51</v>
      </c>
      <c r="P314" s="6">
        <v>0</v>
      </c>
      <c r="Q314" s="6">
        <f t="shared" ca="1" si="14"/>
        <v>34</v>
      </c>
      <c r="R314" s="6">
        <f t="shared" si="12"/>
        <v>-1977.5099999999984</v>
      </c>
      <c r="S314" s="7" t="str">
        <f t="shared" si="13"/>
        <v>Loss</v>
      </c>
    </row>
    <row r="315" spans="1:19" x14ac:dyDescent="0.3">
      <c r="A315" s="4" t="s">
        <v>671</v>
      </c>
      <c r="B315" s="5">
        <v>45019</v>
      </c>
      <c r="C315" s="6" t="s">
        <v>672</v>
      </c>
      <c r="D315" s="6" t="s">
        <v>25</v>
      </c>
      <c r="E315" s="6">
        <v>22427</v>
      </c>
      <c r="F315" s="6">
        <v>6.9</v>
      </c>
      <c r="G315" s="6">
        <v>36</v>
      </c>
      <c r="H315" s="6" t="s">
        <v>19</v>
      </c>
      <c r="I315" s="6" t="s">
        <v>72</v>
      </c>
      <c r="J315" s="6" t="s">
        <v>37</v>
      </c>
      <c r="K315" s="6">
        <v>124090</v>
      </c>
      <c r="L315" s="6" t="s">
        <v>33</v>
      </c>
      <c r="M315" s="6">
        <v>0.15</v>
      </c>
      <c r="N315" s="6">
        <v>0.88</v>
      </c>
      <c r="O315" s="6">
        <v>23974.46</v>
      </c>
      <c r="P315" s="6">
        <v>0</v>
      </c>
      <c r="Q315" s="6">
        <f t="shared" ca="1" si="14"/>
        <v>35</v>
      </c>
      <c r="R315" s="6">
        <f t="shared" si="12"/>
        <v>-1547.4599999999991</v>
      </c>
      <c r="S315" s="7" t="str">
        <f t="shared" si="13"/>
        <v>Loss</v>
      </c>
    </row>
    <row r="316" spans="1:19" x14ac:dyDescent="0.3">
      <c r="A316" s="4" t="s">
        <v>673</v>
      </c>
      <c r="B316" s="5">
        <v>45132</v>
      </c>
      <c r="C316" s="6" t="s">
        <v>674</v>
      </c>
      <c r="D316" s="6" t="s">
        <v>64</v>
      </c>
      <c r="E316" s="6">
        <v>36196</v>
      </c>
      <c r="F316" s="6">
        <v>12.1</v>
      </c>
      <c r="G316" s="6">
        <v>36</v>
      </c>
      <c r="H316" s="6" t="s">
        <v>26</v>
      </c>
      <c r="I316" s="6" t="s">
        <v>20</v>
      </c>
      <c r="J316" s="6" t="s">
        <v>37</v>
      </c>
      <c r="K316" s="6">
        <v>60908</v>
      </c>
      <c r="L316" s="6" t="s">
        <v>29</v>
      </c>
      <c r="M316" s="6">
        <v>0.15</v>
      </c>
      <c r="N316" s="6">
        <v>0.66</v>
      </c>
      <c r="O316" s="6">
        <v>14402.05</v>
      </c>
      <c r="P316" s="6">
        <v>0</v>
      </c>
      <c r="Q316" s="6">
        <f t="shared" ca="1" si="14"/>
        <v>31</v>
      </c>
      <c r="R316" s="6">
        <f t="shared" si="12"/>
        <v>21793.95</v>
      </c>
      <c r="S316" s="7" t="str">
        <f t="shared" si="13"/>
        <v>Profit</v>
      </c>
    </row>
    <row r="317" spans="1:19" x14ac:dyDescent="0.3">
      <c r="A317" s="4" t="s">
        <v>675</v>
      </c>
      <c r="B317" s="5">
        <v>44852</v>
      </c>
      <c r="C317" s="6" t="s">
        <v>676</v>
      </c>
      <c r="D317" s="6" t="s">
        <v>40</v>
      </c>
      <c r="E317" s="6">
        <v>28083</v>
      </c>
      <c r="F317" s="6">
        <v>20.100000000000001</v>
      </c>
      <c r="G317" s="6">
        <v>36</v>
      </c>
      <c r="H317" s="6" t="s">
        <v>80</v>
      </c>
      <c r="I317" s="6" t="s">
        <v>20</v>
      </c>
      <c r="J317" s="6" t="s">
        <v>28</v>
      </c>
      <c r="K317" s="6">
        <v>82113</v>
      </c>
      <c r="L317" s="6" t="s">
        <v>33</v>
      </c>
      <c r="M317" s="6">
        <v>0.43</v>
      </c>
      <c r="N317" s="6">
        <v>0.52</v>
      </c>
      <c r="O317" s="6">
        <v>5611.04</v>
      </c>
      <c r="P317" s="6">
        <v>8802.11</v>
      </c>
      <c r="Q317" s="6">
        <f t="shared" ca="1" si="14"/>
        <v>41</v>
      </c>
      <c r="R317" s="6">
        <f t="shared" si="12"/>
        <v>22471.96</v>
      </c>
      <c r="S317" s="7" t="str">
        <f t="shared" si="13"/>
        <v>Profit</v>
      </c>
    </row>
    <row r="318" spans="1:19" x14ac:dyDescent="0.3">
      <c r="A318" s="4" t="s">
        <v>677</v>
      </c>
      <c r="B318" s="5">
        <v>44465</v>
      </c>
      <c r="C318" s="6" t="s">
        <v>678</v>
      </c>
      <c r="D318" s="6" t="s">
        <v>25</v>
      </c>
      <c r="E318" s="6">
        <v>22510</v>
      </c>
      <c r="F318" s="6">
        <v>10.5</v>
      </c>
      <c r="G318" s="6">
        <v>60</v>
      </c>
      <c r="H318" s="6" t="s">
        <v>26</v>
      </c>
      <c r="I318" s="6" t="s">
        <v>27</v>
      </c>
      <c r="J318" s="6" t="s">
        <v>32</v>
      </c>
      <c r="K318" s="6">
        <v>49610</v>
      </c>
      <c r="L318" s="6" t="s">
        <v>29</v>
      </c>
      <c r="M318" s="6">
        <v>0.47</v>
      </c>
      <c r="N318" s="6">
        <v>0.84</v>
      </c>
      <c r="O318" s="6">
        <v>9547.33</v>
      </c>
      <c r="P318" s="6">
        <v>0</v>
      </c>
      <c r="Q318" s="6">
        <f t="shared" ca="1" si="14"/>
        <v>53</v>
      </c>
      <c r="R318" s="6">
        <f t="shared" si="12"/>
        <v>12962.67</v>
      </c>
      <c r="S318" s="7" t="str">
        <f t="shared" si="13"/>
        <v>Profit</v>
      </c>
    </row>
    <row r="319" spans="1:19" x14ac:dyDescent="0.3">
      <c r="A319" s="4" t="s">
        <v>679</v>
      </c>
      <c r="B319" s="5">
        <v>44566</v>
      </c>
      <c r="C319" s="6" t="s">
        <v>680</v>
      </c>
      <c r="D319" s="6" t="s">
        <v>40</v>
      </c>
      <c r="E319" s="6">
        <v>8813</v>
      </c>
      <c r="F319" s="6">
        <v>11.2</v>
      </c>
      <c r="G319" s="6">
        <v>60</v>
      </c>
      <c r="H319" s="6" t="s">
        <v>19</v>
      </c>
      <c r="I319" s="6" t="s">
        <v>57</v>
      </c>
      <c r="J319" s="6" t="s">
        <v>37</v>
      </c>
      <c r="K319" s="6">
        <v>76646</v>
      </c>
      <c r="L319" s="6" t="s">
        <v>22</v>
      </c>
      <c r="M319" s="6">
        <v>0.28000000000000003</v>
      </c>
      <c r="N319" s="6">
        <v>0.86</v>
      </c>
      <c r="O319" s="6">
        <v>9800.06</v>
      </c>
      <c r="P319" s="6">
        <v>0</v>
      </c>
      <c r="Q319" s="6">
        <f t="shared" ca="1" si="14"/>
        <v>50</v>
      </c>
      <c r="R319" s="6">
        <f t="shared" si="12"/>
        <v>-987.05999999999949</v>
      </c>
      <c r="S319" s="7" t="str">
        <f t="shared" si="13"/>
        <v>Loss</v>
      </c>
    </row>
    <row r="320" spans="1:19" x14ac:dyDescent="0.3">
      <c r="A320" s="4" t="s">
        <v>681</v>
      </c>
      <c r="B320" s="5">
        <v>44832</v>
      </c>
      <c r="C320" s="6" t="s">
        <v>682</v>
      </c>
      <c r="D320" s="6" t="s">
        <v>53</v>
      </c>
      <c r="E320" s="6">
        <v>32598</v>
      </c>
      <c r="F320" s="6">
        <v>17.899999999999999</v>
      </c>
      <c r="G320" s="6">
        <v>60</v>
      </c>
      <c r="H320" s="6" t="s">
        <v>19</v>
      </c>
      <c r="I320" s="6" t="s">
        <v>41</v>
      </c>
      <c r="J320" s="6" t="s">
        <v>21</v>
      </c>
      <c r="K320" s="6">
        <v>135141</v>
      </c>
      <c r="L320" s="6" t="s">
        <v>33</v>
      </c>
      <c r="M320" s="6">
        <v>0.3</v>
      </c>
      <c r="N320" s="6">
        <v>0.56999999999999995</v>
      </c>
      <c r="O320" s="6">
        <v>38433.040000000001</v>
      </c>
      <c r="P320" s="6">
        <v>0</v>
      </c>
      <c r="Q320" s="6">
        <f t="shared" ca="1" si="14"/>
        <v>41</v>
      </c>
      <c r="R320" s="6">
        <f t="shared" si="12"/>
        <v>-5835.0400000000009</v>
      </c>
      <c r="S320" s="7" t="str">
        <f t="shared" si="13"/>
        <v>Loss</v>
      </c>
    </row>
    <row r="321" spans="1:19" x14ac:dyDescent="0.3">
      <c r="A321" s="4" t="s">
        <v>683</v>
      </c>
      <c r="B321" s="5">
        <v>44853</v>
      </c>
      <c r="C321" s="6" t="s">
        <v>684</v>
      </c>
      <c r="D321" s="6" t="s">
        <v>56</v>
      </c>
      <c r="E321" s="6">
        <v>28570</v>
      </c>
      <c r="F321" s="6">
        <v>8.9</v>
      </c>
      <c r="G321" s="6">
        <v>36</v>
      </c>
      <c r="H321" s="6" t="s">
        <v>19</v>
      </c>
      <c r="I321" s="6" t="s">
        <v>20</v>
      </c>
      <c r="J321" s="6" t="s">
        <v>28</v>
      </c>
      <c r="K321" s="6">
        <v>93185</v>
      </c>
      <c r="L321" s="6" t="s">
        <v>33</v>
      </c>
      <c r="M321" s="6">
        <v>0.23</v>
      </c>
      <c r="N321" s="6">
        <v>0.74</v>
      </c>
      <c r="O321" s="6">
        <v>31112.73</v>
      </c>
      <c r="P321" s="6">
        <v>0</v>
      </c>
      <c r="Q321" s="6">
        <f t="shared" ca="1" si="14"/>
        <v>41</v>
      </c>
      <c r="R321" s="6">
        <f t="shared" si="12"/>
        <v>-2542.7299999999996</v>
      </c>
      <c r="S321" s="7" t="str">
        <f t="shared" si="13"/>
        <v>Loss</v>
      </c>
    </row>
    <row r="322" spans="1:19" x14ac:dyDescent="0.3">
      <c r="A322" s="4" t="s">
        <v>685</v>
      </c>
      <c r="B322" s="5">
        <v>44316</v>
      </c>
      <c r="C322" s="6" t="s">
        <v>686</v>
      </c>
      <c r="D322" s="6" t="s">
        <v>75</v>
      </c>
      <c r="E322" s="6">
        <v>28082</v>
      </c>
      <c r="F322" s="6">
        <v>22.9</v>
      </c>
      <c r="G322" s="6">
        <v>36</v>
      </c>
      <c r="H322" s="6" t="s">
        <v>19</v>
      </c>
      <c r="I322" s="6" t="s">
        <v>57</v>
      </c>
      <c r="J322" s="6" t="s">
        <v>37</v>
      </c>
      <c r="K322" s="6">
        <v>102567</v>
      </c>
      <c r="L322" s="6" t="s">
        <v>29</v>
      </c>
      <c r="M322" s="6">
        <v>0.46</v>
      </c>
      <c r="N322" s="6">
        <v>0.59</v>
      </c>
      <c r="O322" s="6">
        <v>34512.78</v>
      </c>
      <c r="P322" s="6">
        <v>0</v>
      </c>
      <c r="Q322" s="6">
        <f t="shared" ca="1" si="14"/>
        <v>58</v>
      </c>
      <c r="R322" s="6">
        <f t="shared" ref="R322:R385" si="15">E322-O322</f>
        <v>-6430.7799999999988</v>
      </c>
      <c r="S322" s="7" t="str">
        <f t="shared" ref="S322:S385" si="16">IF(R322&gt;=0, "Profit","Loss")</f>
        <v>Loss</v>
      </c>
    </row>
    <row r="323" spans="1:19" x14ac:dyDescent="0.3">
      <c r="A323" s="4" t="s">
        <v>687</v>
      </c>
      <c r="B323" s="5">
        <v>45027</v>
      </c>
      <c r="C323" s="6" t="s">
        <v>688</v>
      </c>
      <c r="D323" s="6" t="s">
        <v>71</v>
      </c>
      <c r="E323" s="6">
        <v>30241</v>
      </c>
      <c r="F323" s="6">
        <v>15.4</v>
      </c>
      <c r="G323" s="6">
        <v>60</v>
      </c>
      <c r="H323" s="6" t="s">
        <v>19</v>
      </c>
      <c r="I323" s="6" t="s">
        <v>20</v>
      </c>
      <c r="J323" s="6" t="s">
        <v>32</v>
      </c>
      <c r="K323" s="6">
        <v>77574</v>
      </c>
      <c r="L323" s="6" t="s">
        <v>33</v>
      </c>
      <c r="M323" s="6">
        <v>0.36</v>
      </c>
      <c r="N323" s="6">
        <v>0.82</v>
      </c>
      <c r="O323" s="6">
        <v>34898.11</v>
      </c>
      <c r="P323" s="6">
        <v>0</v>
      </c>
      <c r="Q323" s="6">
        <f t="shared" ref="Q323:Q386" ca="1" si="17">DATEDIF(B323,TODAY(),"M")</f>
        <v>35</v>
      </c>
      <c r="R323" s="6">
        <f t="shared" si="15"/>
        <v>-4657.1100000000006</v>
      </c>
      <c r="S323" s="7" t="str">
        <f t="shared" si="16"/>
        <v>Loss</v>
      </c>
    </row>
    <row r="324" spans="1:19" x14ac:dyDescent="0.3">
      <c r="A324" s="4" t="s">
        <v>689</v>
      </c>
      <c r="B324" s="5">
        <v>45278</v>
      </c>
      <c r="C324" s="6" t="s">
        <v>690</v>
      </c>
      <c r="D324" s="6" t="s">
        <v>50</v>
      </c>
      <c r="E324" s="6">
        <v>31678</v>
      </c>
      <c r="F324" s="6">
        <v>14</v>
      </c>
      <c r="G324" s="6">
        <v>60</v>
      </c>
      <c r="H324" s="6" t="s">
        <v>26</v>
      </c>
      <c r="I324" s="6" t="s">
        <v>57</v>
      </c>
      <c r="J324" s="6" t="s">
        <v>28</v>
      </c>
      <c r="K324" s="6">
        <v>121051</v>
      </c>
      <c r="L324" s="6" t="s">
        <v>33</v>
      </c>
      <c r="M324" s="6">
        <v>0.22</v>
      </c>
      <c r="N324" s="6">
        <v>0.62</v>
      </c>
      <c r="O324" s="6">
        <v>5497.96</v>
      </c>
      <c r="P324" s="6">
        <v>0</v>
      </c>
      <c r="Q324" s="6">
        <f t="shared" ca="1" si="17"/>
        <v>27</v>
      </c>
      <c r="R324" s="6">
        <f t="shared" si="15"/>
        <v>26180.04</v>
      </c>
      <c r="S324" s="7" t="str">
        <f t="shared" si="16"/>
        <v>Profit</v>
      </c>
    </row>
    <row r="325" spans="1:19" x14ac:dyDescent="0.3">
      <c r="A325" s="4" t="s">
        <v>691</v>
      </c>
      <c r="B325" s="5">
        <v>44937</v>
      </c>
      <c r="C325" s="6" t="s">
        <v>692</v>
      </c>
      <c r="D325" s="6" t="s">
        <v>71</v>
      </c>
      <c r="E325" s="6">
        <v>12745</v>
      </c>
      <c r="F325" s="6">
        <v>16.2</v>
      </c>
      <c r="G325" s="6">
        <v>60</v>
      </c>
      <c r="H325" s="6" t="s">
        <v>19</v>
      </c>
      <c r="I325" s="6" t="s">
        <v>41</v>
      </c>
      <c r="J325" s="6" t="s">
        <v>32</v>
      </c>
      <c r="K325" s="6">
        <v>132020</v>
      </c>
      <c r="L325" s="6" t="s">
        <v>22</v>
      </c>
      <c r="M325" s="6">
        <v>0.22</v>
      </c>
      <c r="N325" s="6">
        <v>0.64</v>
      </c>
      <c r="O325" s="6">
        <v>14809.69</v>
      </c>
      <c r="P325" s="6">
        <v>0</v>
      </c>
      <c r="Q325" s="6">
        <f t="shared" ca="1" si="17"/>
        <v>38</v>
      </c>
      <c r="R325" s="6">
        <f t="shared" si="15"/>
        <v>-2064.6900000000005</v>
      </c>
      <c r="S325" s="7" t="str">
        <f t="shared" si="16"/>
        <v>Loss</v>
      </c>
    </row>
    <row r="326" spans="1:19" x14ac:dyDescent="0.3">
      <c r="A326" s="4" t="s">
        <v>693</v>
      </c>
      <c r="B326" s="5">
        <v>44313</v>
      </c>
      <c r="C326" s="6" t="s">
        <v>694</v>
      </c>
      <c r="D326" s="6" t="s">
        <v>46</v>
      </c>
      <c r="E326" s="6">
        <v>27029</v>
      </c>
      <c r="F326" s="6">
        <v>8.3000000000000007</v>
      </c>
      <c r="G326" s="6">
        <v>36</v>
      </c>
      <c r="H326" s="6" t="s">
        <v>26</v>
      </c>
      <c r="I326" s="6" t="s">
        <v>36</v>
      </c>
      <c r="J326" s="6" t="s">
        <v>32</v>
      </c>
      <c r="K326" s="6">
        <v>66182</v>
      </c>
      <c r="L326" s="6" t="s">
        <v>29</v>
      </c>
      <c r="M326" s="6">
        <v>0.46</v>
      </c>
      <c r="N326" s="6">
        <v>0.88</v>
      </c>
      <c r="O326" s="6">
        <v>7993.68</v>
      </c>
      <c r="P326" s="6">
        <v>0</v>
      </c>
      <c r="Q326" s="6">
        <f t="shared" ca="1" si="17"/>
        <v>58</v>
      </c>
      <c r="R326" s="6">
        <f t="shared" si="15"/>
        <v>19035.32</v>
      </c>
      <c r="S326" s="7" t="str">
        <f t="shared" si="16"/>
        <v>Profit</v>
      </c>
    </row>
    <row r="327" spans="1:19" x14ac:dyDescent="0.3">
      <c r="A327" s="4" t="s">
        <v>695</v>
      </c>
      <c r="B327" s="5">
        <v>44987</v>
      </c>
      <c r="C327" s="6" t="s">
        <v>696</v>
      </c>
      <c r="D327" s="6" t="s">
        <v>46</v>
      </c>
      <c r="E327" s="6">
        <v>14025</v>
      </c>
      <c r="F327" s="6">
        <v>17.3</v>
      </c>
      <c r="G327" s="6">
        <v>36</v>
      </c>
      <c r="H327" s="6" t="s">
        <v>19</v>
      </c>
      <c r="I327" s="6" t="s">
        <v>20</v>
      </c>
      <c r="J327" s="6" t="s">
        <v>32</v>
      </c>
      <c r="K327" s="6">
        <v>146136</v>
      </c>
      <c r="L327" s="6" t="s">
        <v>29</v>
      </c>
      <c r="M327" s="6">
        <v>0.11</v>
      </c>
      <c r="N327" s="6">
        <v>0.71</v>
      </c>
      <c r="O327" s="6">
        <v>16451.32</v>
      </c>
      <c r="P327" s="6">
        <v>0</v>
      </c>
      <c r="Q327" s="6">
        <f t="shared" ca="1" si="17"/>
        <v>36</v>
      </c>
      <c r="R327" s="6">
        <f t="shared" si="15"/>
        <v>-2426.3199999999997</v>
      </c>
      <c r="S327" s="7" t="str">
        <f t="shared" si="16"/>
        <v>Loss</v>
      </c>
    </row>
    <row r="328" spans="1:19" x14ac:dyDescent="0.3">
      <c r="A328" s="4" t="s">
        <v>697</v>
      </c>
      <c r="B328" s="5">
        <v>45209</v>
      </c>
      <c r="C328" s="6" t="s">
        <v>698</v>
      </c>
      <c r="D328" s="6" t="s">
        <v>53</v>
      </c>
      <c r="E328" s="6">
        <v>37124</v>
      </c>
      <c r="F328" s="6">
        <v>12.3</v>
      </c>
      <c r="G328" s="6">
        <v>36</v>
      </c>
      <c r="H328" s="6" t="s">
        <v>26</v>
      </c>
      <c r="I328" s="6" t="s">
        <v>72</v>
      </c>
      <c r="J328" s="6" t="s">
        <v>28</v>
      </c>
      <c r="K328" s="6">
        <v>30570</v>
      </c>
      <c r="L328" s="6" t="s">
        <v>22</v>
      </c>
      <c r="M328" s="6">
        <v>0.23</v>
      </c>
      <c r="N328" s="6">
        <v>0.8</v>
      </c>
      <c r="O328" s="6">
        <v>5431.36</v>
      </c>
      <c r="P328" s="6">
        <v>0</v>
      </c>
      <c r="Q328" s="6">
        <f t="shared" ca="1" si="17"/>
        <v>29</v>
      </c>
      <c r="R328" s="6">
        <f t="shared" si="15"/>
        <v>31692.639999999999</v>
      </c>
      <c r="S328" s="7" t="str">
        <f t="shared" si="16"/>
        <v>Profit</v>
      </c>
    </row>
    <row r="329" spans="1:19" x14ac:dyDescent="0.3">
      <c r="A329" s="4" t="s">
        <v>699</v>
      </c>
      <c r="B329" s="5">
        <v>45278</v>
      </c>
      <c r="C329" s="6" t="s">
        <v>700</v>
      </c>
      <c r="D329" s="6" t="s">
        <v>56</v>
      </c>
      <c r="E329" s="6">
        <v>15288</v>
      </c>
      <c r="F329" s="6">
        <v>22.9</v>
      </c>
      <c r="G329" s="6">
        <v>36</v>
      </c>
      <c r="H329" s="6" t="s">
        <v>19</v>
      </c>
      <c r="I329" s="6" t="s">
        <v>27</v>
      </c>
      <c r="J329" s="6" t="s">
        <v>37</v>
      </c>
      <c r="K329" s="6">
        <v>127790</v>
      </c>
      <c r="L329" s="6" t="s">
        <v>22</v>
      </c>
      <c r="M329" s="6">
        <v>0.32</v>
      </c>
      <c r="N329" s="6">
        <v>0.68</v>
      </c>
      <c r="O329" s="6">
        <v>18788.95</v>
      </c>
      <c r="P329" s="6">
        <v>0</v>
      </c>
      <c r="Q329" s="6">
        <f t="shared" ca="1" si="17"/>
        <v>27</v>
      </c>
      <c r="R329" s="6">
        <f t="shared" si="15"/>
        <v>-3500.9500000000007</v>
      </c>
      <c r="S329" s="7" t="str">
        <f t="shared" si="16"/>
        <v>Loss</v>
      </c>
    </row>
    <row r="330" spans="1:19" x14ac:dyDescent="0.3">
      <c r="A330" s="4" t="s">
        <v>701</v>
      </c>
      <c r="B330" s="5">
        <v>44830</v>
      </c>
      <c r="C330" s="6" t="s">
        <v>702</v>
      </c>
      <c r="D330" s="6" t="s">
        <v>46</v>
      </c>
      <c r="E330" s="6">
        <v>24650</v>
      </c>
      <c r="F330" s="6">
        <v>8.4</v>
      </c>
      <c r="G330" s="6">
        <v>36</v>
      </c>
      <c r="H330" s="6" t="s">
        <v>19</v>
      </c>
      <c r="I330" s="6" t="s">
        <v>20</v>
      </c>
      <c r="J330" s="6" t="s">
        <v>47</v>
      </c>
      <c r="K330" s="6">
        <v>49288</v>
      </c>
      <c r="L330" s="6" t="s">
        <v>29</v>
      </c>
      <c r="M330" s="6">
        <v>0.16</v>
      </c>
      <c r="N330" s="6">
        <v>0.63</v>
      </c>
      <c r="O330" s="6">
        <v>26720.6</v>
      </c>
      <c r="P330" s="6">
        <v>0</v>
      </c>
      <c r="Q330" s="6">
        <f t="shared" ca="1" si="17"/>
        <v>41</v>
      </c>
      <c r="R330" s="6">
        <f t="shared" si="15"/>
        <v>-2070.5999999999985</v>
      </c>
      <c r="S330" s="7" t="str">
        <f t="shared" si="16"/>
        <v>Loss</v>
      </c>
    </row>
    <row r="331" spans="1:19" x14ac:dyDescent="0.3">
      <c r="A331" s="4" t="s">
        <v>703</v>
      </c>
      <c r="B331" s="5">
        <v>44709</v>
      </c>
      <c r="C331" s="6" t="s">
        <v>704</v>
      </c>
      <c r="D331" s="6" t="s">
        <v>64</v>
      </c>
      <c r="E331" s="6">
        <v>7540</v>
      </c>
      <c r="F331" s="6">
        <v>15.1</v>
      </c>
      <c r="G331" s="6">
        <v>60</v>
      </c>
      <c r="H331" s="6" t="s">
        <v>19</v>
      </c>
      <c r="I331" s="6" t="s">
        <v>20</v>
      </c>
      <c r="J331" s="6" t="s">
        <v>37</v>
      </c>
      <c r="K331" s="6">
        <v>108824</v>
      </c>
      <c r="L331" s="6" t="s">
        <v>22</v>
      </c>
      <c r="M331" s="6">
        <v>0.14000000000000001</v>
      </c>
      <c r="N331" s="6">
        <v>0.78</v>
      </c>
      <c r="O331" s="6">
        <v>8678.5400000000009</v>
      </c>
      <c r="P331" s="6">
        <v>0</v>
      </c>
      <c r="Q331" s="6">
        <f t="shared" ca="1" si="17"/>
        <v>45</v>
      </c>
      <c r="R331" s="6">
        <f t="shared" si="15"/>
        <v>-1138.5400000000009</v>
      </c>
      <c r="S331" s="7" t="str">
        <f t="shared" si="16"/>
        <v>Loss</v>
      </c>
    </row>
    <row r="332" spans="1:19" x14ac:dyDescent="0.3">
      <c r="A332" s="4" t="s">
        <v>705</v>
      </c>
      <c r="B332" s="5">
        <v>44998</v>
      </c>
      <c r="C332" s="6" t="s">
        <v>706</v>
      </c>
      <c r="D332" s="6" t="s">
        <v>18</v>
      </c>
      <c r="E332" s="6">
        <v>33232</v>
      </c>
      <c r="F332" s="6">
        <v>17</v>
      </c>
      <c r="G332" s="6">
        <v>36</v>
      </c>
      <c r="H332" s="6" t="s">
        <v>19</v>
      </c>
      <c r="I332" s="6" t="s">
        <v>36</v>
      </c>
      <c r="J332" s="6" t="s">
        <v>28</v>
      </c>
      <c r="K332" s="6">
        <v>59877</v>
      </c>
      <c r="L332" s="6" t="s">
        <v>22</v>
      </c>
      <c r="M332" s="6">
        <v>0.43</v>
      </c>
      <c r="N332" s="6">
        <v>0.56999999999999995</v>
      </c>
      <c r="O332" s="6">
        <v>38881.440000000002</v>
      </c>
      <c r="P332" s="6">
        <v>0</v>
      </c>
      <c r="Q332" s="6">
        <f t="shared" ca="1" si="17"/>
        <v>36</v>
      </c>
      <c r="R332" s="6">
        <f t="shared" si="15"/>
        <v>-5649.4400000000023</v>
      </c>
      <c r="S332" s="7" t="str">
        <f t="shared" si="16"/>
        <v>Loss</v>
      </c>
    </row>
    <row r="333" spans="1:19" x14ac:dyDescent="0.3">
      <c r="A333" s="4" t="s">
        <v>707</v>
      </c>
      <c r="B333" s="5">
        <v>44756</v>
      </c>
      <c r="C333" s="6" t="s">
        <v>708</v>
      </c>
      <c r="D333" s="6" t="s">
        <v>40</v>
      </c>
      <c r="E333" s="6">
        <v>17422</v>
      </c>
      <c r="F333" s="6">
        <v>5.7</v>
      </c>
      <c r="G333" s="6">
        <v>36</v>
      </c>
      <c r="H333" s="6" t="s">
        <v>80</v>
      </c>
      <c r="I333" s="6" t="s">
        <v>41</v>
      </c>
      <c r="J333" s="6" t="s">
        <v>47</v>
      </c>
      <c r="K333" s="6">
        <v>114425</v>
      </c>
      <c r="L333" s="6" t="s">
        <v>22</v>
      </c>
      <c r="M333" s="6">
        <v>0.46</v>
      </c>
      <c r="N333" s="6">
        <v>0.67</v>
      </c>
      <c r="O333" s="6">
        <v>4227.59</v>
      </c>
      <c r="P333" s="6">
        <v>6267.26</v>
      </c>
      <c r="Q333" s="6">
        <f t="shared" ca="1" si="17"/>
        <v>44</v>
      </c>
      <c r="R333" s="6">
        <f t="shared" si="15"/>
        <v>13194.41</v>
      </c>
      <c r="S333" s="7" t="str">
        <f t="shared" si="16"/>
        <v>Profit</v>
      </c>
    </row>
    <row r="334" spans="1:19" x14ac:dyDescent="0.3">
      <c r="A334" s="4" t="s">
        <v>709</v>
      </c>
      <c r="B334" s="5">
        <v>44684</v>
      </c>
      <c r="C334" s="6" t="s">
        <v>710</v>
      </c>
      <c r="D334" s="6" t="s">
        <v>46</v>
      </c>
      <c r="E334" s="6">
        <v>4342</v>
      </c>
      <c r="F334" s="6">
        <v>12.3</v>
      </c>
      <c r="G334" s="6">
        <v>36</v>
      </c>
      <c r="H334" s="6" t="s">
        <v>19</v>
      </c>
      <c r="I334" s="6" t="s">
        <v>41</v>
      </c>
      <c r="J334" s="6" t="s">
        <v>47</v>
      </c>
      <c r="K334" s="6">
        <v>30917</v>
      </c>
      <c r="L334" s="6" t="s">
        <v>29</v>
      </c>
      <c r="M334" s="6">
        <v>0.43</v>
      </c>
      <c r="N334" s="6">
        <v>0.59</v>
      </c>
      <c r="O334" s="6">
        <v>4876.07</v>
      </c>
      <c r="P334" s="6">
        <v>0</v>
      </c>
      <c r="Q334" s="6">
        <f t="shared" ca="1" si="17"/>
        <v>46</v>
      </c>
      <c r="R334" s="6">
        <f t="shared" si="15"/>
        <v>-534.06999999999971</v>
      </c>
      <c r="S334" s="7" t="str">
        <f t="shared" si="16"/>
        <v>Loss</v>
      </c>
    </row>
    <row r="335" spans="1:19" x14ac:dyDescent="0.3">
      <c r="A335" s="4" t="s">
        <v>711</v>
      </c>
      <c r="B335" s="5">
        <v>45093</v>
      </c>
      <c r="C335" s="6" t="s">
        <v>712</v>
      </c>
      <c r="D335" s="6" t="s">
        <v>53</v>
      </c>
      <c r="E335" s="6">
        <v>36612</v>
      </c>
      <c r="F335" s="6">
        <v>19.7</v>
      </c>
      <c r="G335" s="6">
        <v>36</v>
      </c>
      <c r="H335" s="6" t="s">
        <v>26</v>
      </c>
      <c r="I335" s="6" t="s">
        <v>83</v>
      </c>
      <c r="J335" s="6" t="s">
        <v>47</v>
      </c>
      <c r="K335" s="6">
        <v>105602</v>
      </c>
      <c r="L335" s="6" t="s">
        <v>22</v>
      </c>
      <c r="M335" s="6">
        <v>0.46</v>
      </c>
      <c r="N335" s="6">
        <v>0.81</v>
      </c>
      <c r="O335" s="6">
        <v>7072.66</v>
      </c>
      <c r="P335" s="6">
        <v>0</v>
      </c>
      <c r="Q335" s="6">
        <f t="shared" ca="1" si="17"/>
        <v>33</v>
      </c>
      <c r="R335" s="6">
        <f t="shared" si="15"/>
        <v>29539.34</v>
      </c>
      <c r="S335" s="7" t="str">
        <f t="shared" si="16"/>
        <v>Profit</v>
      </c>
    </row>
    <row r="336" spans="1:19" x14ac:dyDescent="0.3">
      <c r="A336" s="4" t="s">
        <v>713</v>
      </c>
      <c r="B336" s="5">
        <v>44900</v>
      </c>
      <c r="C336" s="6" t="s">
        <v>714</v>
      </c>
      <c r="D336" s="6" t="s">
        <v>40</v>
      </c>
      <c r="E336" s="6">
        <v>11396</v>
      </c>
      <c r="F336" s="6">
        <v>21.4</v>
      </c>
      <c r="G336" s="6">
        <v>36</v>
      </c>
      <c r="H336" s="6" t="s">
        <v>2045</v>
      </c>
      <c r="I336" s="6" t="s">
        <v>27</v>
      </c>
      <c r="J336" s="6" t="s">
        <v>21</v>
      </c>
      <c r="K336" s="6">
        <v>125040</v>
      </c>
      <c r="L336" s="6" t="s">
        <v>33</v>
      </c>
      <c r="M336" s="6">
        <v>0.32</v>
      </c>
      <c r="N336" s="6">
        <v>0.92</v>
      </c>
      <c r="O336" s="6">
        <v>0</v>
      </c>
      <c r="P336" s="6">
        <v>0</v>
      </c>
      <c r="Q336" s="6">
        <f t="shared" ca="1" si="17"/>
        <v>39</v>
      </c>
      <c r="R336" s="6">
        <f t="shared" si="15"/>
        <v>11396</v>
      </c>
      <c r="S336" s="7" t="str">
        <f t="shared" si="16"/>
        <v>Profit</v>
      </c>
    </row>
    <row r="337" spans="1:19" x14ac:dyDescent="0.3">
      <c r="A337" s="4" t="s">
        <v>715</v>
      </c>
      <c r="B337" s="5">
        <v>44777</v>
      </c>
      <c r="C337" s="6" t="s">
        <v>716</v>
      </c>
      <c r="D337" s="6" t="s">
        <v>64</v>
      </c>
      <c r="E337" s="6">
        <v>18482</v>
      </c>
      <c r="F337" s="6">
        <v>11.3</v>
      </c>
      <c r="G337" s="6">
        <v>60</v>
      </c>
      <c r="H337" s="6" t="s">
        <v>26</v>
      </c>
      <c r="I337" s="6" t="s">
        <v>57</v>
      </c>
      <c r="J337" s="6" t="s">
        <v>28</v>
      </c>
      <c r="K337" s="6">
        <v>94575</v>
      </c>
      <c r="L337" s="6" t="s">
        <v>33</v>
      </c>
      <c r="M337" s="6">
        <v>0.42</v>
      </c>
      <c r="N337" s="6">
        <v>0.95</v>
      </c>
      <c r="O337" s="6">
        <v>3142.25</v>
      </c>
      <c r="P337" s="6">
        <v>0</v>
      </c>
      <c r="Q337" s="6">
        <f t="shared" ca="1" si="17"/>
        <v>43</v>
      </c>
      <c r="R337" s="6">
        <f t="shared" si="15"/>
        <v>15339.75</v>
      </c>
      <c r="S337" s="7" t="str">
        <f t="shared" si="16"/>
        <v>Profit</v>
      </c>
    </row>
    <row r="338" spans="1:19" x14ac:dyDescent="0.3">
      <c r="A338" s="4" t="s">
        <v>717</v>
      </c>
      <c r="B338" s="5">
        <v>44986</v>
      </c>
      <c r="C338" s="6" t="s">
        <v>718</v>
      </c>
      <c r="D338" s="6" t="s">
        <v>56</v>
      </c>
      <c r="E338" s="6">
        <v>24411</v>
      </c>
      <c r="F338" s="6">
        <v>21</v>
      </c>
      <c r="G338" s="6">
        <v>36</v>
      </c>
      <c r="H338" s="6" t="s">
        <v>19</v>
      </c>
      <c r="I338" s="6" t="s">
        <v>20</v>
      </c>
      <c r="J338" s="6" t="s">
        <v>21</v>
      </c>
      <c r="K338" s="6">
        <v>102518</v>
      </c>
      <c r="L338" s="6" t="s">
        <v>29</v>
      </c>
      <c r="M338" s="6">
        <v>0.25</v>
      </c>
      <c r="N338" s="6">
        <v>0.7</v>
      </c>
      <c r="O338" s="6">
        <v>29537.31</v>
      </c>
      <c r="P338" s="6">
        <v>0</v>
      </c>
      <c r="Q338" s="6">
        <f t="shared" ca="1" si="17"/>
        <v>36</v>
      </c>
      <c r="R338" s="6">
        <f t="shared" si="15"/>
        <v>-5126.3100000000013</v>
      </c>
      <c r="S338" s="7" t="str">
        <f t="shared" si="16"/>
        <v>Loss</v>
      </c>
    </row>
    <row r="339" spans="1:19" x14ac:dyDescent="0.3">
      <c r="A339" s="4" t="s">
        <v>719</v>
      </c>
      <c r="B339" s="5">
        <v>45057</v>
      </c>
      <c r="C339" s="6" t="s">
        <v>720</v>
      </c>
      <c r="D339" s="6" t="s">
        <v>75</v>
      </c>
      <c r="E339" s="6">
        <v>14261</v>
      </c>
      <c r="F339" s="6">
        <v>24.4</v>
      </c>
      <c r="G339" s="6">
        <v>36</v>
      </c>
      <c r="H339" s="6" t="s">
        <v>80</v>
      </c>
      <c r="I339" s="6" t="s">
        <v>20</v>
      </c>
      <c r="J339" s="6" t="s">
        <v>47</v>
      </c>
      <c r="K339" s="6">
        <v>69104</v>
      </c>
      <c r="L339" s="6" t="s">
        <v>22</v>
      </c>
      <c r="M339" s="6">
        <v>0.37</v>
      </c>
      <c r="N339" s="6">
        <v>0.61</v>
      </c>
      <c r="O339" s="6">
        <v>5563.15</v>
      </c>
      <c r="P339" s="6">
        <v>3087.26</v>
      </c>
      <c r="Q339" s="6">
        <f t="shared" ca="1" si="17"/>
        <v>34</v>
      </c>
      <c r="R339" s="6">
        <f t="shared" si="15"/>
        <v>8697.85</v>
      </c>
      <c r="S339" s="7" t="str">
        <f t="shared" si="16"/>
        <v>Profit</v>
      </c>
    </row>
    <row r="340" spans="1:19" x14ac:dyDescent="0.3">
      <c r="A340" s="4" t="s">
        <v>721</v>
      </c>
      <c r="B340" s="5">
        <v>44443</v>
      </c>
      <c r="C340" s="6" t="s">
        <v>722</v>
      </c>
      <c r="D340" s="6" t="s">
        <v>71</v>
      </c>
      <c r="E340" s="6">
        <v>4093</v>
      </c>
      <c r="F340" s="6">
        <v>22.1</v>
      </c>
      <c r="G340" s="6">
        <v>36</v>
      </c>
      <c r="H340" s="6" t="s">
        <v>19</v>
      </c>
      <c r="I340" s="6" t="s">
        <v>27</v>
      </c>
      <c r="J340" s="6" t="s">
        <v>21</v>
      </c>
      <c r="K340" s="6">
        <v>48062</v>
      </c>
      <c r="L340" s="6" t="s">
        <v>33</v>
      </c>
      <c r="M340" s="6">
        <v>0.5</v>
      </c>
      <c r="N340" s="6">
        <v>0.7</v>
      </c>
      <c r="O340" s="6">
        <v>4997.55</v>
      </c>
      <c r="P340" s="6">
        <v>0</v>
      </c>
      <c r="Q340" s="6">
        <f t="shared" ca="1" si="17"/>
        <v>54</v>
      </c>
      <c r="R340" s="6">
        <f t="shared" si="15"/>
        <v>-904.55000000000018</v>
      </c>
      <c r="S340" s="7" t="str">
        <f t="shared" si="16"/>
        <v>Loss</v>
      </c>
    </row>
    <row r="341" spans="1:19" x14ac:dyDescent="0.3">
      <c r="A341" s="4" t="s">
        <v>723</v>
      </c>
      <c r="B341" s="5">
        <v>44350</v>
      </c>
      <c r="C341" s="6" t="s">
        <v>724</v>
      </c>
      <c r="D341" s="6" t="s">
        <v>64</v>
      </c>
      <c r="E341" s="6">
        <v>12722</v>
      </c>
      <c r="F341" s="6">
        <v>7.4</v>
      </c>
      <c r="G341" s="6">
        <v>60</v>
      </c>
      <c r="H341" s="6" t="s">
        <v>19</v>
      </c>
      <c r="I341" s="6" t="s">
        <v>83</v>
      </c>
      <c r="J341" s="6" t="s">
        <v>21</v>
      </c>
      <c r="K341" s="6">
        <v>46999</v>
      </c>
      <c r="L341" s="6" t="s">
        <v>29</v>
      </c>
      <c r="M341" s="6">
        <v>0.19</v>
      </c>
      <c r="N341" s="6">
        <v>0.88</v>
      </c>
      <c r="O341" s="6">
        <v>13663.43</v>
      </c>
      <c r="P341" s="6">
        <v>0</v>
      </c>
      <c r="Q341" s="6">
        <f t="shared" ca="1" si="17"/>
        <v>57</v>
      </c>
      <c r="R341" s="6">
        <f t="shared" si="15"/>
        <v>-941.43000000000029</v>
      </c>
      <c r="S341" s="7" t="str">
        <f t="shared" si="16"/>
        <v>Loss</v>
      </c>
    </row>
    <row r="342" spans="1:19" x14ac:dyDescent="0.3">
      <c r="A342" s="4" t="s">
        <v>725</v>
      </c>
      <c r="B342" s="5">
        <v>45193</v>
      </c>
      <c r="C342" s="6" t="s">
        <v>726</v>
      </c>
      <c r="D342" s="6" t="s">
        <v>50</v>
      </c>
      <c r="E342" s="6">
        <v>23042</v>
      </c>
      <c r="F342" s="6">
        <v>19.8</v>
      </c>
      <c r="G342" s="6">
        <v>60</v>
      </c>
      <c r="H342" s="6" t="s">
        <v>80</v>
      </c>
      <c r="I342" s="6" t="s">
        <v>83</v>
      </c>
      <c r="J342" s="6" t="s">
        <v>28</v>
      </c>
      <c r="K342" s="6">
        <v>91845</v>
      </c>
      <c r="L342" s="6" t="s">
        <v>33</v>
      </c>
      <c r="M342" s="6">
        <v>0.26</v>
      </c>
      <c r="N342" s="6">
        <v>0.59</v>
      </c>
      <c r="O342" s="6">
        <v>3410.73</v>
      </c>
      <c r="P342" s="6">
        <v>2992.03</v>
      </c>
      <c r="Q342" s="6">
        <f t="shared" ca="1" si="17"/>
        <v>29</v>
      </c>
      <c r="R342" s="6">
        <f t="shared" si="15"/>
        <v>19631.27</v>
      </c>
      <c r="S342" s="7" t="str">
        <f t="shared" si="16"/>
        <v>Profit</v>
      </c>
    </row>
    <row r="343" spans="1:19" x14ac:dyDescent="0.3">
      <c r="A343" s="4" t="s">
        <v>727</v>
      </c>
      <c r="B343" s="5">
        <v>44893</v>
      </c>
      <c r="C343" s="6" t="s">
        <v>728</v>
      </c>
      <c r="D343" s="6" t="s">
        <v>25</v>
      </c>
      <c r="E343" s="6">
        <v>29087</v>
      </c>
      <c r="F343" s="6">
        <v>11.4</v>
      </c>
      <c r="G343" s="6">
        <v>60</v>
      </c>
      <c r="H343" s="6" t="s">
        <v>26</v>
      </c>
      <c r="I343" s="6" t="s">
        <v>36</v>
      </c>
      <c r="J343" s="6" t="s">
        <v>32</v>
      </c>
      <c r="K343" s="6">
        <v>39941</v>
      </c>
      <c r="L343" s="6" t="s">
        <v>22</v>
      </c>
      <c r="M343" s="6">
        <v>0.28999999999999998</v>
      </c>
      <c r="N343" s="6">
        <v>0.93</v>
      </c>
      <c r="O343" s="6">
        <v>11759.78</v>
      </c>
      <c r="P343" s="6">
        <v>0</v>
      </c>
      <c r="Q343" s="6">
        <f t="shared" ca="1" si="17"/>
        <v>39</v>
      </c>
      <c r="R343" s="6">
        <f t="shared" si="15"/>
        <v>17327.22</v>
      </c>
      <c r="S343" s="7" t="str">
        <f t="shared" si="16"/>
        <v>Profit</v>
      </c>
    </row>
    <row r="344" spans="1:19" x14ac:dyDescent="0.3">
      <c r="A344" s="4" t="s">
        <v>729</v>
      </c>
      <c r="B344" s="5">
        <v>45289</v>
      </c>
      <c r="C344" s="6" t="s">
        <v>730</v>
      </c>
      <c r="D344" s="6" t="s">
        <v>53</v>
      </c>
      <c r="E344" s="6">
        <v>33347</v>
      </c>
      <c r="F344" s="6">
        <v>24.8</v>
      </c>
      <c r="G344" s="6">
        <v>36</v>
      </c>
      <c r="H344" s="6" t="s">
        <v>19</v>
      </c>
      <c r="I344" s="6" t="s">
        <v>83</v>
      </c>
      <c r="J344" s="6" t="s">
        <v>21</v>
      </c>
      <c r="K344" s="6">
        <v>91169</v>
      </c>
      <c r="L344" s="6" t="s">
        <v>29</v>
      </c>
      <c r="M344" s="6">
        <v>0.16</v>
      </c>
      <c r="N344" s="6">
        <v>0.65</v>
      </c>
      <c r="O344" s="6">
        <v>41617.06</v>
      </c>
      <c r="P344" s="6">
        <v>0</v>
      </c>
      <c r="Q344" s="6">
        <f t="shared" ca="1" si="17"/>
        <v>26</v>
      </c>
      <c r="R344" s="6">
        <f t="shared" si="15"/>
        <v>-8270.0599999999977</v>
      </c>
      <c r="S344" s="7" t="str">
        <f t="shared" si="16"/>
        <v>Loss</v>
      </c>
    </row>
    <row r="345" spans="1:19" x14ac:dyDescent="0.3">
      <c r="A345" s="4" t="s">
        <v>731</v>
      </c>
      <c r="B345" s="5">
        <v>45267</v>
      </c>
      <c r="C345" s="6" t="s">
        <v>732</v>
      </c>
      <c r="D345" s="6" t="s">
        <v>71</v>
      </c>
      <c r="E345" s="6">
        <v>34756</v>
      </c>
      <c r="F345" s="6">
        <v>14.7</v>
      </c>
      <c r="G345" s="6">
        <v>60</v>
      </c>
      <c r="H345" s="6" t="s">
        <v>19</v>
      </c>
      <c r="I345" s="6" t="s">
        <v>41</v>
      </c>
      <c r="J345" s="6" t="s">
        <v>21</v>
      </c>
      <c r="K345" s="6">
        <v>53470</v>
      </c>
      <c r="L345" s="6" t="s">
        <v>33</v>
      </c>
      <c r="M345" s="6">
        <v>0.13</v>
      </c>
      <c r="N345" s="6">
        <v>0.94</v>
      </c>
      <c r="O345" s="6">
        <v>39865.129999999997</v>
      </c>
      <c r="P345" s="6">
        <v>0</v>
      </c>
      <c r="Q345" s="6">
        <f t="shared" ca="1" si="17"/>
        <v>27</v>
      </c>
      <c r="R345" s="6">
        <f t="shared" si="15"/>
        <v>-5109.1299999999974</v>
      </c>
      <c r="S345" s="7" t="str">
        <f t="shared" si="16"/>
        <v>Loss</v>
      </c>
    </row>
    <row r="346" spans="1:19" x14ac:dyDescent="0.3">
      <c r="A346" s="4" t="s">
        <v>733</v>
      </c>
      <c r="B346" s="5">
        <v>45205</v>
      </c>
      <c r="C346" s="6" t="s">
        <v>734</v>
      </c>
      <c r="D346" s="6" t="s">
        <v>50</v>
      </c>
      <c r="E346" s="6">
        <v>17335</v>
      </c>
      <c r="F346" s="6">
        <v>7.4</v>
      </c>
      <c r="G346" s="6">
        <v>36</v>
      </c>
      <c r="H346" s="6" t="s">
        <v>19</v>
      </c>
      <c r="I346" s="6" t="s">
        <v>20</v>
      </c>
      <c r="J346" s="6" t="s">
        <v>47</v>
      </c>
      <c r="K346" s="6">
        <v>140684</v>
      </c>
      <c r="L346" s="6" t="s">
        <v>29</v>
      </c>
      <c r="M346" s="6">
        <v>0.43</v>
      </c>
      <c r="N346" s="6">
        <v>0.88</v>
      </c>
      <c r="O346" s="6">
        <v>18617.79</v>
      </c>
      <c r="P346" s="6">
        <v>0</v>
      </c>
      <c r="Q346" s="6">
        <f t="shared" ca="1" si="17"/>
        <v>29</v>
      </c>
      <c r="R346" s="6">
        <f t="shared" si="15"/>
        <v>-1282.7900000000009</v>
      </c>
      <c r="S346" s="7" t="str">
        <f t="shared" si="16"/>
        <v>Loss</v>
      </c>
    </row>
    <row r="347" spans="1:19" x14ac:dyDescent="0.3">
      <c r="A347" s="4" t="s">
        <v>735</v>
      </c>
      <c r="B347" s="5">
        <v>44290</v>
      </c>
      <c r="C347" s="6" t="s">
        <v>736</v>
      </c>
      <c r="D347" s="6" t="s">
        <v>75</v>
      </c>
      <c r="E347" s="6">
        <v>29602</v>
      </c>
      <c r="F347" s="6">
        <v>19.5</v>
      </c>
      <c r="G347" s="6">
        <v>36</v>
      </c>
      <c r="H347" s="6" t="s">
        <v>19</v>
      </c>
      <c r="I347" s="6" t="s">
        <v>27</v>
      </c>
      <c r="J347" s="6" t="s">
        <v>47</v>
      </c>
      <c r="K347" s="6">
        <v>89821</v>
      </c>
      <c r="L347" s="6" t="s">
        <v>33</v>
      </c>
      <c r="M347" s="6">
        <v>0.49</v>
      </c>
      <c r="N347" s="6">
        <v>0.86</v>
      </c>
      <c r="O347" s="6">
        <v>35374.39</v>
      </c>
      <c r="P347" s="6">
        <v>0</v>
      </c>
      <c r="Q347" s="6">
        <f t="shared" ca="1" si="17"/>
        <v>59</v>
      </c>
      <c r="R347" s="6">
        <f t="shared" si="15"/>
        <v>-5772.3899999999994</v>
      </c>
      <c r="S347" s="7" t="str">
        <f t="shared" si="16"/>
        <v>Loss</v>
      </c>
    </row>
    <row r="348" spans="1:19" x14ac:dyDescent="0.3">
      <c r="A348" s="4" t="s">
        <v>737</v>
      </c>
      <c r="B348" s="5">
        <v>45154</v>
      </c>
      <c r="C348" s="6" t="s">
        <v>738</v>
      </c>
      <c r="D348" s="6" t="s">
        <v>50</v>
      </c>
      <c r="E348" s="6">
        <v>35450</v>
      </c>
      <c r="F348" s="6">
        <v>11.5</v>
      </c>
      <c r="G348" s="6">
        <v>60</v>
      </c>
      <c r="H348" s="6" t="s">
        <v>19</v>
      </c>
      <c r="I348" s="6" t="s">
        <v>72</v>
      </c>
      <c r="J348" s="6" t="s">
        <v>47</v>
      </c>
      <c r="K348" s="6">
        <v>116669</v>
      </c>
      <c r="L348" s="6" t="s">
        <v>33</v>
      </c>
      <c r="M348" s="6">
        <v>0.26</v>
      </c>
      <c r="N348" s="6">
        <v>0.64</v>
      </c>
      <c r="O348" s="6">
        <v>39526.75</v>
      </c>
      <c r="P348" s="6">
        <v>0</v>
      </c>
      <c r="Q348" s="6">
        <f t="shared" ca="1" si="17"/>
        <v>31</v>
      </c>
      <c r="R348" s="6">
        <f t="shared" si="15"/>
        <v>-4076.75</v>
      </c>
      <c r="S348" s="7" t="str">
        <f t="shared" si="16"/>
        <v>Loss</v>
      </c>
    </row>
    <row r="349" spans="1:19" x14ac:dyDescent="0.3">
      <c r="A349" s="4" t="s">
        <v>739</v>
      </c>
      <c r="B349" s="5">
        <v>45208</v>
      </c>
      <c r="C349" s="6" t="s">
        <v>740</v>
      </c>
      <c r="D349" s="6" t="s">
        <v>56</v>
      </c>
      <c r="E349" s="6">
        <v>33196</v>
      </c>
      <c r="F349" s="6">
        <v>24.9</v>
      </c>
      <c r="G349" s="6">
        <v>36</v>
      </c>
      <c r="H349" s="6" t="s">
        <v>2045</v>
      </c>
      <c r="I349" s="6" t="s">
        <v>57</v>
      </c>
      <c r="J349" s="6" t="s">
        <v>37</v>
      </c>
      <c r="K349" s="6">
        <v>148193</v>
      </c>
      <c r="L349" s="6" t="s">
        <v>22</v>
      </c>
      <c r="M349" s="6">
        <v>0.14000000000000001</v>
      </c>
      <c r="N349" s="6">
        <v>0.5</v>
      </c>
      <c r="O349" s="6">
        <v>0</v>
      </c>
      <c r="P349" s="6">
        <v>0</v>
      </c>
      <c r="Q349" s="6">
        <f t="shared" ca="1" si="17"/>
        <v>29</v>
      </c>
      <c r="R349" s="6">
        <f t="shared" si="15"/>
        <v>33196</v>
      </c>
      <c r="S349" s="7" t="str">
        <f t="shared" si="16"/>
        <v>Profit</v>
      </c>
    </row>
    <row r="350" spans="1:19" x14ac:dyDescent="0.3">
      <c r="A350" s="4" t="s">
        <v>741</v>
      </c>
      <c r="B350" s="5">
        <v>44649</v>
      </c>
      <c r="C350" s="6" t="s">
        <v>742</v>
      </c>
      <c r="D350" s="6" t="s">
        <v>25</v>
      </c>
      <c r="E350" s="6">
        <v>6626</v>
      </c>
      <c r="F350" s="6">
        <v>24.6</v>
      </c>
      <c r="G350" s="6">
        <v>36</v>
      </c>
      <c r="H350" s="6" t="s">
        <v>80</v>
      </c>
      <c r="I350" s="6" t="s">
        <v>41</v>
      </c>
      <c r="J350" s="6" t="s">
        <v>21</v>
      </c>
      <c r="K350" s="6">
        <v>74435</v>
      </c>
      <c r="L350" s="6" t="s">
        <v>22</v>
      </c>
      <c r="M350" s="6">
        <v>0.13</v>
      </c>
      <c r="N350" s="6">
        <v>0.67</v>
      </c>
      <c r="O350" s="6">
        <v>2618.92</v>
      </c>
      <c r="P350" s="6">
        <v>2120.33</v>
      </c>
      <c r="Q350" s="6">
        <f t="shared" ca="1" si="17"/>
        <v>47</v>
      </c>
      <c r="R350" s="6">
        <f t="shared" si="15"/>
        <v>4007.08</v>
      </c>
      <c r="S350" s="7" t="str">
        <f t="shared" si="16"/>
        <v>Profit</v>
      </c>
    </row>
    <row r="351" spans="1:19" x14ac:dyDescent="0.3">
      <c r="A351" s="4" t="s">
        <v>743</v>
      </c>
      <c r="B351" s="5">
        <v>45108</v>
      </c>
      <c r="C351" s="6" t="s">
        <v>744</v>
      </c>
      <c r="D351" s="6" t="s">
        <v>40</v>
      </c>
      <c r="E351" s="6">
        <v>8424</v>
      </c>
      <c r="F351" s="6">
        <v>18.100000000000001</v>
      </c>
      <c r="G351" s="6">
        <v>36</v>
      </c>
      <c r="H351" s="6" t="s">
        <v>80</v>
      </c>
      <c r="I351" s="6" t="s">
        <v>36</v>
      </c>
      <c r="J351" s="6" t="s">
        <v>47</v>
      </c>
      <c r="K351" s="6">
        <v>34529</v>
      </c>
      <c r="L351" s="6" t="s">
        <v>33</v>
      </c>
      <c r="M351" s="6">
        <v>0.46</v>
      </c>
      <c r="N351" s="6">
        <v>0.64</v>
      </c>
      <c r="O351" s="6">
        <v>892.7</v>
      </c>
      <c r="P351" s="6">
        <v>1919.6</v>
      </c>
      <c r="Q351" s="6">
        <f t="shared" ca="1" si="17"/>
        <v>32</v>
      </c>
      <c r="R351" s="6">
        <f t="shared" si="15"/>
        <v>7531.3</v>
      </c>
      <c r="S351" s="7" t="str">
        <f t="shared" si="16"/>
        <v>Profit</v>
      </c>
    </row>
    <row r="352" spans="1:19" x14ac:dyDescent="0.3">
      <c r="A352" s="4" t="s">
        <v>745</v>
      </c>
      <c r="B352" s="5">
        <v>44414</v>
      </c>
      <c r="C352" s="6" t="s">
        <v>746</v>
      </c>
      <c r="D352" s="6" t="s">
        <v>71</v>
      </c>
      <c r="E352" s="6">
        <v>13857</v>
      </c>
      <c r="F352" s="6">
        <v>7.6</v>
      </c>
      <c r="G352" s="6">
        <v>60</v>
      </c>
      <c r="H352" s="6" t="s">
        <v>19</v>
      </c>
      <c r="I352" s="6" t="s">
        <v>20</v>
      </c>
      <c r="J352" s="6" t="s">
        <v>28</v>
      </c>
      <c r="K352" s="6">
        <v>113055</v>
      </c>
      <c r="L352" s="6" t="s">
        <v>29</v>
      </c>
      <c r="M352" s="6">
        <v>0.28999999999999998</v>
      </c>
      <c r="N352" s="6">
        <v>0.52</v>
      </c>
      <c r="O352" s="6">
        <v>14910.13</v>
      </c>
      <c r="P352" s="6">
        <v>0</v>
      </c>
      <c r="Q352" s="6">
        <f t="shared" ca="1" si="17"/>
        <v>55</v>
      </c>
      <c r="R352" s="6">
        <f t="shared" si="15"/>
        <v>-1053.1299999999992</v>
      </c>
      <c r="S352" s="7" t="str">
        <f t="shared" si="16"/>
        <v>Loss</v>
      </c>
    </row>
    <row r="353" spans="1:19" x14ac:dyDescent="0.3">
      <c r="A353" s="4" t="s">
        <v>747</v>
      </c>
      <c r="B353" s="5">
        <v>44670</v>
      </c>
      <c r="C353" s="6" t="s">
        <v>748</v>
      </c>
      <c r="D353" s="6" t="s">
        <v>25</v>
      </c>
      <c r="E353" s="6">
        <v>20982</v>
      </c>
      <c r="F353" s="6">
        <v>18.7</v>
      </c>
      <c r="G353" s="6">
        <v>36</v>
      </c>
      <c r="H353" s="6" t="s">
        <v>26</v>
      </c>
      <c r="I353" s="6" t="s">
        <v>20</v>
      </c>
      <c r="J353" s="6" t="s">
        <v>37</v>
      </c>
      <c r="K353" s="6">
        <v>42192</v>
      </c>
      <c r="L353" s="6" t="s">
        <v>29</v>
      </c>
      <c r="M353" s="6">
        <v>0.23</v>
      </c>
      <c r="N353" s="6">
        <v>0.73</v>
      </c>
      <c r="O353" s="6">
        <v>7649.25</v>
      </c>
      <c r="P353" s="6">
        <v>0</v>
      </c>
      <c r="Q353" s="6">
        <f t="shared" ca="1" si="17"/>
        <v>47</v>
      </c>
      <c r="R353" s="6">
        <f t="shared" si="15"/>
        <v>13332.75</v>
      </c>
      <c r="S353" s="7" t="str">
        <f t="shared" si="16"/>
        <v>Profit</v>
      </c>
    </row>
    <row r="354" spans="1:19" x14ac:dyDescent="0.3">
      <c r="A354" s="4" t="s">
        <v>749</v>
      </c>
      <c r="B354" s="5">
        <v>44628</v>
      </c>
      <c r="C354" s="6" t="s">
        <v>750</v>
      </c>
      <c r="D354" s="6" t="s">
        <v>18</v>
      </c>
      <c r="E354" s="6">
        <v>12425</v>
      </c>
      <c r="F354" s="6">
        <v>6.9</v>
      </c>
      <c r="G354" s="6">
        <v>36</v>
      </c>
      <c r="H354" s="6" t="s">
        <v>80</v>
      </c>
      <c r="I354" s="6" t="s">
        <v>27</v>
      </c>
      <c r="J354" s="6" t="s">
        <v>32</v>
      </c>
      <c r="K354" s="6">
        <v>104102</v>
      </c>
      <c r="L354" s="6" t="s">
        <v>22</v>
      </c>
      <c r="M354" s="6">
        <v>0.28999999999999998</v>
      </c>
      <c r="N354" s="6">
        <v>0.68</v>
      </c>
      <c r="O354" s="6">
        <v>2185.23</v>
      </c>
      <c r="P354" s="6">
        <v>5996.91</v>
      </c>
      <c r="Q354" s="6">
        <f t="shared" ca="1" si="17"/>
        <v>48</v>
      </c>
      <c r="R354" s="6">
        <f t="shared" si="15"/>
        <v>10239.77</v>
      </c>
      <c r="S354" s="7" t="str">
        <f t="shared" si="16"/>
        <v>Profit</v>
      </c>
    </row>
    <row r="355" spans="1:19" x14ac:dyDescent="0.3">
      <c r="A355" s="4" t="s">
        <v>751</v>
      </c>
      <c r="B355" s="5">
        <v>44537</v>
      </c>
      <c r="C355" s="6" t="s">
        <v>752</v>
      </c>
      <c r="D355" s="6" t="s">
        <v>64</v>
      </c>
      <c r="E355" s="6">
        <v>2980</v>
      </c>
      <c r="F355" s="6">
        <v>5.6</v>
      </c>
      <c r="G355" s="6">
        <v>60</v>
      </c>
      <c r="H355" s="6" t="s">
        <v>80</v>
      </c>
      <c r="I355" s="6" t="s">
        <v>72</v>
      </c>
      <c r="J355" s="6" t="s">
        <v>21</v>
      </c>
      <c r="K355" s="6">
        <v>102762</v>
      </c>
      <c r="L355" s="6" t="s">
        <v>33</v>
      </c>
      <c r="M355" s="6">
        <v>0.23</v>
      </c>
      <c r="N355" s="6">
        <v>0.79</v>
      </c>
      <c r="O355" s="6">
        <v>334.2</v>
      </c>
      <c r="P355" s="6">
        <v>420.5</v>
      </c>
      <c r="Q355" s="6">
        <f t="shared" ca="1" si="17"/>
        <v>51</v>
      </c>
      <c r="R355" s="6">
        <f t="shared" si="15"/>
        <v>2645.8</v>
      </c>
      <c r="S355" s="7" t="str">
        <f t="shared" si="16"/>
        <v>Profit</v>
      </c>
    </row>
    <row r="356" spans="1:19" x14ac:dyDescent="0.3">
      <c r="A356" s="4" t="s">
        <v>753</v>
      </c>
      <c r="B356" s="5">
        <v>44747</v>
      </c>
      <c r="C356" s="6" t="s">
        <v>754</v>
      </c>
      <c r="D356" s="6" t="s">
        <v>18</v>
      </c>
      <c r="E356" s="6">
        <v>27431</v>
      </c>
      <c r="F356" s="6">
        <v>21.5</v>
      </c>
      <c r="G356" s="6">
        <v>36</v>
      </c>
      <c r="H356" s="6" t="s">
        <v>19</v>
      </c>
      <c r="I356" s="6" t="s">
        <v>36</v>
      </c>
      <c r="J356" s="6" t="s">
        <v>21</v>
      </c>
      <c r="K356" s="6">
        <v>133466</v>
      </c>
      <c r="L356" s="6" t="s">
        <v>22</v>
      </c>
      <c r="M356" s="6">
        <v>0.3</v>
      </c>
      <c r="N356" s="6">
        <v>0.78</v>
      </c>
      <c r="O356" s="6">
        <v>33328.660000000003</v>
      </c>
      <c r="P356" s="6">
        <v>0</v>
      </c>
      <c r="Q356" s="6">
        <f t="shared" ca="1" si="17"/>
        <v>44</v>
      </c>
      <c r="R356" s="6">
        <f t="shared" si="15"/>
        <v>-5897.6600000000035</v>
      </c>
      <c r="S356" s="7" t="str">
        <f t="shared" si="16"/>
        <v>Loss</v>
      </c>
    </row>
    <row r="357" spans="1:19" x14ac:dyDescent="0.3">
      <c r="A357" s="4" t="s">
        <v>755</v>
      </c>
      <c r="B357" s="5">
        <v>44553</v>
      </c>
      <c r="C357" s="6" t="s">
        <v>756</v>
      </c>
      <c r="D357" s="6" t="s">
        <v>64</v>
      </c>
      <c r="E357" s="6">
        <v>20440</v>
      </c>
      <c r="F357" s="6">
        <v>9.1999999999999993</v>
      </c>
      <c r="G357" s="6">
        <v>36</v>
      </c>
      <c r="H357" s="6" t="s">
        <v>19</v>
      </c>
      <c r="I357" s="6" t="s">
        <v>20</v>
      </c>
      <c r="J357" s="6" t="s">
        <v>28</v>
      </c>
      <c r="K357" s="6">
        <v>144894</v>
      </c>
      <c r="L357" s="6" t="s">
        <v>33</v>
      </c>
      <c r="M357" s="6">
        <v>0.44</v>
      </c>
      <c r="N357" s="6">
        <v>0.55000000000000004</v>
      </c>
      <c r="O357" s="6">
        <v>22320.48</v>
      </c>
      <c r="P357" s="6">
        <v>0</v>
      </c>
      <c r="Q357" s="6">
        <f t="shared" ca="1" si="17"/>
        <v>50</v>
      </c>
      <c r="R357" s="6">
        <f t="shared" si="15"/>
        <v>-1880.4799999999996</v>
      </c>
      <c r="S357" s="7" t="str">
        <f t="shared" si="16"/>
        <v>Loss</v>
      </c>
    </row>
    <row r="358" spans="1:19" x14ac:dyDescent="0.3">
      <c r="A358" s="4" t="s">
        <v>757</v>
      </c>
      <c r="B358" s="5">
        <v>44219</v>
      </c>
      <c r="C358" s="6" t="s">
        <v>758</v>
      </c>
      <c r="D358" s="6" t="s">
        <v>56</v>
      </c>
      <c r="E358" s="6">
        <v>18175</v>
      </c>
      <c r="F358" s="6">
        <v>12.6</v>
      </c>
      <c r="G358" s="6">
        <v>60</v>
      </c>
      <c r="H358" s="6" t="s">
        <v>19</v>
      </c>
      <c r="I358" s="6" t="s">
        <v>20</v>
      </c>
      <c r="J358" s="6" t="s">
        <v>32</v>
      </c>
      <c r="K358" s="6">
        <v>116795</v>
      </c>
      <c r="L358" s="6" t="s">
        <v>33</v>
      </c>
      <c r="M358" s="6">
        <v>0.34</v>
      </c>
      <c r="N358" s="6">
        <v>0.94</v>
      </c>
      <c r="O358" s="6">
        <v>20465.05</v>
      </c>
      <c r="P358" s="6">
        <v>0</v>
      </c>
      <c r="Q358" s="6">
        <f t="shared" ca="1" si="17"/>
        <v>61</v>
      </c>
      <c r="R358" s="6">
        <f t="shared" si="15"/>
        <v>-2290.0499999999993</v>
      </c>
      <c r="S358" s="7" t="str">
        <f t="shared" si="16"/>
        <v>Loss</v>
      </c>
    </row>
    <row r="359" spans="1:19" x14ac:dyDescent="0.3">
      <c r="A359" s="4" t="s">
        <v>759</v>
      </c>
      <c r="B359" s="5">
        <v>44718</v>
      </c>
      <c r="C359" s="6" t="s">
        <v>760</v>
      </c>
      <c r="D359" s="6" t="s">
        <v>25</v>
      </c>
      <c r="E359" s="6">
        <v>27385</v>
      </c>
      <c r="F359" s="6">
        <v>24.5</v>
      </c>
      <c r="G359" s="6">
        <v>36</v>
      </c>
      <c r="H359" s="6" t="s">
        <v>26</v>
      </c>
      <c r="I359" s="6" t="s">
        <v>57</v>
      </c>
      <c r="J359" s="6" t="s">
        <v>32</v>
      </c>
      <c r="K359" s="6">
        <v>64087</v>
      </c>
      <c r="L359" s="6" t="s">
        <v>22</v>
      </c>
      <c r="M359" s="6">
        <v>0.38</v>
      </c>
      <c r="N359" s="6">
        <v>0.57999999999999996</v>
      </c>
      <c r="O359" s="6">
        <v>6334.16</v>
      </c>
      <c r="P359" s="6">
        <v>0</v>
      </c>
      <c r="Q359" s="6">
        <f t="shared" ca="1" si="17"/>
        <v>45</v>
      </c>
      <c r="R359" s="6">
        <f t="shared" si="15"/>
        <v>21050.84</v>
      </c>
      <c r="S359" s="7" t="str">
        <f t="shared" si="16"/>
        <v>Profit</v>
      </c>
    </row>
    <row r="360" spans="1:19" x14ac:dyDescent="0.3">
      <c r="A360" s="4" t="s">
        <v>761</v>
      </c>
      <c r="B360" s="5">
        <v>44998</v>
      </c>
      <c r="C360" s="6" t="s">
        <v>762</v>
      </c>
      <c r="D360" s="6" t="s">
        <v>75</v>
      </c>
      <c r="E360" s="6">
        <v>39158</v>
      </c>
      <c r="F360" s="6">
        <v>11.7</v>
      </c>
      <c r="G360" s="6">
        <v>36</v>
      </c>
      <c r="H360" s="6" t="s">
        <v>26</v>
      </c>
      <c r="I360" s="6" t="s">
        <v>20</v>
      </c>
      <c r="J360" s="6" t="s">
        <v>37</v>
      </c>
      <c r="K360" s="6">
        <v>96677</v>
      </c>
      <c r="L360" s="6" t="s">
        <v>29</v>
      </c>
      <c r="M360" s="6">
        <v>0.25</v>
      </c>
      <c r="N360" s="6">
        <v>0.7</v>
      </c>
      <c r="O360" s="6">
        <v>18437.47</v>
      </c>
      <c r="P360" s="6">
        <v>0</v>
      </c>
      <c r="Q360" s="6">
        <f t="shared" ca="1" si="17"/>
        <v>36</v>
      </c>
      <c r="R360" s="6">
        <f t="shared" si="15"/>
        <v>20720.53</v>
      </c>
      <c r="S360" s="7" t="str">
        <f t="shared" si="16"/>
        <v>Profit</v>
      </c>
    </row>
    <row r="361" spans="1:19" x14ac:dyDescent="0.3">
      <c r="A361" s="4" t="s">
        <v>763</v>
      </c>
      <c r="B361" s="5">
        <v>44958</v>
      </c>
      <c r="C361" s="6" t="s">
        <v>764</v>
      </c>
      <c r="D361" s="6" t="s">
        <v>46</v>
      </c>
      <c r="E361" s="6">
        <v>24019</v>
      </c>
      <c r="F361" s="6">
        <v>10.9</v>
      </c>
      <c r="G361" s="6">
        <v>36</v>
      </c>
      <c r="H361" s="6" t="s">
        <v>26</v>
      </c>
      <c r="I361" s="6" t="s">
        <v>20</v>
      </c>
      <c r="J361" s="6" t="s">
        <v>21</v>
      </c>
      <c r="K361" s="6">
        <v>34627</v>
      </c>
      <c r="L361" s="6" t="s">
        <v>22</v>
      </c>
      <c r="M361" s="6">
        <v>0.4</v>
      </c>
      <c r="N361" s="6">
        <v>0.72</v>
      </c>
      <c r="O361" s="6">
        <v>1328.11</v>
      </c>
      <c r="P361" s="6">
        <v>0</v>
      </c>
      <c r="Q361" s="6">
        <f t="shared" ca="1" si="17"/>
        <v>37</v>
      </c>
      <c r="R361" s="6">
        <f t="shared" si="15"/>
        <v>22690.89</v>
      </c>
      <c r="S361" s="7" t="str">
        <f t="shared" si="16"/>
        <v>Profit</v>
      </c>
    </row>
    <row r="362" spans="1:19" x14ac:dyDescent="0.3">
      <c r="A362" s="4" t="s">
        <v>765</v>
      </c>
      <c r="B362" s="5">
        <v>44638</v>
      </c>
      <c r="C362" s="6" t="s">
        <v>766</v>
      </c>
      <c r="D362" s="6" t="s">
        <v>50</v>
      </c>
      <c r="E362" s="6">
        <v>19639</v>
      </c>
      <c r="F362" s="6">
        <v>23.4</v>
      </c>
      <c r="G362" s="6">
        <v>36</v>
      </c>
      <c r="H362" s="6" t="s">
        <v>19</v>
      </c>
      <c r="I362" s="6" t="s">
        <v>36</v>
      </c>
      <c r="J362" s="6" t="s">
        <v>47</v>
      </c>
      <c r="K362" s="6">
        <v>86541</v>
      </c>
      <c r="L362" s="6" t="s">
        <v>33</v>
      </c>
      <c r="M362" s="6">
        <v>0.37</v>
      </c>
      <c r="N362" s="6">
        <v>0.87</v>
      </c>
      <c r="O362" s="6">
        <v>24234.53</v>
      </c>
      <c r="P362" s="6">
        <v>0</v>
      </c>
      <c r="Q362" s="6">
        <f t="shared" ca="1" si="17"/>
        <v>48</v>
      </c>
      <c r="R362" s="6">
        <f t="shared" si="15"/>
        <v>-4595.5299999999988</v>
      </c>
      <c r="S362" s="7" t="str">
        <f t="shared" si="16"/>
        <v>Loss</v>
      </c>
    </row>
    <row r="363" spans="1:19" x14ac:dyDescent="0.3">
      <c r="A363" s="4" t="s">
        <v>767</v>
      </c>
      <c r="B363" s="5">
        <v>44965</v>
      </c>
      <c r="C363" s="6" t="s">
        <v>768</v>
      </c>
      <c r="D363" s="6" t="s">
        <v>46</v>
      </c>
      <c r="E363" s="6">
        <v>20994</v>
      </c>
      <c r="F363" s="6">
        <v>7.2</v>
      </c>
      <c r="G363" s="6">
        <v>36</v>
      </c>
      <c r="H363" s="6" t="s">
        <v>19</v>
      </c>
      <c r="I363" s="6" t="s">
        <v>57</v>
      </c>
      <c r="J363" s="6" t="s">
        <v>28</v>
      </c>
      <c r="K363" s="6">
        <v>142805</v>
      </c>
      <c r="L363" s="6" t="s">
        <v>22</v>
      </c>
      <c r="M363" s="6">
        <v>0.15</v>
      </c>
      <c r="N363" s="6">
        <v>0.54</v>
      </c>
      <c r="O363" s="6">
        <v>22505.57</v>
      </c>
      <c r="P363" s="6">
        <v>0</v>
      </c>
      <c r="Q363" s="6">
        <f t="shared" ca="1" si="17"/>
        <v>37</v>
      </c>
      <c r="R363" s="6">
        <f t="shared" si="15"/>
        <v>-1511.5699999999997</v>
      </c>
      <c r="S363" s="7" t="str">
        <f t="shared" si="16"/>
        <v>Loss</v>
      </c>
    </row>
    <row r="364" spans="1:19" x14ac:dyDescent="0.3">
      <c r="A364" s="4" t="s">
        <v>769</v>
      </c>
      <c r="B364" s="5">
        <v>45212</v>
      </c>
      <c r="C364" s="6" t="s">
        <v>770</v>
      </c>
      <c r="D364" s="6" t="s">
        <v>25</v>
      </c>
      <c r="E364" s="6">
        <v>35375</v>
      </c>
      <c r="F364" s="6">
        <v>20.2</v>
      </c>
      <c r="G364" s="6">
        <v>60</v>
      </c>
      <c r="H364" s="6" t="s">
        <v>19</v>
      </c>
      <c r="I364" s="6" t="s">
        <v>57</v>
      </c>
      <c r="J364" s="6" t="s">
        <v>28</v>
      </c>
      <c r="K364" s="6">
        <v>98226</v>
      </c>
      <c r="L364" s="6" t="s">
        <v>29</v>
      </c>
      <c r="M364" s="6">
        <v>0.33</v>
      </c>
      <c r="N364" s="6">
        <v>0.69</v>
      </c>
      <c r="O364" s="6">
        <v>42520.75</v>
      </c>
      <c r="P364" s="6">
        <v>0</v>
      </c>
      <c r="Q364" s="6">
        <f t="shared" ca="1" si="17"/>
        <v>29</v>
      </c>
      <c r="R364" s="6">
        <f t="shared" si="15"/>
        <v>-7145.75</v>
      </c>
      <c r="S364" s="7" t="str">
        <f t="shared" si="16"/>
        <v>Loss</v>
      </c>
    </row>
    <row r="365" spans="1:19" x14ac:dyDescent="0.3">
      <c r="A365" s="4" t="s">
        <v>771</v>
      </c>
      <c r="B365" s="5">
        <v>44712</v>
      </c>
      <c r="C365" s="6" t="s">
        <v>772</v>
      </c>
      <c r="D365" s="6" t="s">
        <v>18</v>
      </c>
      <c r="E365" s="6">
        <v>22563</v>
      </c>
      <c r="F365" s="6">
        <v>24.8</v>
      </c>
      <c r="G365" s="6">
        <v>60</v>
      </c>
      <c r="H365" s="6" t="s">
        <v>19</v>
      </c>
      <c r="I365" s="6" t="s">
        <v>20</v>
      </c>
      <c r="J365" s="6" t="s">
        <v>28</v>
      </c>
      <c r="K365" s="6">
        <v>135627</v>
      </c>
      <c r="L365" s="6" t="s">
        <v>29</v>
      </c>
      <c r="M365" s="6">
        <v>0.2</v>
      </c>
      <c r="N365" s="6">
        <v>0.78</v>
      </c>
      <c r="O365" s="6">
        <v>28158.62</v>
      </c>
      <c r="P365" s="6">
        <v>0</v>
      </c>
      <c r="Q365" s="6">
        <f t="shared" ca="1" si="17"/>
        <v>45</v>
      </c>
      <c r="R365" s="6">
        <f t="shared" si="15"/>
        <v>-5595.619999999999</v>
      </c>
      <c r="S365" s="7" t="str">
        <f t="shared" si="16"/>
        <v>Loss</v>
      </c>
    </row>
    <row r="366" spans="1:19" x14ac:dyDescent="0.3">
      <c r="A366" s="4" t="s">
        <v>773</v>
      </c>
      <c r="B366" s="5">
        <v>45236</v>
      </c>
      <c r="C366" s="6" t="s">
        <v>774</v>
      </c>
      <c r="D366" s="6" t="s">
        <v>46</v>
      </c>
      <c r="E366" s="6">
        <v>6776</v>
      </c>
      <c r="F366" s="6">
        <v>23</v>
      </c>
      <c r="G366" s="6">
        <v>60</v>
      </c>
      <c r="H366" s="6" t="s">
        <v>19</v>
      </c>
      <c r="I366" s="6" t="s">
        <v>57</v>
      </c>
      <c r="J366" s="6" t="s">
        <v>28</v>
      </c>
      <c r="K366" s="6">
        <v>33255</v>
      </c>
      <c r="L366" s="6" t="s">
        <v>33</v>
      </c>
      <c r="M366" s="6">
        <v>0.42</v>
      </c>
      <c r="N366" s="6">
        <v>0.6</v>
      </c>
      <c r="O366" s="6">
        <v>8334.48</v>
      </c>
      <c r="P366" s="6">
        <v>0</v>
      </c>
      <c r="Q366" s="6">
        <f t="shared" ca="1" si="17"/>
        <v>28</v>
      </c>
      <c r="R366" s="6">
        <f t="shared" si="15"/>
        <v>-1558.4799999999996</v>
      </c>
      <c r="S366" s="7" t="str">
        <f t="shared" si="16"/>
        <v>Loss</v>
      </c>
    </row>
    <row r="367" spans="1:19" x14ac:dyDescent="0.3">
      <c r="A367" s="4" t="s">
        <v>775</v>
      </c>
      <c r="B367" s="5">
        <v>44988</v>
      </c>
      <c r="C367" s="6" t="s">
        <v>776</v>
      </c>
      <c r="D367" s="6" t="s">
        <v>53</v>
      </c>
      <c r="E367" s="6">
        <v>37444</v>
      </c>
      <c r="F367" s="6">
        <v>18</v>
      </c>
      <c r="G367" s="6">
        <v>60</v>
      </c>
      <c r="H367" s="6" t="s">
        <v>26</v>
      </c>
      <c r="I367" s="6" t="s">
        <v>83</v>
      </c>
      <c r="J367" s="6" t="s">
        <v>47</v>
      </c>
      <c r="K367" s="6">
        <v>87433</v>
      </c>
      <c r="L367" s="6" t="s">
        <v>22</v>
      </c>
      <c r="M367" s="6">
        <v>0.27</v>
      </c>
      <c r="N367" s="6">
        <v>0.78</v>
      </c>
      <c r="O367" s="6">
        <v>11777.96</v>
      </c>
      <c r="P367" s="6">
        <v>0</v>
      </c>
      <c r="Q367" s="6">
        <f t="shared" ca="1" si="17"/>
        <v>36</v>
      </c>
      <c r="R367" s="6">
        <f t="shared" si="15"/>
        <v>25666.04</v>
      </c>
      <c r="S367" s="7" t="str">
        <f t="shared" si="16"/>
        <v>Profit</v>
      </c>
    </row>
    <row r="368" spans="1:19" x14ac:dyDescent="0.3">
      <c r="A368" s="4" t="s">
        <v>777</v>
      </c>
      <c r="B368" s="5">
        <v>44532</v>
      </c>
      <c r="C368" s="6" t="s">
        <v>778</v>
      </c>
      <c r="D368" s="6" t="s">
        <v>46</v>
      </c>
      <c r="E368" s="6">
        <v>4380</v>
      </c>
      <c r="F368" s="6">
        <v>11.3</v>
      </c>
      <c r="G368" s="6">
        <v>36</v>
      </c>
      <c r="H368" s="6" t="s">
        <v>19</v>
      </c>
      <c r="I368" s="6" t="s">
        <v>72</v>
      </c>
      <c r="J368" s="6" t="s">
        <v>47</v>
      </c>
      <c r="K368" s="6">
        <v>35213</v>
      </c>
      <c r="L368" s="6" t="s">
        <v>29</v>
      </c>
      <c r="M368" s="6">
        <v>0.5</v>
      </c>
      <c r="N368" s="6">
        <v>0.92</v>
      </c>
      <c r="O368" s="6">
        <v>4874.9399999999996</v>
      </c>
      <c r="P368" s="6">
        <v>0</v>
      </c>
      <c r="Q368" s="6">
        <f t="shared" ca="1" si="17"/>
        <v>51</v>
      </c>
      <c r="R368" s="6">
        <f t="shared" si="15"/>
        <v>-494.9399999999996</v>
      </c>
      <c r="S368" s="7" t="str">
        <f t="shared" si="16"/>
        <v>Loss</v>
      </c>
    </row>
    <row r="369" spans="1:19" x14ac:dyDescent="0.3">
      <c r="A369" s="4" t="s">
        <v>779</v>
      </c>
      <c r="B369" s="5">
        <v>44454</v>
      </c>
      <c r="C369" s="6" t="s">
        <v>780</v>
      </c>
      <c r="D369" s="6" t="s">
        <v>64</v>
      </c>
      <c r="E369" s="6">
        <v>9711</v>
      </c>
      <c r="F369" s="6">
        <v>10.1</v>
      </c>
      <c r="G369" s="6">
        <v>36</v>
      </c>
      <c r="H369" s="6" t="s">
        <v>26</v>
      </c>
      <c r="I369" s="6" t="s">
        <v>27</v>
      </c>
      <c r="J369" s="6" t="s">
        <v>37</v>
      </c>
      <c r="K369" s="6">
        <v>132412</v>
      </c>
      <c r="L369" s="6" t="s">
        <v>22</v>
      </c>
      <c r="M369" s="6">
        <v>0.14000000000000001</v>
      </c>
      <c r="N369" s="6">
        <v>0.95</v>
      </c>
      <c r="O369" s="6">
        <v>2676.63</v>
      </c>
      <c r="P369" s="6">
        <v>0</v>
      </c>
      <c r="Q369" s="6">
        <f t="shared" ca="1" si="17"/>
        <v>54</v>
      </c>
      <c r="R369" s="6">
        <f t="shared" si="15"/>
        <v>7034.37</v>
      </c>
      <c r="S369" s="7" t="str">
        <f t="shared" si="16"/>
        <v>Profit</v>
      </c>
    </row>
    <row r="370" spans="1:19" x14ac:dyDescent="0.3">
      <c r="A370" s="4" t="s">
        <v>781</v>
      </c>
      <c r="B370" s="5">
        <v>44693</v>
      </c>
      <c r="C370" s="6" t="s">
        <v>782</v>
      </c>
      <c r="D370" s="6" t="s">
        <v>53</v>
      </c>
      <c r="E370" s="6">
        <v>9782</v>
      </c>
      <c r="F370" s="6">
        <v>21.4</v>
      </c>
      <c r="G370" s="6">
        <v>36</v>
      </c>
      <c r="H370" s="6" t="s">
        <v>19</v>
      </c>
      <c r="I370" s="6" t="s">
        <v>57</v>
      </c>
      <c r="J370" s="6" t="s">
        <v>21</v>
      </c>
      <c r="K370" s="6">
        <v>49404</v>
      </c>
      <c r="L370" s="6" t="s">
        <v>29</v>
      </c>
      <c r="M370" s="6">
        <v>0.41</v>
      </c>
      <c r="N370" s="6">
        <v>0.51</v>
      </c>
      <c r="O370" s="6">
        <v>11875.35</v>
      </c>
      <c r="P370" s="6">
        <v>0</v>
      </c>
      <c r="Q370" s="6">
        <f t="shared" ca="1" si="17"/>
        <v>46</v>
      </c>
      <c r="R370" s="6">
        <f t="shared" si="15"/>
        <v>-2093.3500000000004</v>
      </c>
      <c r="S370" s="7" t="str">
        <f t="shared" si="16"/>
        <v>Loss</v>
      </c>
    </row>
    <row r="371" spans="1:19" x14ac:dyDescent="0.3">
      <c r="A371" s="4" t="s">
        <v>783</v>
      </c>
      <c r="B371" s="5">
        <v>45092</v>
      </c>
      <c r="C371" s="6" t="s">
        <v>784</v>
      </c>
      <c r="D371" s="6" t="s">
        <v>71</v>
      </c>
      <c r="E371" s="6">
        <v>18434</v>
      </c>
      <c r="F371" s="6">
        <v>22.6</v>
      </c>
      <c r="G371" s="6">
        <v>36</v>
      </c>
      <c r="H371" s="6" t="s">
        <v>19</v>
      </c>
      <c r="I371" s="6" t="s">
        <v>57</v>
      </c>
      <c r="J371" s="6" t="s">
        <v>47</v>
      </c>
      <c r="K371" s="6">
        <v>146545</v>
      </c>
      <c r="L371" s="6" t="s">
        <v>33</v>
      </c>
      <c r="M371" s="6">
        <v>0.37</v>
      </c>
      <c r="N371" s="6">
        <v>0.61</v>
      </c>
      <c r="O371" s="6">
        <v>22600.080000000002</v>
      </c>
      <c r="P371" s="6">
        <v>0</v>
      </c>
      <c r="Q371" s="6">
        <f t="shared" ca="1" si="17"/>
        <v>33</v>
      </c>
      <c r="R371" s="6">
        <f t="shared" si="15"/>
        <v>-4166.0800000000017</v>
      </c>
      <c r="S371" s="7" t="str">
        <f t="shared" si="16"/>
        <v>Loss</v>
      </c>
    </row>
    <row r="372" spans="1:19" x14ac:dyDescent="0.3">
      <c r="A372" s="4" t="s">
        <v>785</v>
      </c>
      <c r="B372" s="5">
        <v>44356</v>
      </c>
      <c r="C372" s="6" t="s">
        <v>786</v>
      </c>
      <c r="D372" s="6" t="s">
        <v>46</v>
      </c>
      <c r="E372" s="6">
        <v>21017</v>
      </c>
      <c r="F372" s="6">
        <v>15.5</v>
      </c>
      <c r="G372" s="6">
        <v>36</v>
      </c>
      <c r="H372" s="6" t="s">
        <v>19</v>
      </c>
      <c r="I372" s="6" t="s">
        <v>72</v>
      </c>
      <c r="J372" s="6" t="s">
        <v>37</v>
      </c>
      <c r="K372" s="6">
        <v>55380</v>
      </c>
      <c r="L372" s="6" t="s">
        <v>33</v>
      </c>
      <c r="M372" s="6">
        <v>0.41</v>
      </c>
      <c r="N372" s="6">
        <v>0.64</v>
      </c>
      <c r="O372" s="6">
        <v>24274.639999999999</v>
      </c>
      <c r="P372" s="6">
        <v>0</v>
      </c>
      <c r="Q372" s="6">
        <f t="shared" ca="1" si="17"/>
        <v>57</v>
      </c>
      <c r="R372" s="6">
        <f t="shared" si="15"/>
        <v>-3257.6399999999994</v>
      </c>
      <c r="S372" s="7" t="str">
        <f t="shared" si="16"/>
        <v>Loss</v>
      </c>
    </row>
    <row r="373" spans="1:19" x14ac:dyDescent="0.3">
      <c r="A373" s="4" t="s">
        <v>787</v>
      </c>
      <c r="B373" s="5">
        <v>45048</v>
      </c>
      <c r="C373" s="6" t="s">
        <v>788</v>
      </c>
      <c r="D373" s="6" t="s">
        <v>53</v>
      </c>
      <c r="E373" s="6">
        <v>31707</v>
      </c>
      <c r="F373" s="6">
        <v>9.9</v>
      </c>
      <c r="G373" s="6">
        <v>60</v>
      </c>
      <c r="H373" s="6" t="s">
        <v>80</v>
      </c>
      <c r="I373" s="6" t="s">
        <v>57</v>
      </c>
      <c r="J373" s="6" t="s">
        <v>32</v>
      </c>
      <c r="K373" s="6">
        <v>121056</v>
      </c>
      <c r="L373" s="6" t="s">
        <v>22</v>
      </c>
      <c r="M373" s="6">
        <v>0.22</v>
      </c>
      <c r="N373" s="6">
        <v>0.68</v>
      </c>
      <c r="O373" s="6">
        <v>11478.42</v>
      </c>
      <c r="P373" s="6">
        <v>11714.89</v>
      </c>
      <c r="Q373" s="6">
        <f t="shared" ca="1" si="17"/>
        <v>34</v>
      </c>
      <c r="R373" s="6">
        <f t="shared" si="15"/>
        <v>20228.580000000002</v>
      </c>
      <c r="S373" s="7" t="str">
        <f t="shared" si="16"/>
        <v>Profit</v>
      </c>
    </row>
    <row r="374" spans="1:19" x14ac:dyDescent="0.3">
      <c r="A374" s="4" t="s">
        <v>789</v>
      </c>
      <c r="B374" s="5">
        <v>44886</v>
      </c>
      <c r="C374" s="6" t="s">
        <v>790</v>
      </c>
      <c r="D374" s="6" t="s">
        <v>25</v>
      </c>
      <c r="E374" s="6">
        <v>18343</v>
      </c>
      <c r="F374" s="6">
        <v>7.3</v>
      </c>
      <c r="G374" s="6">
        <v>60</v>
      </c>
      <c r="H374" s="6" t="s">
        <v>19</v>
      </c>
      <c r="I374" s="6" t="s">
        <v>83</v>
      </c>
      <c r="J374" s="6" t="s">
        <v>21</v>
      </c>
      <c r="K374" s="6">
        <v>49173</v>
      </c>
      <c r="L374" s="6" t="s">
        <v>33</v>
      </c>
      <c r="M374" s="6">
        <v>0.3</v>
      </c>
      <c r="N374" s="6">
        <v>0.61</v>
      </c>
      <c r="O374" s="6">
        <v>19682.04</v>
      </c>
      <c r="P374" s="6">
        <v>0</v>
      </c>
      <c r="Q374" s="6">
        <f t="shared" ca="1" si="17"/>
        <v>39</v>
      </c>
      <c r="R374" s="6">
        <f t="shared" si="15"/>
        <v>-1339.0400000000009</v>
      </c>
      <c r="S374" s="7" t="str">
        <f t="shared" si="16"/>
        <v>Loss</v>
      </c>
    </row>
    <row r="375" spans="1:19" x14ac:dyDescent="0.3">
      <c r="A375" s="4" t="s">
        <v>791</v>
      </c>
      <c r="B375" s="5">
        <v>44576</v>
      </c>
      <c r="C375" s="6" t="s">
        <v>792</v>
      </c>
      <c r="D375" s="6" t="s">
        <v>50</v>
      </c>
      <c r="E375" s="6">
        <v>39827</v>
      </c>
      <c r="F375" s="6">
        <v>6.7</v>
      </c>
      <c r="G375" s="6">
        <v>36</v>
      </c>
      <c r="H375" s="6" t="s">
        <v>26</v>
      </c>
      <c r="I375" s="6" t="s">
        <v>57</v>
      </c>
      <c r="J375" s="6" t="s">
        <v>47</v>
      </c>
      <c r="K375" s="6">
        <v>83027</v>
      </c>
      <c r="L375" s="6" t="s">
        <v>29</v>
      </c>
      <c r="M375" s="6">
        <v>0.42</v>
      </c>
      <c r="N375" s="6">
        <v>0.59</v>
      </c>
      <c r="O375" s="6">
        <v>3496.84</v>
      </c>
      <c r="P375" s="6">
        <v>0</v>
      </c>
      <c r="Q375" s="6">
        <f t="shared" ca="1" si="17"/>
        <v>50</v>
      </c>
      <c r="R375" s="6">
        <f t="shared" si="15"/>
        <v>36330.160000000003</v>
      </c>
      <c r="S375" s="7" t="str">
        <f t="shared" si="16"/>
        <v>Profit</v>
      </c>
    </row>
    <row r="376" spans="1:19" x14ac:dyDescent="0.3">
      <c r="A376" s="4" t="s">
        <v>793</v>
      </c>
      <c r="B376" s="5">
        <v>45153</v>
      </c>
      <c r="C376" s="6" t="s">
        <v>794</v>
      </c>
      <c r="D376" s="6" t="s">
        <v>71</v>
      </c>
      <c r="E376" s="6">
        <v>6655</v>
      </c>
      <c r="F376" s="6">
        <v>19.399999999999999</v>
      </c>
      <c r="G376" s="6">
        <v>36</v>
      </c>
      <c r="H376" s="6" t="s">
        <v>19</v>
      </c>
      <c r="I376" s="6" t="s">
        <v>27</v>
      </c>
      <c r="J376" s="6" t="s">
        <v>32</v>
      </c>
      <c r="K376" s="6">
        <v>53989</v>
      </c>
      <c r="L376" s="6" t="s">
        <v>33</v>
      </c>
      <c r="M376" s="6">
        <v>0.19</v>
      </c>
      <c r="N376" s="6">
        <v>0.93</v>
      </c>
      <c r="O376" s="6">
        <v>7946.07</v>
      </c>
      <c r="P376" s="6">
        <v>0</v>
      </c>
      <c r="Q376" s="6">
        <f t="shared" ca="1" si="17"/>
        <v>31</v>
      </c>
      <c r="R376" s="6">
        <f t="shared" si="15"/>
        <v>-1291.0699999999997</v>
      </c>
      <c r="S376" s="7" t="str">
        <f t="shared" si="16"/>
        <v>Loss</v>
      </c>
    </row>
    <row r="377" spans="1:19" x14ac:dyDescent="0.3">
      <c r="A377" s="4" t="s">
        <v>795</v>
      </c>
      <c r="B377" s="5">
        <v>44887</v>
      </c>
      <c r="C377" s="6" t="s">
        <v>796</v>
      </c>
      <c r="D377" s="6" t="s">
        <v>75</v>
      </c>
      <c r="E377" s="6">
        <v>16251</v>
      </c>
      <c r="F377" s="6">
        <v>13.4</v>
      </c>
      <c r="G377" s="6">
        <v>36</v>
      </c>
      <c r="H377" s="6" t="s">
        <v>80</v>
      </c>
      <c r="I377" s="6" t="s">
        <v>20</v>
      </c>
      <c r="J377" s="6" t="s">
        <v>37</v>
      </c>
      <c r="K377" s="6">
        <v>138106</v>
      </c>
      <c r="L377" s="6" t="s">
        <v>29</v>
      </c>
      <c r="M377" s="6">
        <v>0.19</v>
      </c>
      <c r="N377" s="6">
        <v>0.91</v>
      </c>
      <c r="O377" s="6">
        <v>4947.74</v>
      </c>
      <c r="P377" s="6">
        <v>1644.69</v>
      </c>
      <c r="Q377" s="6">
        <f t="shared" ca="1" si="17"/>
        <v>39</v>
      </c>
      <c r="R377" s="6">
        <f t="shared" si="15"/>
        <v>11303.26</v>
      </c>
      <c r="S377" s="7" t="str">
        <f t="shared" si="16"/>
        <v>Profit</v>
      </c>
    </row>
    <row r="378" spans="1:19" x14ac:dyDescent="0.3">
      <c r="A378" s="4" t="s">
        <v>797</v>
      </c>
      <c r="B378" s="5">
        <v>45263</v>
      </c>
      <c r="C378" s="6" t="s">
        <v>798</v>
      </c>
      <c r="D378" s="6" t="s">
        <v>75</v>
      </c>
      <c r="E378" s="6">
        <v>1526</v>
      </c>
      <c r="F378" s="6">
        <v>23.1</v>
      </c>
      <c r="G378" s="6">
        <v>60</v>
      </c>
      <c r="H378" s="6" t="s">
        <v>26</v>
      </c>
      <c r="I378" s="6" t="s">
        <v>27</v>
      </c>
      <c r="J378" s="6" t="s">
        <v>47</v>
      </c>
      <c r="K378" s="6">
        <v>54519</v>
      </c>
      <c r="L378" s="6" t="s">
        <v>29</v>
      </c>
      <c r="M378" s="6">
        <v>0.32</v>
      </c>
      <c r="N378" s="6">
        <v>0.52</v>
      </c>
      <c r="O378" s="6">
        <v>543.33000000000004</v>
      </c>
      <c r="P378" s="6">
        <v>0</v>
      </c>
      <c r="Q378" s="6">
        <f t="shared" ca="1" si="17"/>
        <v>27</v>
      </c>
      <c r="R378" s="6">
        <f t="shared" si="15"/>
        <v>982.67</v>
      </c>
      <c r="S378" s="7" t="str">
        <f t="shared" si="16"/>
        <v>Profit</v>
      </c>
    </row>
    <row r="379" spans="1:19" x14ac:dyDescent="0.3">
      <c r="A379" s="4" t="s">
        <v>799</v>
      </c>
      <c r="B379" s="5">
        <v>44481</v>
      </c>
      <c r="C379" s="6" t="s">
        <v>800</v>
      </c>
      <c r="D379" s="6" t="s">
        <v>56</v>
      </c>
      <c r="E379" s="6">
        <v>4224</v>
      </c>
      <c r="F379" s="6">
        <v>19.8</v>
      </c>
      <c r="G379" s="6">
        <v>36</v>
      </c>
      <c r="H379" s="6" t="s">
        <v>19</v>
      </c>
      <c r="I379" s="6" t="s">
        <v>36</v>
      </c>
      <c r="J379" s="6" t="s">
        <v>47</v>
      </c>
      <c r="K379" s="6">
        <v>52439</v>
      </c>
      <c r="L379" s="6" t="s">
        <v>33</v>
      </c>
      <c r="M379" s="6">
        <v>0.31</v>
      </c>
      <c r="N379" s="6">
        <v>0.65</v>
      </c>
      <c r="O379" s="6">
        <v>5060.3500000000004</v>
      </c>
      <c r="P379" s="6">
        <v>0</v>
      </c>
      <c r="Q379" s="6">
        <f t="shared" ca="1" si="17"/>
        <v>53</v>
      </c>
      <c r="R379" s="6">
        <f t="shared" si="15"/>
        <v>-836.35000000000036</v>
      </c>
      <c r="S379" s="7" t="str">
        <f t="shared" si="16"/>
        <v>Loss</v>
      </c>
    </row>
    <row r="380" spans="1:19" x14ac:dyDescent="0.3">
      <c r="A380" s="4" t="s">
        <v>801</v>
      </c>
      <c r="B380" s="5">
        <v>44593</v>
      </c>
      <c r="C380" s="6" t="s">
        <v>802</v>
      </c>
      <c r="D380" s="6" t="s">
        <v>46</v>
      </c>
      <c r="E380" s="6">
        <v>12536</v>
      </c>
      <c r="F380" s="6">
        <v>8.8000000000000007</v>
      </c>
      <c r="G380" s="6">
        <v>36</v>
      </c>
      <c r="H380" s="6" t="s">
        <v>26</v>
      </c>
      <c r="I380" s="6" t="s">
        <v>72</v>
      </c>
      <c r="J380" s="6" t="s">
        <v>32</v>
      </c>
      <c r="K380" s="6">
        <v>148570</v>
      </c>
      <c r="L380" s="6" t="s">
        <v>29</v>
      </c>
      <c r="M380" s="6">
        <v>0.21</v>
      </c>
      <c r="N380" s="6">
        <v>0.68</v>
      </c>
      <c r="O380" s="6">
        <v>4401.21</v>
      </c>
      <c r="P380" s="6">
        <v>0</v>
      </c>
      <c r="Q380" s="6">
        <f t="shared" ca="1" si="17"/>
        <v>49</v>
      </c>
      <c r="R380" s="6">
        <f t="shared" si="15"/>
        <v>8134.79</v>
      </c>
      <c r="S380" s="7" t="str">
        <f t="shared" si="16"/>
        <v>Profit</v>
      </c>
    </row>
    <row r="381" spans="1:19" x14ac:dyDescent="0.3">
      <c r="A381" s="4" t="s">
        <v>803</v>
      </c>
      <c r="B381" s="5">
        <v>44208</v>
      </c>
      <c r="C381" s="6" t="s">
        <v>804</v>
      </c>
      <c r="D381" s="6" t="s">
        <v>50</v>
      </c>
      <c r="E381" s="6">
        <v>29541</v>
      </c>
      <c r="F381" s="6">
        <v>17.3</v>
      </c>
      <c r="G381" s="6">
        <v>36</v>
      </c>
      <c r="H381" s="6" t="s">
        <v>19</v>
      </c>
      <c r="I381" s="6" t="s">
        <v>72</v>
      </c>
      <c r="J381" s="6" t="s">
        <v>47</v>
      </c>
      <c r="K381" s="6">
        <v>106949</v>
      </c>
      <c r="L381" s="6" t="s">
        <v>29</v>
      </c>
      <c r="M381" s="6">
        <v>0.22</v>
      </c>
      <c r="N381" s="6">
        <v>0.61</v>
      </c>
      <c r="O381" s="6">
        <v>34651.589999999997</v>
      </c>
      <c r="P381" s="6">
        <v>0</v>
      </c>
      <c r="Q381" s="6">
        <f t="shared" ca="1" si="17"/>
        <v>62</v>
      </c>
      <c r="R381" s="6">
        <f t="shared" si="15"/>
        <v>-5110.5899999999965</v>
      </c>
      <c r="S381" s="7" t="str">
        <f t="shared" si="16"/>
        <v>Loss</v>
      </c>
    </row>
    <row r="382" spans="1:19" x14ac:dyDescent="0.3">
      <c r="A382" s="4" t="s">
        <v>805</v>
      </c>
      <c r="B382" s="5">
        <v>44695</v>
      </c>
      <c r="C382" s="6" t="s">
        <v>806</v>
      </c>
      <c r="D382" s="6" t="s">
        <v>40</v>
      </c>
      <c r="E382" s="6">
        <v>14547</v>
      </c>
      <c r="F382" s="6">
        <v>13.7</v>
      </c>
      <c r="G382" s="6">
        <v>60</v>
      </c>
      <c r="H382" s="6" t="s">
        <v>80</v>
      </c>
      <c r="I382" s="6" t="s">
        <v>41</v>
      </c>
      <c r="J382" s="6" t="s">
        <v>28</v>
      </c>
      <c r="K382" s="6">
        <v>44995</v>
      </c>
      <c r="L382" s="6" t="s">
        <v>22</v>
      </c>
      <c r="M382" s="6">
        <v>0.21</v>
      </c>
      <c r="N382" s="6">
        <v>0.78</v>
      </c>
      <c r="O382" s="6">
        <v>5567.14</v>
      </c>
      <c r="P382" s="6">
        <v>1935.32</v>
      </c>
      <c r="Q382" s="6">
        <f t="shared" ca="1" si="17"/>
        <v>46</v>
      </c>
      <c r="R382" s="6">
        <f t="shared" si="15"/>
        <v>8979.86</v>
      </c>
      <c r="S382" s="7" t="str">
        <f t="shared" si="16"/>
        <v>Profit</v>
      </c>
    </row>
    <row r="383" spans="1:19" x14ac:dyDescent="0.3">
      <c r="A383" s="4" t="s">
        <v>807</v>
      </c>
      <c r="B383" s="5">
        <v>44950</v>
      </c>
      <c r="C383" s="6" t="s">
        <v>808</v>
      </c>
      <c r="D383" s="6" t="s">
        <v>53</v>
      </c>
      <c r="E383" s="6">
        <v>35531</v>
      </c>
      <c r="F383" s="6">
        <v>16.5</v>
      </c>
      <c r="G383" s="6">
        <v>36</v>
      </c>
      <c r="H383" s="6" t="s">
        <v>19</v>
      </c>
      <c r="I383" s="6" t="s">
        <v>72</v>
      </c>
      <c r="J383" s="6" t="s">
        <v>47</v>
      </c>
      <c r="K383" s="6">
        <v>53559</v>
      </c>
      <c r="L383" s="6" t="s">
        <v>22</v>
      </c>
      <c r="M383" s="6">
        <v>0.41</v>
      </c>
      <c r="N383" s="6">
        <v>0.79</v>
      </c>
      <c r="O383" s="6">
        <v>41393.620000000003</v>
      </c>
      <c r="P383" s="6">
        <v>0</v>
      </c>
      <c r="Q383" s="6">
        <f t="shared" ca="1" si="17"/>
        <v>37</v>
      </c>
      <c r="R383" s="6">
        <f t="shared" si="15"/>
        <v>-5862.6200000000026</v>
      </c>
      <c r="S383" s="7" t="str">
        <f t="shared" si="16"/>
        <v>Loss</v>
      </c>
    </row>
    <row r="384" spans="1:19" x14ac:dyDescent="0.3">
      <c r="A384" s="4" t="s">
        <v>809</v>
      </c>
      <c r="B384" s="5">
        <v>44231</v>
      </c>
      <c r="C384" s="6" t="s">
        <v>810</v>
      </c>
      <c r="D384" s="6" t="s">
        <v>71</v>
      </c>
      <c r="E384" s="6">
        <v>9712</v>
      </c>
      <c r="F384" s="6">
        <v>19.8</v>
      </c>
      <c r="G384" s="6">
        <v>60</v>
      </c>
      <c r="H384" s="6" t="s">
        <v>19</v>
      </c>
      <c r="I384" s="6" t="s">
        <v>57</v>
      </c>
      <c r="J384" s="6" t="s">
        <v>21</v>
      </c>
      <c r="K384" s="6">
        <v>140887</v>
      </c>
      <c r="L384" s="6" t="s">
        <v>22</v>
      </c>
      <c r="M384" s="6">
        <v>0.36</v>
      </c>
      <c r="N384" s="6">
        <v>0.88</v>
      </c>
      <c r="O384" s="6">
        <v>11634.98</v>
      </c>
      <c r="P384" s="6">
        <v>0</v>
      </c>
      <c r="Q384" s="6">
        <f t="shared" ca="1" si="17"/>
        <v>61</v>
      </c>
      <c r="R384" s="6">
        <f t="shared" si="15"/>
        <v>-1922.9799999999996</v>
      </c>
      <c r="S384" s="7" t="str">
        <f t="shared" si="16"/>
        <v>Loss</v>
      </c>
    </row>
    <row r="385" spans="1:19" x14ac:dyDescent="0.3">
      <c r="A385" s="4" t="s">
        <v>811</v>
      </c>
      <c r="B385" s="5">
        <v>44923</v>
      </c>
      <c r="C385" s="6" t="s">
        <v>812</v>
      </c>
      <c r="D385" s="6" t="s">
        <v>25</v>
      </c>
      <c r="E385" s="6">
        <v>39565</v>
      </c>
      <c r="F385" s="6">
        <v>21.1</v>
      </c>
      <c r="G385" s="6">
        <v>60</v>
      </c>
      <c r="H385" s="6" t="s">
        <v>26</v>
      </c>
      <c r="I385" s="6" t="s">
        <v>57</v>
      </c>
      <c r="J385" s="6" t="s">
        <v>32</v>
      </c>
      <c r="K385" s="6">
        <v>119049</v>
      </c>
      <c r="L385" s="6" t="s">
        <v>33</v>
      </c>
      <c r="M385" s="6">
        <v>0.43</v>
      </c>
      <c r="N385" s="6">
        <v>0.83</v>
      </c>
      <c r="O385" s="6">
        <v>16632.71</v>
      </c>
      <c r="P385" s="6">
        <v>0</v>
      </c>
      <c r="Q385" s="6">
        <f t="shared" ca="1" si="17"/>
        <v>38</v>
      </c>
      <c r="R385" s="6">
        <f t="shared" si="15"/>
        <v>22932.29</v>
      </c>
      <c r="S385" s="7" t="str">
        <f t="shared" si="16"/>
        <v>Profit</v>
      </c>
    </row>
    <row r="386" spans="1:19" x14ac:dyDescent="0.3">
      <c r="A386" s="4" t="s">
        <v>813</v>
      </c>
      <c r="B386" s="5">
        <v>45045</v>
      </c>
      <c r="C386" s="6" t="s">
        <v>814</v>
      </c>
      <c r="D386" s="6" t="s">
        <v>46</v>
      </c>
      <c r="E386" s="6">
        <v>10208</v>
      </c>
      <c r="F386" s="6">
        <v>21.9</v>
      </c>
      <c r="G386" s="6">
        <v>60</v>
      </c>
      <c r="H386" s="6" t="s">
        <v>26</v>
      </c>
      <c r="I386" s="6" t="s">
        <v>27</v>
      </c>
      <c r="J386" s="6" t="s">
        <v>21</v>
      </c>
      <c r="K386" s="6">
        <v>35021</v>
      </c>
      <c r="L386" s="6" t="s">
        <v>22</v>
      </c>
      <c r="M386" s="6">
        <v>0.49</v>
      </c>
      <c r="N386" s="6">
        <v>0.74</v>
      </c>
      <c r="O386" s="6">
        <v>703.21</v>
      </c>
      <c r="P386" s="6">
        <v>0</v>
      </c>
      <c r="Q386" s="6">
        <f t="shared" ca="1" si="17"/>
        <v>34</v>
      </c>
      <c r="R386" s="6">
        <f t="shared" ref="R386:R449" si="18">E386-O386</f>
        <v>9504.7900000000009</v>
      </c>
      <c r="S386" s="7" t="str">
        <f t="shared" ref="S386:S449" si="19">IF(R386&gt;=0, "Profit","Loss")</f>
        <v>Profit</v>
      </c>
    </row>
    <row r="387" spans="1:19" x14ac:dyDescent="0.3">
      <c r="A387" s="4" t="s">
        <v>815</v>
      </c>
      <c r="B387" s="5">
        <v>44286</v>
      </c>
      <c r="C387" s="6" t="s">
        <v>816</v>
      </c>
      <c r="D387" s="6" t="s">
        <v>25</v>
      </c>
      <c r="E387" s="6">
        <v>6109</v>
      </c>
      <c r="F387" s="6">
        <v>10.1</v>
      </c>
      <c r="G387" s="6">
        <v>60</v>
      </c>
      <c r="H387" s="6" t="s">
        <v>19</v>
      </c>
      <c r="I387" s="6" t="s">
        <v>27</v>
      </c>
      <c r="J387" s="6" t="s">
        <v>37</v>
      </c>
      <c r="K387" s="6">
        <v>128000</v>
      </c>
      <c r="L387" s="6" t="s">
        <v>29</v>
      </c>
      <c r="M387" s="6">
        <v>0.28999999999999998</v>
      </c>
      <c r="N387" s="6">
        <v>0.79</v>
      </c>
      <c r="O387" s="6">
        <v>6726.01</v>
      </c>
      <c r="P387" s="6">
        <v>0</v>
      </c>
      <c r="Q387" s="6">
        <f t="shared" ref="Q387:Q450" ca="1" si="20">DATEDIF(B387,TODAY(),"M")</f>
        <v>59</v>
      </c>
      <c r="R387" s="6">
        <f t="shared" si="18"/>
        <v>-617.01000000000022</v>
      </c>
      <c r="S387" s="7" t="str">
        <f t="shared" si="19"/>
        <v>Loss</v>
      </c>
    </row>
    <row r="388" spans="1:19" x14ac:dyDescent="0.3">
      <c r="A388" s="4" t="s">
        <v>817</v>
      </c>
      <c r="B388" s="5">
        <v>44972</v>
      </c>
      <c r="C388" s="6" t="s">
        <v>818</v>
      </c>
      <c r="D388" s="6" t="s">
        <v>40</v>
      </c>
      <c r="E388" s="6">
        <v>36201</v>
      </c>
      <c r="F388" s="6">
        <v>5.6</v>
      </c>
      <c r="G388" s="6">
        <v>60</v>
      </c>
      <c r="H388" s="6" t="s">
        <v>26</v>
      </c>
      <c r="I388" s="6" t="s">
        <v>57</v>
      </c>
      <c r="J388" s="6" t="s">
        <v>21</v>
      </c>
      <c r="K388" s="6">
        <v>51119</v>
      </c>
      <c r="L388" s="6" t="s">
        <v>33</v>
      </c>
      <c r="M388" s="6">
        <v>0.13</v>
      </c>
      <c r="N388" s="6">
        <v>0.62</v>
      </c>
      <c r="O388" s="6">
        <v>9484.2000000000007</v>
      </c>
      <c r="P388" s="6">
        <v>0</v>
      </c>
      <c r="Q388" s="6">
        <f t="shared" ca="1" si="20"/>
        <v>37</v>
      </c>
      <c r="R388" s="6">
        <f t="shared" si="18"/>
        <v>26716.799999999999</v>
      </c>
      <c r="S388" s="7" t="str">
        <f t="shared" si="19"/>
        <v>Profit</v>
      </c>
    </row>
    <row r="389" spans="1:19" x14ac:dyDescent="0.3">
      <c r="A389" s="4" t="s">
        <v>819</v>
      </c>
      <c r="B389" s="5">
        <v>44801</v>
      </c>
      <c r="C389" s="6" t="s">
        <v>820</v>
      </c>
      <c r="D389" s="6" t="s">
        <v>56</v>
      </c>
      <c r="E389" s="6">
        <v>17967</v>
      </c>
      <c r="F389" s="6">
        <v>19.8</v>
      </c>
      <c r="G389" s="6">
        <v>60</v>
      </c>
      <c r="H389" s="6" t="s">
        <v>19</v>
      </c>
      <c r="I389" s="6" t="s">
        <v>57</v>
      </c>
      <c r="J389" s="6" t="s">
        <v>28</v>
      </c>
      <c r="K389" s="6">
        <v>81539</v>
      </c>
      <c r="L389" s="6" t="s">
        <v>33</v>
      </c>
      <c r="M389" s="6">
        <v>0.12</v>
      </c>
      <c r="N389" s="6">
        <v>0.77</v>
      </c>
      <c r="O389" s="6">
        <v>21524.47</v>
      </c>
      <c r="P389" s="6">
        <v>0</v>
      </c>
      <c r="Q389" s="6">
        <f t="shared" ca="1" si="20"/>
        <v>42</v>
      </c>
      <c r="R389" s="6">
        <f t="shared" si="18"/>
        <v>-3557.4700000000012</v>
      </c>
      <c r="S389" s="7" t="str">
        <f t="shared" si="19"/>
        <v>Loss</v>
      </c>
    </row>
    <row r="390" spans="1:19" x14ac:dyDescent="0.3">
      <c r="A390" s="4" t="s">
        <v>821</v>
      </c>
      <c r="B390" s="5">
        <v>45166</v>
      </c>
      <c r="C390" s="6" t="s">
        <v>822</v>
      </c>
      <c r="D390" s="6" t="s">
        <v>40</v>
      </c>
      <c r="E390" s="6">
        <v>30759</v>
      </c>
      <c r="F390" s="6">
        <v>7.1</v>
      </c>
      <c r="G390" s="6">
        <v>36</v>
      </c>
      <c r="H390" s="6" t="s">
        <v>19</v>
      </c>
      <c r="I390" s="6" t="s">
        <v>41</v>
      </c>
      <c r="J390" s="6" t="s">
        <v>28</v>
      </c>
      <c r="K390" s="6">
        <v>124835</v>
      </c>
      <c r="L390" s="6" t="s">
        <v>33</v>
      </c>
      <c r="M390" s="6">
        <v>0.22</v>
      </c>
      <c r="N390" s="6">
        <v>0.72</v>
      </c>
      <c r="O390" s="6">
        <v>32942.89</v>
      </c>
      <c r="P390" s="6">
        <v>0</v>
      </c>
      <c r="Q390" s="6">
        <f t="shared" ca="1" si="20"/>
        <v>30</v>
      </c>
      <c r="R390" s="6">
        <f t="shared" si="18"/>
        <v>-2183.8899999999994</v>
      </c>
      <c r="S390" s="7" t="str">
        <f t="shared" si="19"/>
        <v>Loss</v>
      </c>
    </row>
    <row r="391" spans="1:19" x14ac:dyDescent="0.3">
      <c r="A391" s="4" t="s">
        <v>823</v>
      </c>
      <c r="B391" s="5">
        <v>45218</v>
      </c>
      <c r="C391" s="6" t="s">
        <v>824</v>
      </c>
      <c r="D391" s="6" t="s">
        <v>64</v>
      </c>
      <c r="E391" s="6">
        <v>21172</v>
      </c>
      <c r="F391" s="6">
        <v>11.3</v>
      </c>
      <c r="G391" s="6">
        <v>36</v>
      </c>
      <c r="H391" s="6" t="s">
        <v>26</v>
      </c>
      <c r="I391" s="6" t="s">
        <v>20</v>
      </c>
      <c r="J391" s="6" t="s">
        <v>21</v>
      </c>
      <c r="K391" s="6">
        <v>69350</v>
      </c>
      <c r="L391" s="6" t="s">
        <v>33</v>
      </c>
      <c r="M391" s="6">
        <v>0.47</v>
      </c>
      <c r="N391" s="6">
        <v>0.56000000000000005</v>
      </c>
      <c r="O391" s="6">
        <v>4850.0600000000004</v>
      </c>
      <c r="P391" s="6">
        <v>0</v>
      </c>
      <c r="Q391" s="6">
        <f t="shared" ca="1" si="20"/>
        <v>29</v>
      </c>
      <c r="R391" s="6">
        <f t="shared" si="18"/>
        <v>16321.939999999999</v>
      </c>
      <c r="S391" s="7" t="str">
        <f t="shared" si="19"/>
        <v>Profit</v>
      </c>
    </row>
    <row r="392" spans="1:19" x14ac:dyDescent="0.3">
      <c r="A392" s="4" t="s">
        <v>825</v>
      </c>
      <c r="B392" s="5">
        <v>44614</v>
      </c>
      <c r="C392" s="6" t="s">
        <v>826</v>
      </c>
      <c r="D392" s="6" t="s">
        <v>18</v>
      </c>
      <c r="E392" s="6">
        <v>37935</v>
      </c>
      <c r="F392" s="6">
        <v>5.0999999999999996</v>
      </c>
      <c r="G392" s="6">
        <v>36</v>
      </c>
      <c r="H392" s="6" t="s">
        <v>19</v>
      </c>
      <c r="I392" s="6" t="s">
        <v>57</v>
      </c>
      <c r="J392" s="6" t="s">
        <v>37</v>
      </c>
      <c r="K392" s="6">
        <v>76223</v>
      </c>
      <c r="L392" s="6" t="s">
        <v>29</v>
      </c>
      <c r="M392" s="6">
        <v>0.31</v>
      </c>
      <c r="N392" s="6">
        <v>0.61</v>
      </c>
      <c r="O392" s="6">
        <v>39869.68</v>
      </c>
      <c r="P392" s="6">
        <v>0</v>
      </c>
      <c r="Q392" s="6">
        <f t="shared" ca="1" si="20"/>
        <v>48</v>
      </c>
      <c r="R392" s="6">
        <f t="shared" si="18"/>
        <v>-1934.6800000000003</v>
      </c>
      <c r="S392" s="7" t="str">
        <f t="shared" si="19"/>
        <v>Loss</v>
      </c>
    </row>
    <row r="393" spans="1:19" x14ac:dyDescent="0.3">
      <c r="A393" s="4" t="s">
        <v>827</v>
      </c>
      <c r="B393" s="5">
        <v>44311</v>
      </c>
      <c r="C393" s="6" t="s">
        <v>828</v>
      </c>
      <c r="D393" s="6" t="s">
        <v>71</v>
      </c>
      <c r="E393" s="6">
        <v>27589</v>
      </c>
      <c r="F393" s="6">
        <v>18.600000000000001</v>
      </c>
      <c r="G393" s="6">
        <v>60</v>
      </c>
      <c r="H393" s="6" t="s">
        <v>19</v>
      </c>
      <c r="I393" s="6" t="s">
        <v>20</v>
      </c>
      <c r="J393" s="6" t="s">
        <v>47</v>
      </c>
      <c r="K393" s="6">
        <v>55517</v>
      </c>
      <c r="L393" s="6" t="s">
        <v>29</v>
      </c>
      <c r="M393" s="6">
        <v>0.21</v>
      </c>
      <c r="N393" s="6">
        <v>0.63</v>
      </c>
      <c r="O393" s="6">
        <v>32720.55</v>
      </c>
      <c r="P393" s="6">
        <v>0</v>
      </c>
      <c r="Q393" s="6">
        <f t="shared" ca="1" si="20"/>
        <v>58</v>
      </c>
      <c r="R393" s="6">
        <f t="shared" si="18"/>
        <v>-5131.5499999999993</v>
      </c>
      <c r="S393" s="7" t="str">
        <f t="shared" si="19"/>
        <v>Loss</v>
      </c>
    </row>
    <row r="394" spans="1:19" x14ac:dyDescent="0.3">
      <c r="A394" s="4" t="s">
        <v>829</v>
      </c>
      <c r="B394" s="5">
        <v>44813</v>
      </c>
      <c r="C394" s="6" t="s">
        <v>830</v>
      </c>
      <c r="D394" s="6" t="s">
        <v>18</v>
      </c>
      <c r="E394" s="6">
        <v>31015</v>
      </c>
      <c r="F394" s="6">
        <v>8.3000000000000007</v>
      </c>
      <c r="G394" s="6">
        <v>36</v>
      </c>
      <c r="H394" s="6" t="s">
        <v>26</v>
      </c>
      <c r="I394" s="6" t="s">
        <v>83</v>
      </c>
      <c r="J394" s="6" t="s">
        <v>28</v>
      </c>
      <c r="K394" s="6">
        <v>108653</v>
      </c>
      <c r="L394" s="6" t="s">
        <v>22</v>
      </c>
      <c r="M394" s="6">
        <v>0.26</v>
      </c>
      <c r="N394" s="6">
        <v>0.92</v>
      </c>
      <c r="O394" s="6">
        <v>5879.4</v>
      </c>
      <c r="P394" s="6">
        <v>0</v>
      </c>
      <c r="Q394" s="6">
        <f t="shared" ca="1" si="20"/>
        <v>42</v>
      </c>
      <c r="R394" s="6">
        <f t="shared" si="18"/>
        <v>25135.599999999999</v>
      </c>
      <c r="S394" s="7" t="str">
        <f t="shared" si="19"/>
        <v>Profit</v>
      </c>
    </row>
    <row r="395" spans="1:19" x14ac:dyDescent="0.3">
      <c r="A395" s="4" t="s">
        <v>831</v>
      </c>
      <c r="B395" s="5">
        <v>45022</v>
      </c>
      <c r="C395" s="6" t="s">
        <v>832</v>
      </c>
      <c r="D395" s="6" t="s">
        <v>40</v>
      </c>
      <c r="E395" s="6">
        <v>30009</v>
      </c>
      <c r="F395" s="6">
        <v>18.100000000000001</v>
      </c>
      <c r="G395" s="6">
        <v>60</v>
      </c>
      <c r="H395" s="6" t="s">
        <v>19</v>
      </c>
      <c r="I395" s="6" t="s">
        <v>20</v>
      </c>
      <c r="J395" s="6" t="s">
        <v>21</v>
      </c>
      <c r="K395" s="6">
        <v>52250</v>
      </c>
      <c r="L395" s="6" t="s">
        <v>33</v>
      </c>
      <c r="M395" s="6">
        <v>0.34</v>
      </c>
      <c r="N395" s="6">
        <v>0.6</v>
      </c>
      <c r="O395" s="6">
        <v>35440.629999999997</v>
      </c>
      <c r="P395" s="6">
        <v>0</v>
      </c>
      <c r="Q395" s="6">
        <f t="shared" ca="1" si="20"/>
        <v>35</v>
      </c>
      <c r="R395" s="6">
        <f t="shared" si="18"/>
        <v>-5431.6299999999974</v>
      </c>
      <c r="S395" s="7" t="str">
        <f t="shared" si="19"/>
        <v>Loss</v>
      </c>
    </row>
    <row r="396" spans="1:19" x14ac:dyDescent="0.3">
      <c r="A396" s="4" t="s">
        <v>833</v>
      </c>
      <c r="B396" s="5">
        <v>44609</v>
      </c>
      <c r="C396" s="6" t="s">
        <v>834</v>
      </c>
      <c r="D396" s="6" t="s">
        <v>56</v>
      </c>
      <c r="E396" s="6">
        <v>18773</v>
      </c>
      <c r="F396" s="6">
        <v>24.8</v>
      </c>
      <c r="G396" s="6">
        <v>60</v>
      </c>
      <c r="H396" s="6" t="s">
        <v>26</v>
      </c>
      <c r="I396" s="6" t="s">
        <v>27</v>
      </c>
      <c r="J396" s="6" t="s">
        <v>21</v>
      </c>
      <c r="K396" s="6">
        <v>114486</v>
      </c>
      <c r="L396" s="6" t="s">
        <v>22</v>
      </c>
      <c r="M396" s="6">
        <v>0.36</v>
      </c>
      <c r="N396" s="6">
        <v>0.63</v>
      </c>
      <c r="O396" s="6">
        <v>4751.47</v>
      </c>
      <c r="P396" s="6">
        <v>0</v>
      </c>
      <c r="Q396" s="6">
        <f t="shared" ca="1" si="20"/>
        <v>49</v>
      </c>
      <c r="R396" s="6">
        <f t="shared" si="18"/>
        <v>14021.529999999999</v>
      </c>
      <c r="S396" s="7" t="str">
        <f t="shared" si="19"/>
        <v>Profit</v>
      </c>
    </row>
    <row r="397" spans="1:19" x14ac:dyDescent="0.3">
      <c r="A397" s="4" t="s">
        <v>835</v>
      </c>
      <c r="B397" s="5">
        <v>44925</v>
      </c>
      <c r="C397" s="6" t="s">
        <v>836</v>
      </c>
      <c r="D397" s="6" t="s">
        <v>56</v>
      </c>
      <c r="E397" s="6">
        <v>27143</v>
      </c>
      <c r="F397" s="6">
        <v>6.5</v>
      </c>
      <c r="G397" s="6">
        <v>60</v>
      </c>
      <c r="H397" s="6" t="s">
        <v>19</v>
      </c>
      <c r="I397" s="6" t="s">
        <v>20</v>
      </c>
      <c r="J397" s="6" t="s">
        <v>21</v>
      </c>
      <c r="K397" s="6">
        <v>112895</v>
      </c>
      <c r="L397" s="6" t="s">
        <v>29</v>
      </c>
      <c r="M397" s="6">
        <v>0.16</v>
      </c>
      <c r="N397" s="6">
        <v>0.67</v>
      </c>
      <c r="O397" s="6">
        <v>28907.3</v>
      </c>
      <c r="P397" s="6">
        <v>0</v>
      </c>
      <c r="Q397" s="6">
        <f t="shared" ca="1" si="20"/>
        <v>38</v>
      </c>
      <c r="R397" s="6">
        <f t="shared" si="18"/>
        <v>-1764.2999999999993</v>
      </c>
      <c r="S397" s="7" t="str">
        <f t="shared" si="19"/>
        <v>Loss</v>
      </c>
    </row>
    <row r="398" spans="1:19" x14ac:dyDescent="0.3">
      <c r="A398" s="4" t="s">
        <v>837</v>
      </c>
      <c r="B398" s="5">
        <v>45217</v>
      </c>
      <c r="C398" s="6" t="s">
        <v>838</v>
      </c>
      <c r="D398" s="6" t="s">
        <v>75</v>
      </c>
      <c r="E398" s="6">
        <v>7154</v>
      </c>
      <c r="F398" s="6">
        <v>6.5</v>
      </c>
      <c r="G398" s="6">
        <v>36</v>
      </c>
      <c r="H398" s="6" t="s">
        <v>19</v>
      </c>
      <c r="I398" s="6" t="s">
        <v>27</v>
      </c>
      <c r="J398" s="6" t="s">
        <v>47</v>
      </c>
      <c r="K398" s="6">
        <v>119132</v>
      </c>
      <c r="L398" s="6" t="s">
        <v>33</v>
      </c>
      <c r="M398" s="6">
        <v>0.49</v>
      </c>
      <c r="N398" s="6">
        <v>0.8</v>
      </c>
      <c r="O398" s="6">
        <v>7619.01</v>
      </c>
      <c r="P398" s="6">
        <v>0</v>
      </c>
      <c r="Q398" s="6">
        <f t="shared" ca="1" si="20"/>
        <v>29</v>
      </c>
      <c r="R398" s="6">
        <f t="shared" si="18"/>
        <v>-465.01000000000022</v>
      </c>
      <c r="S398" s="7" t="str">
        <f t="shared" si="19"/>
        <v>Loss</v>
      </c>
    </row>
    <row r="399" spans="1:19" x14ac:dyDescent="0.3">
      <c r="A399" s="4" t="s">
        <v>839</v>
      </c>
      <c r="B399" s="5">
        <v>44957</v>
      </c>
      <c r="C399" s="6" t="s">
        <v>840</v>
      </c>
      <c r="D399" s="6" t="s">
        <v>46</v>
      </c>
      <c r="E399" s="6">
        <v>22804</v>
      </c>
      <c r="F399" s="6">
        <v>11.8</v>
      </c>
      <c r="G399" s="6">
        <v>60</v>
      </c>
      <c r="H399" s="6" t="s">
        <v>19</v>
      </c>
      <c r="I399" s="6" t="s">
        <v>83</v>
      </c>
      <c r="J399" s="6" t="s">
        <v>32</v>
      </c>
      <c r="K399" s="6">
        <v>121066</v>
      </c>
      <c r="L399" s="6" t="s">
        <v>29</v>
      </c>
      <c r="M399" s="6">
        <v>0.32</v>
      </c>
      <c r="N399" s="6">
        <v>0.55000000000000004</v>
      </c>
      <c r="O399" s="6">
        <v>25494.87</v>
      </c>
      <c r="P399" s="6">
        <v>0</v>
      </c>
      <c r="Q399" s="6">
        <f t="shared" ca="1" si="20"/>
        <v>37</v>
      </c>
      <c r="R399" s="6">
        <f t="shared" si="18"/>
        <v>-2690.869999999999</v>
      </c>
      <c r="S399" s="7" t="str">
        <f t="shared" si="19"/>
        <v>Loss</v>
      </c>
    </row>
    <row r="400" spans="1:19" x14ac:dyDescent="0.3">
      <c r="A400" s="4" t="s">
        <v>841</v>
      </c>
      <c r="B400" s="5">
        <v>44872</v>
      </c>
      <c r="C400" s="6" t="s">
        <v>842</v>
      </c>
      <c r="D400" s="6" t="s">
        <v>75</v>
      </c>
      <c r="E400" s="6">
        <v>21581</v>
      </c>
      <c r="F400" s="6">
        <v>22.3</v>
      </c>
      <c r="G400" s="6">
        <v>60</v>
      </c>
      <c r="H400" s="6" t="s">
        <v>26</v>
      </c>
      <c r="I400" s="6" t="s">
        <v>57</v>
      </c>
      <c r="J400" s="6" t="s">
        <v>37</v>
      </c>
      <c r="K400" s="6">
        <v>96798</v>
      </c>
      <c r="L400" s="6" t="s">
        <v>22</v>
      </c>
      <c r="M400" s="6">
        <v>0.15</v>
      </c>
      <c r="N400" s="6">
        <v>0.93</v>
      </c>
      <c r="O400" s="6">
        <v>4810.13</v>
      </c>
      <c r="P400" s="6">
        <v>0</v>
      </c>
      <c r="Q400" s="6">
        <f t="shared" ca="1" si="20"/>
        <v>40</v>
      </c>
      <c r="R400" s="6">
        <f t="shared" si="18"/>
        <v>16770.87</v>
      </c>
      <c r="S400" s="7" t="str">
        <f t="shared" si="19"/>
        <v>Profit</v>
      </c>
    </row>
    <row r="401" spans="1:19" x14ac:dyDescent="0.3">
      <c r="A401" s="4" t="s">
        <v>843</v>
      </c>
      <c r="B401" s="5">
        <v>44653</v>
      </c>
      <c r="C401" s="6" t="s">
        <v>844</v>
      </c>
      <c r="D401" s="6" t="s">
        <v>71</v>
      </c>
      <c r="E401" s="6">
        <v>31087</v>
      </c>
      <c r="F401" s="6">
        <v>9.3000000000000007</v>
      </c>
      <c r="G401" s="6">
        <v>36</v>
      </c>
      <c r="H401" s="6" t="s">
        <v>26</v>
      </c>
      <c r="I401" s="6" t="s">
        <v>72</v>
      </c>
      <c r="J401" s="6" t="s">
        <v>32</v>
      </c>
      <c r="K401" s="6">
        <v>84199</v>
      </c>
      <c r="L401" s="6" t="s">
        <v>29</v>
      </c>
      <c r="M401" s="6">
        <v>0.46</v>
      </c>
      <c r="N401" s="6">
        <v>0.89</v>
      </c>
      <c r="O401" s="6">
        <v>7602.33</v>
      </c>
      <c r="P401" s="6">
        <v>0</v>
      </c>
      <c r="Q401" s="6">
        <f t="shared" ca="1" si="20"/>
        <v>47</v>
      </c>
      <c r="R401" s="6">
        <f t="shared" si="18"/>
        <v>23484.67</v>
      </c>
      <c r="S401" s="7" t="str">
        <f t="shared" si="19"/>
        <v>Profit</v>
      </c>
    </row>
    <row r="402" spans="1:19" x14ac:dyDescent="0.3">
      <c r="A402" s="4" t="s">
        <v>845</v>
      </c>
      <c r="B402" s="5">
        <v>45116</v>
      </c>
      <c r="C402" s="6" t="s">
        <v>846</v>
      </c>
      <c r="D402" s="6" t="s">
        <v>71</v>
      </c>
      <c r="E402" s="6">
        <v>33981</v>
      </c>
      <c r="F402" s="6">
        <v>12.2</v>
      </c>
      <c r="G402" s="6">
        <v>36</v>
      </c>
      <c r="H402" s="6" t="s">
        <v>19</v>
      </c>
      <c r="I402" s="6" t="s">
        <v>57</v>
      </c>
      <c r="J402" s="6" t="s">
        <v>37</v>
      </c>
      <c r="K402" s="6">
        <v>89546</v>
      </c>
      <c r="L402" s="6" t="s">
        <v>33</v>
      </c>
      <c r="M402" s="6">
        <v>0.13</v>
      </c>
      <c r="N402" s="6">
        <v>0.76</v>
      </c>
      <c r="O402" s="6">
        <v>38126.68</v>
      </c>
      <c r="P402" s="6">
        <v>0</v>
      </c>
      <c r="Q402" s="6">
        <f t="shared" ca="1" si="20"/>
        <v>32</v>
      </c>
      <c r="R402" s="6">
        <f t="shared" si="18"/>
        <v>-4145.68</v>
      </c>
      <c r="S402" s="7" t="str">
        <f t="shared" si="19"/>
        <v>Loss</v>
      </c>
    </row>
    <row r="403" spans="1:19" x14ac:dyDescent="0.3">
      <c r="A403" s="4" t="s">
        <v>847</v>
      </c>
      <c r="B403" s="5">
        <v>44388</v>
      </c>
      <c r="C403" s="6" t="s">
        <v>848</v>
      </c>
      <c r="D403" s="6" t="s">
        <v>71</v>
      </c>
      <c r="E403" s="6">
        <v>4762</v>
      </c>
      <c r="F403" s="6">
        <v>6.4</v>
      </c>
      <c r="G403" s="6">
        <v>60</v>
      </c>
      <c r="H403" s="6" t="s">
        <v>19</v>
      </c>
      <c r="I403" s="6" t="s">
        <v>57</v>
      </c>
      <c r="J403" s="6" t="s">
        <v>37</v>
      </c>
      <c r="K403" s="6">
        <v>135686</v>
      </c>
      <c r="L403" s="6" t="s">
        <v>33</v>
      </c>
      <c r="M403" s="6">
        <v>0.46</v>
      </c>
      <c r="N403" s="6">
        <v>0.8</v>
      </c>
      <c r="O403" s="6">
        <v>5066.7700000000004</v>
      </c>
      <c r="P403" s="6">
        <v>0</v>
      </c>
      <c r="Q403" s="6">
        <f t="shared" ca="1" si="20"/>
        <v>56</v>
      </c>
      <c r="R403" s="6">
        <f t="shared" si="18"/>
        <v>-304.77000000000044</v>
      </c>
      <c r="S403" s="7" t="str">
        <f t="shared" si="19"/>
        <v>Loss</v>
      </c>
    </row>
    <row r="404" spans="1:19" x14ac:dyDescent="0.3">
      <c r="A404" s="4" t="s">
        <v>849</v>
      </c>
      <c r="B404" s="5">
        <v>44935</v>
      </c>
      <c r="C404" s="6" t="s">
        <v>850</v>
      </c>
      <c r="D404" s="6" t="s">
        <v>25</v>
      </c>
      <c r="E404" s="6">
        <v>10768</v>
      </c>
      <c r="F404" s="6">
        <v>20.3</v>
      </c>
      <c r="G404" s="6">
        <v>60</v>
      </c>
      <c r="H404" s="6" t="s">
        <v>80</v>
      </c>
      <c r="I404" s="6" t="s">
        <v>83</v>
      </c>
      <c r="J404" s="6" t="s">
        <v>21</v>
      </c>
      <c r="K404" s="6">
        <v>118151</v>
      </c>
      <c r="L404" s="6" t="s">
        <v>22</v>
      </c>
      <c r="M404" s="6">
        <v>0.5</v>
      </c>
      <c r="N404" s="6">
        <v>0.51</v>
      </c>
      <c r="O404" s="6">
        <v>4240.21</v>
      </c>
      <c r="P404" s="6">
        <v>804.81</v>
      </c>
      <c r="Q404" s="6">
        <f t="shared" ca="1" si="20"/>
        <v>38</v>
      </c>
      <c r="R404" s="6">
        <f t="shared" si="18"/>
        <v>6527.79</v>
      </c>
      <c r="S404" s="7" t="str">
        <f t="shared" si="19"/>
        <v>Profit</v>
      </c>
    </row>
    <row r="405" spans="1:19" x14ac:dyDescent="0.3">
      <c r="A405" s="4" t="s">
        <v>851</v>
      </c>
      <c r="B405" s="5">
        <v>45174</v>
      </c>
      <c r="C405" s="6" t="s">
        <v>852</v>
      </c>
      <c r="D405" s="6" t="s">
        <v>75</v>
      </c>
      <c r="E405" s="6">
        <v>39559</v>
      </c>
      <c r="F405" s="6">
        <v>13.2</v>
      </c>
      <c r="G405" s="6">
        <v>36</v>
      </c>
      <c r="H405" s="6" t="s">
        <v>19</v>
      </c>
      <c r="I405" s="6" t="s">
        <v>57</v>
      </c>
      <c r="J405" s="6" t="s">
        <v>28</v>
      </c>
      <c r="K405" s="6">
        <v>33327</v>
      </c>
      <c r="L405" s="6" t="s">
        <v>33</v>
      </c>
      <c r="M405" s="6">
        <v>0.38</v>
      </c>
      <c r="N405" s="6">
        <v>0.65</v>
      </c>
      <c r="O405" s="6">
        <v>44780.79</v>
      </c>
      <c r="P405" s="6">
        <v>0</v>
      </c>
      <c r="Q405" s="6">
        <f t="shared" ca="1" si="20"/>
        <v>30</v>
      </c>
      <c r="R405" s="6">
        <f t="shared" si="18"/>
        <v>-5221.7900000000009</v>
      </c>
      <c r="S405" s="7" t="str">
        <f t="shared" si="19"/>
        <v>Loss</v>
      </c>
    </row>
    <row r="406" spans="1:19" x14ac:dyDescent="0.3">
      <c r="A406" s="4" t="s">
        <v>853</v>
      </c>
      <c r="B406" s="5">
        <v>45205</v>
      </c>
      <c r="C406" s="6" t="s">
        <v>854</v>
      </c>
      <c r="D406" s="6" t="s">
        <v>25</v>
      </c>
      <c r="E406" s="6">
        <v>9783</v>
      </c>
      <c r="F406" s="6">
        <v>20.2</v>
      </c>
      <c r="G406" s="6">
        <v>36</v>
      </c>
      <c r="H406" s="6" t="s">
        <v>80</v>
      </c>
      <c r="I406" s="6" t="s">
        <v>27</v>
      </c>
      <c r="J406" s="6" t="s">
        <v>21</v>
      </c>
      <c r="K406" s="6">
        <v>59768</v>
      </c>
      <c r="L406" s="6" t="s">
        <v>29</v>
      </c>
      <c r="M406" s="6">
        <v>0.41</v>
      </c>
      <c r="N406" s="6">
        <v>0.86</v>
      </c>
      <c r="O406" s="6">
        <v>1238.43</v>
      </c>
      <c r="P406" s="6">
        <v>3866.9</v>
      </c>
      <c r="Q406" s="6">
        <f t="shared" ca="1" si="20"/>
        <v>29</v>
      </c>
      <c r="R406" s="6">
        <f t="shared" si="18"/>
        <v>8544.57</v>
      </c>
      <c r="S406" s="7" t="str">
        <f t="shared" si="19"/>
        <v>Profit</v>
      </c>
    </row>
    <row r="407" spans="1:19" x14ac:dyDescent="0.3">
      <c r="A407" s="4" t="s">
        <v>855</v>
      </c>
      <c r="B407" s="5">
        <v>44292</v>
      </c>
      <c r="C407" s="6" t="s">
        <v>856</v>
      </c>
      <c r="D407" s="6" t="s">
        <v>18</v>
      </c>
      <c r="E407" s="6">
        <v>30781</v>
      </c>
      <c r="F407" s="6">
        <v>23.1</v>
      </c>
      <c r="G407" s="6">
        <v>36</v>
      </c>
      <c r="H407" s="6" t="s">
        <v>19</v>
      </c>
      <c r="I407" s="6" t="s">
        <v>20</v>
      </c>
      <c r="J407" s="6" t="s">
        <v>47</v>
      </c>
      <c r="K407" s="6">
        <v>94418</v>
      </c>
      <c r="L407" s="6" t="s">
        <v>29</v>
      </c>
      <c r="M407" s="6">
        <v>0.23</v>
      </c>
      <c r="N407" s="6">
        <v>0.53</v>
      </c>
      <c r="O407" s="6">
        <v>37891.410000000003</v>
      </c>
      <c r="P407" s="6">
        <v>0</v>
      </c>
      <c r="Q407" s="6">
        <f t="shared" ca="1" si="20"/>
        <v>59</v>
      </c>
      <c r="R407" s="6">
        <f t="shared" si="18"/>
        <v>-7110.4100000000035</v>
      </c>
      <c r="S407" s="7" t="str">
        <f t="shared" si="19"/>
        <v>Loss</v>
      </c>
    </row>
    <row r="408" spans="1:19" x14ac:dyDescent="0.3">
      <c r="A408" s="4" t="s">
        <v>857</v>
      </c>
      <c r="B408" s="5">
        <v>44859</v>
      </c>
      <c r="C408" s="6" t="s">
        <v>858</v>
      </c>
      <c r="D408" s="6" t="s">
        <v>46</v>
      </c>
      <c r="E408" s="6">
        <v>31811</v>
      </c>
      <c r="F408" s="6">
        <v>9.6999999999999993</v>
      </c>
      <c r="G408" s="6">
        <v>60</v>
      </c>
      <c r="H408" s="6" t="s">
        <v>26</v>
      </c>
      <c r="I408" s="6" t="s">
        <v>20</v>
      </c>
      <c r="J408" s="6" t="s">
        <v>37</v>
      </c>
      <c r="K408" s="6">
        <v>124386</v>
      </c>
      <c r="L408" s="6" t="s">
        <v>29</v>
      </c>
      <c r="M408" s="6">
        <v>0.48</v>
      </c>
      <c r="N408" s="6">
        <v>0.63</v>
      </c>
      <c r="O408" s="6">
        <v>14792.24</v>
      </c>
      <c r="P408" s="6">
        <v>0</v>
      </c>
      <c r="Q408" s="6">
        <f t="shared" ca="1" si="20"/>
        <v>40</v>
      </c>
      <c r="R408" s="6">
        <f t="shared" si="18"/>
        <v>17018.760000000002</v>
      </c>
      <c r="S408" s="7" t="str">
        <f t="shared" si="19"/>
        <v>Profit</v>
      </c>
    </row>
    <row r="409" spans="1:19" x14ac:dyDescent="0.3">
      <c r="A409" s="4" t="s">
        <v>859</v>
      </c>
      <c r="B409" s="5">
        <v>44233</v>
      </c>
      <c r="C409" s="6" t="s">
        <v>860</v>
      </c>
      <c r="D409" s="6" t="s">
        <v>40</v>
      </c>
      <c r="E409" s="6">
        <v>36488</v>
      </c>
      <c r="F409" s="6">
        <v>21.1</v>
      </c>
      <c r="G409" s="6">
        <v>36</v>
      </c>
      <c r="H409" s="6" t="s">
        <v>19</v>
      </c>
      <c r="I409" s="6" t="s">
        <v>57</v>
      </c>
      <c r="J409" s="6" t="s">
        <v>28</v>
      </c>
      <c r="K409" s="6">
        <v>146947</v>
      </c>
      <c r="L409" s="6" t="s">
        <v>29</v>
      </c>
      <c r="M409" s="6">
        <v>0.31</v>
      </c>
      <c r="N409" s="6">
        <v>0.76</v>
      </c>
      <c r="O409" s="6">
        <v>44186.97</v>
      </c>
      <c r="P409" s="6">
        <v>0</v>
      </c>
      <c r="Q409" s="6">
        <f t="shared" ca="1" si="20"/>
        <v>61</v>
      </c>
      <c r="R409" s="6">
        <f t="shared" si="18"/>
        <v>-7698.9700000000012</v>
      </c>
      <c r="S409" s="7" t="str">
        <f t="shared" si="19"/>
        <v>Loss</v>
      </c>
    </row>
    <row r="410" spans="1:19" x14ac:dyDescent="0.3">
      <c r="A410" s="4" t="s">
        <v>861</v>
      </c>
      <c r="B410" s="5">
        <v>44475</v>
      </c>
      <c r="C410" s="6" t="s">
        <v>862</v>
      </c>
      <c r="D410" s="6" t="s">
        <v>53</v>
      </c>
      <c r="E410" s="6">
        <v>9905</v>
      </c>
      <c r="F410" s="6">
        <v>6.2</v>
      </c>
      <c r="G410" s="6">
        <v>36</v>
      </c>
      <c r="H410" s="6" t="s">
        <v>80</v>
      </c>
      <c r="I410" s="6" t="s">
        <v>72</v>
      </c>
      <c r="J410" s="6" t="s">
        <v>37</v>
      </c>
      <c r="K410" s="6">
        <v>72788</v>
      </c>
      <c r="L410" s="6" t="s">
        <v>22</v>
      </c>
      <c r="M410" s="6">
        <v>0.39</v>
      </c>
      <c r="N410" s="6">
        <v>0.62</v>
      </c>
      <c r="O410" s="6">
        <v>2417.52</v>
      </c>
      <c r="P410" s="6">
        <v>3932.05</v>
      </c>
      <c r="Q410" s="6">
        <f t="shared" ca="1" si="20"/>
        <v>53</v>
      </c>
      <c r="R410" s="6">
        <f t="shared" si="18"/>
        <v>7487.48</v>
      </c>
      <c r="S410" s="7" t="str">
        <f t="shared" si="19"/>
        <v>Profit</v>
      </c>
    </row>
    <row r="411" spans="1:19" x14ac:dyDescent="0.3">
      <c r="A411" s="4" t="s">
        <v>863</v>
      </c>
      <c r="B411" s="5">
        <v>44413</v>
      </c>
      <c r="C411" s="6" t="s">
        <v>864</v>
      </c>
      <c r="D411" s="6" t="s">
        <v>75</v>
      </c>
      <c r="E411" s="6">
        <v>10127</v>
      </c>
      <c r="F411" s="6">
        <v>23</v>
      </c>
      <c r="G411" s="6">
        <v>36</v>
      </c>
      <c r="H411" s="6" t="s">
        <v>26</v>
      </c>
      <c r="I411" s="6" t="s">
        <v>72</v>
      </c>
      <c r="J411" s="6" t="s">
        <v>37</v>
      </c>
      <c r="K411" s="6">
        <v>145945</v>
      </c>
      <c r="L411" s="6" t="s">
        <v>29</v>
      </c>
      <c r="M411" s="6">
        <v>0.47</v>
      </c>
      <c r="N411" s="6">
        <v>0.92</v>
      </c>
      <c r="O411" s="6">
        <v>3348.84</v>
      </c>
      <c r="P411" s="6">
        <v>0</v>
      </c>
      <c r="Q411" s="6">
        <f t="shared" ca="1" si="20"/>
        <v>55</v>
      </c>
      <c r="R411" s="6">
        <f t="shared" si="18"/>
        <v>6778.16</v>
      </c>
      <c r="S411" s="7" t="str">
        <f t="shared" si="19"/>
        <v>Profit</v>
      </c>
    </row>
    <row r="412" spans="1:19" x14ac:dyDescent="0.3">
      <c r="A412" s="4" t="s">
        <v>865</v>
      </c>
      <c r="B412" s="5">
        <v>45063</v>
      </c>
      <c r="C412" s="6" t="s">
        <v>866</v>
      </c>
      <c r="D412" s="6" t="s">
        <v>53</v>
      </c>
      <c r="E412" s="6">
        <v>23431</v>
      </c>
      <c r="F412" s="6">
        <v>18</v>
      </c>
      <c r="G412" s="6">
        <v>60</v>
      </c>
      <c r="H412" s="6" t="s">
        <v>19</v>
      </c>
      <c r="I412" s="6" t="s">
        <v>27</v>
      </c>
      <c r="J412" s="6" t="s">
        <v>21</v>
      </c>
      <c r="K412" s="6">
        <v>112384</v>
      </c>
      <c r="L412" s="6" t="s">
        <v>22</v>
      </c>
      <c r="M412" s="6">
        <v>0.49</v>
      </c>
      <c r="N412" s="6">
        <v>0.56000000000000005</v>
      </c>
      <c r="O412" s="6">
        <v>27648.58</v>
      </c>
      <c r="P412" s="6">
        <v>0</v>
      </c>
      <c r="Q412" s="6">
        <f t="shared" ca="1" si="20"/>
        <v>34</v>
      </c>
      <c r="R412" s="6">
        <f t="shared" si="18"/>
        <v>-4217.5800000000017</v>
      </c>
      <c r="S412" s="7" t="str">
        <f t="shared" si="19"/>
        <v>Loss</v>
      </c>
    </row>
    <row r="413" spans="1:19" x14ac:dyDescent="0.3">
      <c r="A413" s="4" t="s">
        <v>867</v>
      </c>
      <c r="B413" s="5">
        <v>45069</v>
      </c>
      <c r="C413" s="6" t="s">
        <v>868</v>
      </c>
      <c r="D413" s="6" t="s">
        <v>56</v>
      </c>
      <c r="E413" s="6">
        <v>7368</v>
      </c>
      <c r="F413" s="6">
        <v>22.5</v>
      </c>
      <c r="G413" s="6">
        <v>36</v>
      </c>
      <c r="H413" s="6" t="s">
        <v>19</v>
      </c>
      <c r="I413" s="6" t="s">
        <v>20</v>
      </c>
      <c r="J413" s="6" t="s">
        <v>28</v>
      </c>
      <c r="K413" s="6">
        <v>76830</v>
      </c>
      <c r="L413" s="6" t="s">
        <v>29</v>
      </c>
      <c r="M413" s="6">
        <v>0.43</v>
      </c>
      <c r="N413" s="6">
        <v>0.86</v>
      </c>
      <c r="O413" s="6">
        <v>9025.7999999999993</v>
      </c>
      <c r="P413" s="6">
        <v>0</v>
      </c>
      <c r="Q413" s="6">
        <f t="shared" ca="1" si="20"/>
        <v>33</v>
      </c>
      <c r="R413" s="6">
        <f t="shared" si="18"/>
        <v>-1657.7999999999993</v>
      </c>
      <c r="S413" s="7" t="str">
        <f t="shared" si="19"/>
        <v>Loss</v>
      </c>
    </row>
    <row r="414" spans="1:19" x14ac:dyDescent="0.3">
      <c r="A414" s="4" t="s">
        <v>869</v>
      </c>
      <c r="B414" s="5">
        <v>44258</v>
      </c>
      <c r="C414" s="6" t="s">
        <v>870</v>
      </c>
      <c r="D414" s="6" t="s">
        <v>75</v>
      </c>
      <c r="E414" s="6">
        <v>28424</v>
      </c>
      <c r="F414" s="6">
        <v>5</v>
      </c>
      <c r="G414" s="6">
        <v>36</v>
      </c>
      <c r="H414" s="6" t="s">
        <v>26</v>
      </c>
      <c r="I414" s="6" t="s">
        <v>20</v>
      </c>
      <c r="J414" s="6" t="s">
        <v>28</v>
      </c>
      <c r="K414" s="6">
        <v>82446</v>
      </c>
      <c r="L414" s="6" t="s">
        <v>22</v>
      </c>
      <c r="M414" s="6">
        <v>0.22</v>
      </c>
      <c r="N414" s="6">
        <v>0.73</v>
      </c>
      <c r="O414" s="6">
        <v>12039.9</v>
      </c>
      <c r="P414" s="6">
        <v>0</v>
      </c>
      <c r="Q414" s="6">
        <f t="shared" ca="1" si="20"/>
        <v>60</v>
      </c>
      <c r="R414" s="6">
        <f t="shared" si="18"/>
        <v>16384.099999999999</v>
      </c>
      <c r="S414" s="7" t="str">
        <f t="shared" si="19"/>
        <v>Profit</v>
      </c>
    </row>
    <row r="415" spans="1:19" x14ac:dyDescent="0.3">
      <c r="A415" s="4" t="s">
        <v>871</v>
      </c>
      <c r="B415" s="5">
        <v>44792</v>
      </c>
      <c r="C415" s="6" t="s">
        <v>872</v>
      </c>
      <c r="D415" s="6" t="s">
        <v>18</v>
      </c>
      <c r="E415" s="6">
        <v>19333</v>
      </c>
      <c r="F415" s="6">
        <v>8.4</v>
      </c>
      <c r="G415" s="6">
        <v>36</v>
      </c>
      <c r="H415" s="6" t="s">
        <v>26</v>
      </c>
      <c r="I415" s="6" t="s">
        <v>27</v>
      </c>
      <c r="J415" s="6" t="s">
        <v>37</v>
      </c>
      <c r="K415" s="6">
        <v>135078</v>
      </c>
      <c r="L415" s="6" t="s">
        <v>29</v>
      </c>
      <c r="M415" s="6">
        <v>0.49</v>
      </c>
      <c r="N415" s="6">
        <v>0.84</v>
      </c>
      <c r="O415" s="6">
        <v>4102.62</v>
      </c>
      <c r="P415" s="6">
        <v>0</v>
      </c>
      <c r="Q415" s="6">
        <f t="shared" ca="1" si="20"/>
        <v>43</v>
      </c>
      <c r="R415" s="6">
        <f t="shared" si="18"/>
        <v>15230.380000000001</v>
      </c>
      <c r="S415" s="7" t="str">
        <f t="shared" si="19"/>
        <v>Profit</v>
      </c>
    </row>
    <row r="416" spans="1:19" x14ac:dyDescent="0.3">
      <c r="A416" s="4" t="s">
        <v>873</v>
      </c>
      <c r="B416" s="5">
        <v>44925</v>
      </c>
      <c r="C416" s="6" t="s">
        <v>874</v>
      </c>
      <c r="D416" s="6" t="s">
        <v>75</v>
      </c>
      <c r="E416" s="6">
        <v>24116</v>
      </c>
      <c r="F416" s="6">
        <v>12.8</v>
      </c>
      <c r="G416" s="6">
        <v>36</v>
      </c>
      <c r="H416" s="6" t="s">
        <v>19</v>
      </c>
      <c r="I416" s="6" t="s">
        <v>83</v>
      </c>
      <c r="J416" s="6" t="s">
        <v>28</v>
      </c>
      <c r="K416" s="6">
        <v>45160</v>
      </c>
      <c r="L416" s="6" t="s">
        <v>29</v>
      </c>
      <c r="M416" s="6">
        <v>0.35</v>
      </c>
      <c r="N416" s="6">
        <v>0.64</v>
      </c>
      <c r="O416" s="6">
        <v>27202.85</v>
      </c>
      <c r="P416" s="6">
        <v>0</v>
      </c>
      <c r="Q416" s="6">
        <f t="shared" ca="1" si="20"/>
        <v>38</v>
      </c>
      <c r="R416" s="6">
        <f t="shared" si="18"/>
        <v>-3086.8499999999985</v>
      </c>
      <c r="S416" s="7" t="str">
        <f t="shared" si="19"/>
        <v>Loss</v>
      </c>
    </row>
    <row r="417" spans="1:19" x14ac:dyDescent="0.3">
      <c r="A417" s="4" t="s">
        <v>875</v>
      </c>
      <c r="B417" s="5">
        <v>44593</v>
      </c>
      <c r="C417" s="6" t="s">
        <v>876</v>
      </c>
      <c r="D417" s="6" t="s">
        <v>25</v>
      </c>
      <c r="E417" s="6">
        <v>16525</v>
      </c>
      <c r="F417" s="6">
        <v>12.6</v>
      </c>
      <c r="G417" s="6">
        <v>36</v>
      </c>
      <c r="H417" s="6" t="s">
        <v>19</v>
      </c>
      <c r="I417" s="6" t="s">
        <v>20</v>
      </c>
      <c r="J417" s="6" t="s">
        <v>28</v>
      </c>
      <c r="K417" s="6">
        <v>86583</v>
      </c>
      <c r="L417" s="6" t="s">
        <v>22</v>
      </c>
      <c r="M417" s="6">
        <v>0.47</v>
      </c>
      <c r="N417" s="6">
        <v>0.73</v>
      </c>
      <c r="O417" s="6">
        <v>18607.150000000001</v>
      </c>
      <c r="P417" s="6">
        <v>0</v>
      </c>
      <c r="Q417" s="6">
        <f t="shared" ca="1" si="20"/>
        <v>49</v>
      </c>
      <c r="R417" s="6">
        <f t="shared" si="18"/>
        <v>-2082.1500000000015</v>
      </c>
      <c r="S417" s="7" t="str">
        <f t="shared" si="19"/>
        <v>Loss</v>
      </c>
    </row>
    <row r="418" spans="1:19" x14ac:dyDescent="0.3">
      <c r="A418" s="4" t="s">
        <v>877</v>
      </c>
      <c r="B418" s="5">
        <v>44895</v>
      </c>
      <c r="C418" s="6" t="s">
        <v>878</v>
      </c>
      <c r="D418" s="6" t="s">
        <v>46</v>
      </c>
      <c r="E418" s="6">
        <v>24398</v>
      </c>
      <c r="F418" s="6">
        <v>9.5</v>
      </c>
      <c r="G418" s="6">
        <v>60</v>
      </c>
      <c r="H418" s="6" t="s">
        <v>26</v>
      </c>
      <c r="I418" s="6" t="s">
        <v>72</v>
      </c>
      <c r="J418" s="6" t="s">
        <v>21</v>
      </c>
      <c r="K418" s="6">
        <v>63998</v>
      </c>
      <c r="L418" s="6" t="s">
        <v>33</v>
      </c>
      <c r="M418" s="6">
        <v>0.37</v>
      </c>
      <c r="N418" s="6">
        <v>0.89</v>
      </c>
      <c r="O418" s="6">
        <v>5945.55</v>
      </c>
      <c r="P418" s="6">
        <v>0</v>
      </c>
      <c r="Q418" s="6">
        <f t="shared" ca="1" si="20"/>
        <v>39</v>
      </c>
      <c r="R418" s="6">
        <f t="shared" si="18"/>
        <v>18452.45</v>
      </c>
      <c r="S418" s="7" t="str">
        <f t="shared" si="19"/>
        <v>Profit</v>
      </c>
    </row>
    <row r="419" spans="1:19" x14ac:dyDescent="0.3">
      <c r="A419" s="4" t="s">
        <v>879</v>
      </c>
      <c r="B419" s="5">
        <v>45239</v>
      </c>
      <c r="C419" s="6" t="s">
        <v>880</v>
      </c>
      <c r="D419" s="6" t="s">
        <v>40</v>
      </c>
      <c r="E419" s="6">
        <v>33857</v>
      </c>
      <c r="F419" s="6">
        <v>12.6</v>
      </c>
      <c r="G419" s="6">
        <v>60</v>
      </c>
      <c r="H419" s="6" t="s">
        <v>19</v>
      </c>
      <c r="I419" s="6" t="s">
        <v>57</v>
      </c>
      <c r="J419" s="6" t="s">
        <v>32</v>
      </c>
      <c r="K419" s="6">
        <v>57230</v>
      </c>
      <c r="L419" s="6" t="s">
        <v>33</v>
      </c>
      <c r="M419" s="6">
        <v>0.22</v>
      </c>
      <c r="N419" s="6">
        <v>0.71</v>
      </c>
      <c r="O419" s="6">
        <v>38122.980000000003</v>
      </c>
      <c r="P419" s="6">
        <v>0</v>
      </c>
      <c r="Q419" s="6">
        <f t="shared" ca="1" si="20"/>
        <v>28</v>
      </c>
      <c r="R419" s="6">
        <f t="shared" si="18"/>
        <v>-4265.9800000000032</v>
      </c>
      <c r="S419" s="7" t="str">
        <f t="shared" si="19"/>
        <v>Loss</v>
      </c>
    </row>
    <row r="420" spans="1:19" x14ac:dyDescent="0.3">
      <c r="A420" s="4" t="s">
        <v>881</v>
      </c>
      <c r="B420" s="5">
        <v>44373</v>
      </c>
      <c r="C420" s="6" t="s">
        <v>882</v>
      </c>
      <c r="D420" s="6" t="s">
        <v>50</v>
      </c>
      <c r="E420" s="6">
        <v>11361</v>
      </c>
      <c r="F420" s="6">
        <v>7.6</v>
      </c>
      <c r="G420" s="6">
        <v>60</v>
      </c>
      <c r="H420" s="6" t="s">
        <v>26</v>
      </c>
      <c r="I420" s="6" t="s">
        <v>83</v>
      </c>
      <c r="J420" s="6" t="s">
        <v>47</v>
      </c>
      <c r="K420" s="6">
        <v>39076</v>
      </c>
      <c r="L420" s="6" t="s">
        <v>33</v>
      </c>
      <c r="M420" s="6">
        <v>0.25</v>
      </c>
      <c r="N420" s="6">
        <v>0.66</v>
      </c>
      <c r="O420" s="6">
        <v>2661.69</v>
      </c>
      <c r="P420" s="6">
        <v>0</v>
      </c>
      <c r="Q420" s="6">
        <f t="shared" ca="1" si="20"/>
        <v>56</v>
      </c>
      <c r="R420" s="6">
        <f t="shared" si="18"/>
        <v>8699.31</v>
      </c>
      <c r="S420" s="7" t="str">
        <f t="shared" si="19"/>
        <v>Profit</v>
      </c>
    </row>
    <row r="421" spans="1:19" x14ac:dyDescent="0.3">
      <c r="A421" s="4" t="s">
        <v>883</v>
      </c>
      <c r="B421" s="5">
        <v>44592</v>
      </c>
      <c r="C421" s="6" t="s">
        <v>884</v>
      </c>
      <c r="D421" s="6" t="s">
        <v>40</v>
      </c>
      <c r="E421" s="6">
        <v>17369</v>
      </c>
      <c r="F421" s="6">
        <v>13.3</v>
      </c>
      <c r="G421" s="6">
        <v>36</v>
      </c>
      <c r="H421" s="6" t="s">
        <v>19</v>
      </c>
      <c r="I421" s="6" t="s">
        <v>83</v>
      </c>
      <c r="J421" s="6" t="s">
        <v>32</v>
      </c>
      <c r="K421" s="6">
        <v>99341</v>
      </c>
      <c r="L421" s="6" t="s">
        <v>22</v>
      </c>
      <c r="M421" s="6">
        <v>0.32</v>
      </c>
      <c r="N421" s="6">
        <v>0.74</v>
      </c>
      <c r="O421" s="6">
        <v>19679.080000000002</v>
      </c>
      <c r="P421" s="6">
        <v>0</v>
      </c>
      <c r="Q421" s="6">
        <f t="shared" ca="1" si="20"/>
        <v>49</v>
      </c>
      <c r="R421" s="6">
        <f t="shared" si="18"/>
        <v>-2310.0800000000017</v>
      </c>
      <c r="S421" s="7" t="str">
        <f t="shared" si="19"/>
        <v>Loss</v>
      </c>
    </row>
    <row r="422" spans="1:19" x14ac:dyDescent="0.3">
      <c r="A422" s="4" t="s">
        <v>885</v>
      </c>
      <c r="B422" s="5">
        <v>44641</v>
      </c>
      <c r="C422" s="6" t="s">
        <v>886</v>
      </c>
      <c r="D422" s="6" t="s">
        <v>40</v>
      </c>
      <c r="E422" s="6">
        <v>4041</v>
      </c>
      <c r="F422" s="6">
        <v>21</v>
      </c>
      <c r="G422" s="6">
        <v>60</v>
      </c>
      <c r="H422" s="6" t="s">
        <v>80</v>
      </c>
      <c r="I422" s="6" t="s">
        <v>83</v>
      </c>
      <c r="J422" s="6" t="s">
        <v>28</v>
      </c>
      <c r="K422" s="6">
        <v>61085</v>
      </c>
      <c r="L422" s="6" t="s">
        <v>33</v>
      </c>
      <c r="M422" s="6">
        <v>0.42</v>
      </c>
      <c r="N422" s="6">
        <v>0.82</v>
      </c>
      <c r="O422" s="6">
        <v>858.39</v>
      </c>
      <c r="P422" s="6">
        <v>1009</v>
      </c>
      <c r="Q422" s="6">
        <f t="shared" ca="1" si="20"/>
        <v>47</v>
      </c>
      <c r="R422" s="6">
        <f t="shared" si="18"/>
        <v>3182.61</v>
      </c>
      <c r="S422" s="7" t="str">
        <f t="shared" si="19"/>
        <v>Profit</v>
      </c>
    </row>
    <row r="423" spans="1:19" x14ac:dyDescent="0.3">
      <c r="A423" s="4" t="s">
        <v>887</v>
      </c>
      <c r="B423" s="5">
        <v>44272</v>
      </c>
      <c r="C423" s="6" t="s">
        <v>888</v>
      </c>
      <c r="D423" s="6" t="s">
        <v>56</v>
      </c>
      <c r="E423" s="6">
        <v>1105</v>
      </c>
      <c r="F423" s="6">
        <v>14.6</v>
      </c>
      <c r="G423" s="6">
        <v>60</v>
      </c>
      <c r="H423" s="6" t="s">
        <v>80</v>
      </c>
      <c r="I423" s="6" t="s">
        <v>27</v>
      </c>
      <c r="J423" s="6" t="s">
        <v>37</v>
      </c>
      <c r="K423" s="6">
        <v>85571</v>
      </c>
      <c r="L423" s="6" t="s">
        <v>33</v>
      </c>
      <c r="M423" s="6">
        <v>0.23</v>
      </c>
      <c r="N423" s="6">
        <v>0.7</v>
      </c>
      <c r="O423" s="6">
        <v>417.31</v>
      </c>
      <c r="P423" s="6">
        <v>388.04</v>
      </c>
      <c r="Q423" s="6">
        <f t="shared" ca="1" si="20"/>
        <v>60</v>
      </c>
      <c r="R423" s="6">
        <f t="shared" si="18"/>
        <v>687.69</v>
      </c>
      <c r="S423" s="7" t="str">
        <f t="shared" si="19"/>
        <v>Profit</v>
      </c>
    </row>
    <row r="424" spans="1:19" x14ac:dyDescent="0.3">
      <c r="A424" s="4" t="s">
        <v>889</v>
      </c>
      <c r="B424" s="5">
        <v>44461</v>
      </c>
      <c r="C424" s="6" t="s">
        <v>890</v>
      </c>
      <c r="D424" s="6" t="s">
        <v>18</v>
      </c>
      <c r="E424" s="6">
        <v>10078</v>
      </c>
      <c r="F424" s="6">
        <v>5.4</v>
      </c>
      <c r="G424" s="6">
        <v>60</v>
      </c>
      <c r="H424" s="6" t="s">
        <v>314</v>
      </c>
      <c r="I424" s="6" t="s">
        <v>57</v>
      </c>
      <c r="J424" s="6" t="s">
        <v>47</v>
      </c>
      <c r="K424" s="6">
        <v>44715</v>
      </c>
      <c r="L424" s="6" t="s">
        <v>22</v>
      </c>
      <c r="M424" s="6">
        <v>0.33</v>
      </c>
      <c r="N424" s="6">
        <v>0.92</v>
      </c>
      <c r="O424" s="6">
        <v>0</v>
      </c>
      <c r="P424" s="6">
        <v>0</v>
      </c>
      <c r="Q424" s="6">
        <f t="shared" ca="1" si="20"/>
        <v>53</v>
      </c>
      <c r="R424" s="6">
        <f t="shared" si="18"/>
        <v>10078</v>
      </c>
      <c r="S424" s="7" t="str">
        <f t="shared" si="19"/>
        <v>Profit</v>
      </c>
    </row>
    <row r="425" spans="1:19" x14ac:dyDescent="0.3">
      <c r="A425" s="4" t="s">
        <v>891</v>
      </c>
      <c r="B425" s="5">
        <v>44651</v>
      </c>
      <c r="C425" s="6" t="s">
        <v>892</v>
      </c>
      <c r="D425" s="6" t="s">
        <v>53</v>
      </c>
      <c r="E425" s="6">
        <v>26003</v>
      </c>
      <c r="F425" s="6">
        <v>13.4</v>
      </c>
      <c r="G425" s="6">
        <v>36</v>
      </c>
      <c r="H425" s="6" t="s">
        <v>19</v>
      </c>
      <c r="I425" s="6" t="s">
        <v>83</v>
      </c>
      <c r="J425" s="6" t="s">
        <v>47</v>
      </c>
      <c r="K425" s="6">
        <v>35750</v>
      </c>
      <c r="L425" s="6" t="s">
        <v>33</v>
      </c>
      <c r="M425" s="6">
        <v>0.24</v>
      </c>
      <c r="N425" s="6">
        <v>0.63</v>
      </c>
      <c r="O425" s="6">
        <v>29487.4</v>
      </c>
      <c r="P425" s="6">
        <v>0</v>
      </c>
      <c r="Q425" s="6">
        <f t="shared" ca="1" si="20"/>
        <v>47</v>
      </c>
      <c r="R425" s="6">
        <f t="shared" si="18"/>
        <v>-3484.4000000000015</v>
      </c>
      <c r="S425" s="7" t="str">
        <f t="shared" si="19"/>
        <v>Loss</v>
      </c>
    </row>
    <row r="426" spans="1:19" x14ac:dyDescent="0.3">
      <c r="A426" s="4" t="s">
        <v>893</v>
      </c>
      <c r="B426" s="5">
        <v>44914</v>
      </c>
      <c r="C426" s="6" t="s">
        <v>894</v>
      </c>
      <c r="D426" s="6" t="s">
        <v>18</v>
      </c>
      <c r="E426" s="6">
        <v>7090</v>
      </c>
      <c r="F426" s="6">
        <v>5.5</v>
      </c>
      <c r="G426" s="6">
        <v>36</v>
      </c>
      <c r="H426" s="6" t="s">
        <v>80</v>
      </c>
      <c r="I426" s="6" t="s">
        <v>72</v>
      </c>
      <c r="J426" s="6" t="s">
        <v>37</v>
      </c>
      <c r="K426" s="6">
        <v>143931</v>
      </c>
      <c r="L426" s="6" t="s">
        <v>33</v>
      </c>
      <c r="M426" s="6">
        <v>0.43</v>
      </c>
      <c r="N426" s="6">
        <v>0.71</v>
      </c>
      <c r="O426" s="6">
        <v>2472.13</v>
      </c>
      <c r="P426" s="6">
        <v>1824.75</v>
      </c>
      <c r="Q426" s="6">
        <f t="shared" ca="1" si="20"/>
        <v>39</v>
      </c>
      <c r="R426" s="6">
        <f t="shared" si="18"/>
        <v>4617.87</v>
      </c>
      <c r="S426" s="7" t="str">
        <f t="shared" si="19"/>
        <v>Profit</v>
      </c>
    </row>
    <row r="427" spans="1:19" x14ac:dyDescent="0.3">
      <c r="A427" s="4" t="s">
        <v>895</v>
      </c>
      <c r="B427" s="5">
        <v>44931</v>
      </c>
      <c r="C427" s="6" t="s">
        <v>896</v>
      </c>
      <c r="D427" s="6" t="s">
        <v>50</v>
      </c>
      <c r="E427" s="6">
        <v>39850</v>
      </c>
      <c r="F427" s="6">
        <v>24.3</v>
      </c>
      <c r="G427" s="6">
        <v>60</v>
      </c>
      <c r="H427" s="6" t="s">
        <v>19</v>
      </c>
      <c r="I427" s="6" t="s">
        <v>20</v>
      </c>
      <c r="J427" s="6" t="s">
        <v>47</v>
      </c>
      <c r="K427" s="6">
        <v>108768</v>
      </c>
      <c r="L427" s="6" t="s">
        <v>33</v>
      </c>
      <c r="M427" s="6">
        <v>0.28999999999999998</v>
      </c>
      <c r="N427" s="6">
        <v>0.84</v>
      </c>
      <c r="O427" s="6">
        <v>49533.55</v>
      </c>
      <c r="P427" s="6">
        <v>0</v>
      </c>
      <c r="Q427" s="6">
        <f t="shared" ca="1" si="20"/>
        <v>38</v>
      </c>
      <c r="R427" s="6">
        <f t="shared" si="18"/>
        <v>-9683.5500000000029</v>
      </c>
      <c r="S427" s="7" t="str">
        <f t="shared" si="19"/>
        <v>Loss</v>
      </c>
    </row>
    <row r="428" spans="1:19" x14ac:dyDescent="0.3">
      <c r="A428" s="4" t="s">
        <v>897</v>
      </c>
      <c r="B428" s="5">
        <v>45047</v>
      </c>
      <c r="C428" s="6" t="s">
        <v>898</v>
      </c>
      <c r="D428" s="6" t="s">
        <v>56</v>
      </c>
      <c r="E428" s="6">
        <v>2925</v>
      </c>
      <c r="F428" s="6">
        <v>7.5</v>
      </c>
      <c r="G428" s="6">
        <v>60</v>
      </c>
      <c r="H428" s="6" t="s">
        <v>26</v>
      </c>
      <c r="I428" s="6" t="s">
        <v>72</v>
      </c>
      <c r="J428" s="6" t="s">
        <v>37</v>
      </c>
      <c r="K428" s="6">
        <v>148544</v>
      </c>
      <c r="L428" s="6" t="s">
        <v>22</v>
      </c>
      <c r="M428" s="6">
        <v>0.13</v>
      </c>
      <c r="N428" s="6">
        <v>0.81</v>
      </c>
      <c r="O428" s="6">
        <v>289.72000000000003</v>
      </c>
      <c r="P428" s="6">
        <v>0</v>
      </c>
      <c r="Q428" s="6">
        <f t="shared" ca="1" si="20"/>
        <v>34</v>
      </c>
      <c r="R428" s="6">
        <f t="shared" si="18"/>
        <v>2635.2799999999997</v>
      </c>
      <c r="S428" s="7" t="str">
        <f t="shared" si="19"/>
        <v>Profit</v>
      </c>
    </row>
    <row r="429" spans="1:19" x14ac:dyDescent="0.3">
      <c r="A429" s="4" t="s">
        <v>899</v>
      </c>
      <c r="B429" s="5">
        <v>44340</v>
      </c>
      <c r="C429" s="6" t="s">
        <v>900</v>
      </c>
      <c r="D429" s="6" t="s">
        <v>46</v>
      </c>
      <c r="E429" s="6">
        <v>19440</v>
      </c>
      <c r="F429" s="6">
        <v>19.2</v>
      </c>
      <c r="G429" s="6">
        <v>36</v>
      </c>
      <c r="H429" s="6" t="s">
        <v>19</v>
      </c>
      <c r="I429" s="6" t="s">
        <v>36</v>
      </c>
      <c r="J429" s="6" t="s">
        <v>47</v>
      </c>
      <c r="K429" s="6">
        <v>65903</v>
      </c>
      <c r="L429" s="6" t="s">
        <v>22</v>
      </c>
      <c r="M429" s="6">
        <v>0.17</v>
      </c>
      <c r="N429" s="6">
        <v>0.89</v>
      </c>
      <c r="O429" s="6">
        <v>23172.48</v>
      </c>
      <c r="P429" s="6">
        <v>0</v>
      </c>
      <c r="Q429" s="6">
        <f t="shared" ca="1" si="20"/>
        <v>57</v>
      </c>
      <c r="R429" s="6">
        <f t="shared" si="18"/>
        <v>-3732.4799999999996</v>
      </c>
      <c r="S429" s="7" t="str">
        <f t="shared" si="19"/>
        <v>Loss</v>
      </c>
    </row>
    <row r="430" spans="1:19" x14ac:dyDescent="0.3">
      <c r="A430" s="4" t="s">
        <v>901</v>
      </c>
      <c r="B430" s="5">
        <v>45081</v>
      </c>
      <c r="C430" s="6" t="s">
        <v>902</v>
      </c>
      <c r="D430" s="6" t="s">
        <v>40</v>
      </c>
      <c r="E430" s="6">
        <v>27015</v>
      </c>
      <c r="F430" s="6">
        <v>24.5</v>
      </c>
      <c r="G430" s="6">
        <v>36</v>
      </c>
      <c r="H430" s="6" t="s">
        <v>19</v>
      </c>
      <c r="I430" s="6" t="s">
        <v>36</v>
      </c>
      <c r="J430" s="6" t="s">
        <v>32</v>
      </c>
      <c r="K430" s="6">
        <v>102489</v>
      </c>
      <c r="L430" s="6" t="s">
        <v>33</v>
      </c>
      <c r="M430" s="6">
        <v>0.12</v>
      </c>
      <c r="N430" s="6">
        <v>0.95</v>
      </c>
      <c r="O430" s="6">
        <v>33633.68</v>
      </c>
      <c r="P430" s="6">
        <v>0</v>
      </c>
      <c r="Q430" s="6">
        <f t="shared" ca="1" si="20"/>
        <v>33</v>
      </c>
      <c r="R430" s="6">
        <f t="shared" si="18"/>
        <v>-6618.68</v>
      </c>
      <c r="S430" s="7" t="str">
        <f t="shared" si="19"/>
        <v>Loss</v>
      </c>
    </row>
    <row r="431" spans="1:19" x14ac:dyDescent="0.3">
      <c r="A431" s="4" t="s">
        <v>903</v>
      </c>
      <c r="B431" s="5">
        <v>45289</v>
      </c>
      <c r="C431" s="6" t="s">
        <v>904</v>
      </c>
      <c r="D431" s="6" t="s">
        <v>25</v>
      </c>
      <c r="E431" s="6">
        <v>34320</v>
      </c>
      <c r="F431" s="6">
        <v>21.5</v>
      </c>
      <c r="G431" s="6">
        <v>60</v>
      </c>
      <c r="H431" s="6" t="s">
        <v>80</v>
      </c>
      <c r="I431" s="6" t="s">
        <v>20</v>
      </c>
      <c r="J431" s="6" t="s">
        <v>47</v>
      </c>
      <c r="K431" s="6">
        <v>62093</v>
      </c>
      <c r="L431" s="6" t="s">
        <v>33</v>
      </c>
      <c r="M431" s="6">
        <v>0.3</v>
      </c>
      <c r="N431" s="6">
        <v>0.69</v>
      </c>
      <c r="O431" s="6">
        <v>4545.24</v>
      </c>
      <c r="P431" s="6">
        <v>12356.63</v>
      </c>
      <c r="Q431" s="6">
        <f t="shared" ca="1" si="20"/>
        <v>26</v>
      </c>
      <c r="R431" s="6">
        <f t="shared" si="18"/>
        <v>29774.760000000002</v>
      </c>
      <c r="S431" s="7" t="str">
        <f t="shared" si="19"/>
        <v>Profit</v>
      </c>
    </row>
    <row r="432" spans="1:19" x14ac:dyDescent="0.3">
      <c r="A432" s="4" t="s">
        <v>905</v>
      </c>
      <c r="B432" s="5">
        <v>44592</v>
      </c>
      <c r="C432" s="6" t="s">
        <v>906</v>
      </c>
      <c r="D432" s="6" t="s">
        <v>56</v>
      </c>
      <c r="E432" s="6">
        <v>26291</v>
      </c>
      <c r="F432" s="6">
        <v>19</v>
      </c>
      <c r="G432" s="6">
        <v>36</v>
      </c>
      <c r="H432" s="6" t="s">
        <v>19</v>
      </c>
      <c r="I432" s="6" t="s">
        <v>27</v>
      </c>
      <c r="J432" s="6" t="s">
        <v>21</v>
      </c>
      <c r="K432" s="6">
        <v>121036</v>
      </c>
      <c r="L432" s="6" t="s">
        <v>22</v>
      </c>
      <c r="M432" s="6">
        <v>0.14000000000000001</v>
      </c>
      <c r="N432" s="6">
        <v>0.55000000000000004</v>
      </c>
      <c r="O432" s="6">
        <v>31286.29</v>
      </c>
      <c r="P432" s="6">
        <v>0</v>
      </c>
      <c r="Q432" s="6">
        <f t="shared" ca="1" si="20"/>
        <v>49</v>
      </c>
      <c r="R432" s="6">
        <f t="shared" si="18"/>
        <v>-4995.2900000000009</v>
      </c>
      <c r="S432" s="7" t="str">
        <f t="shared" si="19"/>
        <v>Loss</v>
      </c>
    </row>
    <row r="433" spans="1:19" x14ac:dyDescent="0.3">
      <c r="A433" s="4" t="s">
        <v>907</v>
      </c>
      <c r="B433" s="5">
        <v>45245</v>
      </c>
      <c r="C433" s="6" t="s">
        <v>908</v>
      </c>
      <c r="D433" s="6" t="s">
        <v>71</v>
      </c>
      <c r="E433" s="6">
        <v>37679</v>
      </c>
      <c r="F433" s="6">
        <v>21.8</v>
      </c>
      <c r="G433" s="6">
        <v>60</v>
      </c>
      <c r="H433" s="6" t="s">
        <v>26</v>
      </c>
      <c r="I433" s="6" t="s">
        <v>83</v>
      </c>
      <c r="J433" s="6" t="s">
        <v>37</v>
      </c>
      <c r="K433" s="6">
        <v>117954</v>
      </c>
      <c r="L433" s="6" t="s">
        <v>33</v>
      </c>
      <c r="M433" s="6">
        <v>0.15</v>
      </c>
      <c r="N433" s="6">
        <v>0.51</v>
      </c>
      <c r="O433" s="6">
        <v>9138.7099999999991</v>
      </c>
      <c r="P433" s="6">
        <v>0</v>
      </c>
      <c r="Q433" s="6">
        <f t="shared" ca="1" si="20"/>
        <v>28</v>
      </c>
      <c r="R433" s="6">
        <f t="shared" si="18"/>
        <v>28540.29</v>
      </c>
      <c r="S433" s="7" t="str">
        <f t="shared" si="19"/>
        <v>Profit</v>
      </c>
    </row>
    <row r="434" spans="1:19" x14ac:dyDescent="0.3">
      <c r="A434" s="4" t="s">
        <v>909</v>
      </c>
      <c r="B434" s="5">
        <v>45144</v>
      </c>
      <c r="C434" s="6" t="s">
        <v>910</v>
      </c>
      <c r="D434" s="6" t="s">
        <v>75</v>
      </c>
      <c r="E434" s="6">
        <v>27289</v>
      </c>
      <c r="F434" s="6">
        <v>24.6</v>
      </c>
      <c r="G434" s="6">
        <v>36</v>
      </c>
      <c r="H434" s="6" t="s">
        <v>26</v>
      </c>
      <c r="I434" s="6" t="s">
        <v>57</v>
      </c>
      <c r="J434" s="6" t="s">
        <v>47</v>
      </c>
      <c r="K434" s="6">
        <v>149277</v>
      </c>
      <c r="L434" s="6" t="s">
        <v>22</v>
      </c>
      <c r="M434" s="6">
        <v>0.48</v>
      </c>
      <c r="N434" s="6">
        <v>0.83</v>
      </c>
      <c r="O434" s="6">
        <v>2575.9699999999998</v>
      </c>
      <c r="P434" s="6">
        <v>0</v>
      </c>
      <c r="Q434" s="6">
        <f t="shared" ca="1" si="20"/>
        <v>31</v>
      </c>
      <c r="R434" s="6">
        <f t="shared" si="18"/>
        <v>24713.03</v>
      </c>
      <c r="S434" s="7" t="str">
        <f t="shared" si="19"/>
        <v>Profit</v>
      </c>
    </row>
    <row r="435" spans="1:19" x14ac:dyDescent="0.3">
      <c r="A435" s="4" t="s">
        <v>911</v>
      </c>
      <c r="B435" s="5">
        <v>45087</v>
      </c>
      <c r="C435" s="6" t="s">
        <v>912</v>
      </c>
      <c r="D435" s="6" t="s">
        <v>18</v>
      </c>
      <c r="E435" s="6">
        <v>4389</v>
      </c>
      <c r="F435" s="6">
        <v>17.399999999999999</v>
      </c>
      <c r="G435" s="6">
        <v>60</v>
      </c>
      <c r="H435" s="6" t="s">
        <v>26</v>
      </c>
      <c r="I435" s="6" t="s">
        <v>72</v>
      </c>
      <c r="J435" s="6" t="s">
        <v>37</v>
      </c>
      <c r="K435" s="6">
        <v>64314</v>
      </c>
      <c r="L435" s="6" t="s">
        <v>33</v>
      </c>
      <c r="M435" s="6">
        <v>0.45</v>
      </c>
      <c r="N435" s="6">
        <v>0.89</v>
      </c>
      <c r="O435" s="6">
        <v>1442.19</v>
      </c>
      <c r="P435" s="6">
        <v>0</v>
      </c>
      <c r="Q435" s="6">
        <f t="shared" ca="1" si="20"/>
        <v>33</v>
      </c>
      <c r="R435" s="6">
        <f t="shared" si="18"/>
        <v>2946.81</v>
      </c>
      <c r="S435" s="7" t="str">
        <f t="shared" si="19"/>
        <v>Profit</v>
      </c>
    </row>
    <row r="436" spans="1:19" x14ac:dyDescent="0.3">
      <c r="A436" s="4" t="s">
        <v>913</v>
      </c>
      <c r="B436" s="5">
        <v>44765</v>
      </c>
      <c r="C436" s="6" t="s">
        <v>914</v>
      </c>
      <c r="D436" s="6" t="s">
        <v>56</v>
      </c>
      <c r="E436" s="6">
        <v>26683</v>
      </c>
      <c r="F436" s="6">
        <v>16.2</v>
      </c>
      <c r="G436" s="6">
        <v>60</v>
      </c>
      <c r="H436" s="6" t="s">
        <v>19</v>
      </c>
      <c r="I436" s="6" t="s">
        <v>27</v>
      </c>
      <c r="J436" s="6" t="s">
        <v>21</v>
      </c>
      <c r="K436" s="6">
        <v>78225</v>
      </c>
      <c r="L436" s="6" t="s">
        <v>22</v>
      </c>
      <c r="M436" s="6">
        <v>0.28000000000000003</v>
      </c>
      <c r="N436" s="6">
        <v>0.6</v>
      </c>
      <c r="O436" s="6">
        <v>31005.65</v>
      </c>
      <c r="P436" s="6">
        <v>0</v>
      </c>
      <c r="Q436" s="6">
        <f t="shared" ca="1" si="20"/>
        <v>43</v>
      </c>
      <c r="R436" s="6">
        <f t="shared" si="18"/>
        <v>-4322.6500000000015</v>
      </c>
      <c r="S436" s="7" t="str">
        <f t="shared" si="19"/>
        <v>Loss</v>
      </c>
    </row>
    <row r="437" spans="1:19" x14ac:dyDescent="0.3">
      <c r="A437" s="4" t="s">
        <v>915</v>
      </c>
      <c r="B437" s="5">
        <v>45259</v>
      </c>
      <c r="C437" s="6" t="s">
        <v>916</v>
      </c>
      <c r="D437" s="6" t="s">
        <v>71</v>
      </c>
      <c r="E437" s="6">
        <v>14629</v>
      </c>
      <c r="F437" s="6">
        <v>17.600000000000001</v>
      </c>
      <c r="G437" s="6">
        <v>36</v>
      </c>
      <c r="H437" s="6" t="s">
        <v>19</v>
      </c>
      <c r="I437" s="6" t="s">
        <v>57</v>
      </c>
      <c r="J437" s="6" t="s">
        <v>47</v>
      </c>
      <c r="K437" s="6">
        <v>117985</v>
      </c>
      <c r="L437" s="6" t="s">
        <v>29</v>
      </c>
      <c r="M437" s="6">
        <v>0.49</v>
      </c>
      <c r="N437" s="6">
        <v>0.56999999999999995</v>
      </c>
      <c r="O437" s="6">
        <v>17203.7</v>
      </c>
      <c r="P437" s="6">
        <v>0</v>
      </c>
      <c r="Q437" s="6">
        <f t="shared" ca="1" si="20"/>
        <v>27</v>
      </c>
      <c r="R437" s="6">
        <f t="shared" si="18"/>
        <v>-2574.7000000000007</v>
      </c>
      <c r="S437" s="7" t="str">
        <f t="shared" si="19"/>
        <v>Loss</v>
      </c>
    </row>
    <row r="438" spans="1:19" x14ac:dyDescent="0.3">
      <c r="A438" s="4" t="s">
        <v>917</v>
      </c>
      <c r="B438" s="5">
        <v>44305</v>
      </c>
      <c r="C438" s="6" t="s">
        <v>918</v>
      </c>
      <c r="D438" s="6" t="s">
        <v>53</v>
      </c>
      <c r="E438" s="6">
        <v>25826</v>
      </c>
      <c r="F438" s="6">
        <v>15.7</v>
      </c>
      <c r="G438" s="6">
        <v>60</v>
      </c>
      <c r="H438" s="6" t="s">
        <v>26</v>
      </c>
      <c r="I438" s="6" t="s">
        <v>20</v>
      </c>
      <c r="J438" s="6" t="s">
        <v>47</v>
      </c>
      <c r="K438" s="6">
        <v>113014</v>
      </c>
      <c r="L438" s="6" t="s">
        <v>29</v>
      </c>
      <c r="M438" s="6">
        <v>0.1</v>
      </c>
      <c r="N438" s="6">
        <v>0.53</v>
      </c>
      <c r="O438" s="6">
        <v>2961.24</v>
      </c>
      <c r="P438" s="6">
        <v>0</v>
      </c>
      <c r="Q438" s="6">
        <f t="shared" ca="1" si="20"/>
        <v>59</v>
      </c>
      <c r="R438" s="6">
        <f t="shared" si="18"/>
        <v>22864.760000000002</v>
      </c>
      <c r="S438" s="7" t="str">
        <f t="shared" si="19"/>
        <v>Profit</v>
      </c>
    </row>
    <row r="439" spans="1:19" x14ac:dyDescent="0.3">
      <c r="A439" s="4" t="s">
        <v>919</v>
      </c>
      <c r="B439" s="5">
        <v>45262</v>
      </c>
      <c r="C439" s="6" t="s">
        <v>920</v>
      </c>
      <c r="D439" s="6" t="s">
        <v>50</v>
      </c>
      <c r="E439" s="6">
        <v>36198</v>
      </c>
      <c r="F439" s="6">
        <v>17.7</v>
      </c>
      <c r="G439" s="6">
        <v>60</v>
      </c>
      <c r="H439" s="6" t="s">
        <v>19</v>
      </c>
      <c r="I439" s="6" t="s">
        <v>27</v>
      </c>
      <c r="J439" s="6" t="s">
        <v>21</v>
      </c>
      <c r="K439" s="6">
        <v>65179</v>
      </c>
      <c r="L439" s="6" t="s">
        <v>22</v>
      </c>
      <c r="M439" s="6">
        <v>0.35</v>
      </c>
      <c r="N439" s="6">
        <v>0.87</v>
      </c>
      <c r="O439" s="6">
        <v>42605.05</v>
      </c>
      <c r="P439" s="6">
        <v>0</v>
      </c>
      <c r="Q439" s="6">
        <f t="shared" ca="1" si="20"/>
        <v>27</v>
      </c>
      <c r="R439" s="6">
        <f t="shared" si="18"/>
        <v>-6407.0500000000029</v>
      </c>
      <c r="S439" s="7" t="str">
        <f t="shared" si="19"/>
        <v>Loss</v>
      </c>
    </row>
    <row r="440" spans="1:19" x14ac:dyDescent="0.3">
      <c r="A440" s="4" t="s">
        <v>921</v>
      </c>
      <c r="B440" s="5">
        <v>45131</v>
      </c>
      <c r="C440" s="6" t="s">
        <v>922</v>
      </c>
      <c r="D440" s="6" t="s">
        <v>50</v>
      </c>
      <c r="E440" s="6">
        <v>27630</v>
      </c>
      <c r="F440" s="6">
        <v>14</v>
      </c>
      <c r="G440" s="6">
        <v>60</v>
      </c>
      <c r="H440" s="6" t="s">
        <v>19</v>
      </c>
      <c r="I440" s="6" t="s">
        <v>36</v>
      </c>
      <c r="J440" s="6" t="s">
        <v>21</v>
      </c>
      <c r="K440" s="6">
        <v>147305</v>
      </c>
      <c r="L440" s="6" t="s">
        <v>29</v>
      </c>
      <c r="M440" s="6">
        <v>0.35</v>
      </c>
      <c r="N440" s="6">
        <v>0.64</v>
      </c>
      <c r="O440" s="6">
        <v>31498.2</v>
      </c>
      <c r="P440" s="6">
        <v>0</v>
      </c>
      <c r="Q440" s="6">
        <f t="shared" ca="1" si="20"/>
        <v>31</v>
      </c>
      <c r="R440" s="6">
        <f t="shared" si="18"/>
        <v>-3868.2000000000007</v>
      </c>
      <c r="S440" s="7" t="str">
        <f t="shared" si="19"/>
        <v>Loss</v>
      </c>
    </row>
    <row r="441" spans="1:19" x14ac:dyDescent="0.3">
      <c r="A441" s="4" t="s">
        <v>923</v>
      </c>
      <c r="B441" s="5">
        <v>44594</v>
      </c>
      <c r="C441" s="6" t="s">
        <v>924</v>
      </c>
      <c r="D441" s="6" t="s">
        <v>40</v>
      </c>
      <c r="E441" s="6">
        <v>34226</v>
      </c>
      <c r="F441" s="6">
        <v>9.4</v>
      </c>
      <c r="G441" s="6">
        <v>36</v>
      </c>
      <c r="H441" s="6" t="s">
        <v>19</v>
      </c>
      <c r="I441" s="6" t="s">
        <v>27</v>
      </c>
      <c r="J441" s="6" t="s">
        <v>21</v>
      </c>
      <c r="K441" s="6">
        <v>142417</v>
      </c>
      <c r="L441" s="6" t="s">
        <v>33</v>
      </c>
      <c r="M441" s="6">
        <v>0.28000000000000003</v>
      </c>
      <c r="N441" s="6">
        <v>0.68</v>
      </c>
      <c r="O441" s="6">
        <v>37443.24</v>
      </c>
      <c r="P441" s="6">
        <v>0</v>
      </c>
      <c r="Q441" s="6">
        <f t="shared" ca="1" si="20"/>
        <v>49</v>
      </c>
      <c r="R441" s="6">
        <f t="shared" si="18"/>
        <v>-3217.239999999998</v>
      </c>
      <c r="S441" s="7" t="str">
        <f t="shared" si="19"/>
        <v>Loss</v>
      </c>
    </row>
    <row r="442" spans="1:19" x14ac:dyDescent="0.3">
      <c r="A442" s="4" t="s">
        <v>925</v>
      </c>
      <c r="B442" s="5">
        <v>44830</v>
      </c>
      <c r="C442" s="6" t="s">
        <v>926</v>
      </c>
      <c r="D442" s="6" t="s">
        <v>40</v>
      </c>
      <c r="E442" s="6">
        <v>33975</v>
      </c>
      <c r="F442" s="6">
        <v>7.4</v>
      </c>
      <c r="G442" s="6">
        <v>36</v>
      </c>
      <c r="H442" s="6" t="s">
        <v>19</v>
      </c>
      <c r="I442" s="6" t="s">
        <v>27</v>
      </c>
      <c r="J442" s="6" t="s">
        <v>37</v>
      </c>
      <c r="K442" s="6">
        <v>55338</v>
      </c>
      <c r="L442" s="6" t="s">
        <v>22</v>
      </c>
      <c r="M442" s="6">
        <v>0.26</v>
      </c>
      <c r="N442" s="6">
        <v>0.73</v>
      </c>
      <c r="O442" s="6">
        <v>36489.15</v>
      </c>
      <c r="P442" s="6">
        <v>0</v>
      </c>
      <c r="Q442" s="6">
        <f t="shared" ca="1" si="20"/>
        <v>41</v>
      </c>
      <c r="R442" s="6">
        <f t="shared" si="18"/>
        <v>-2514.1500000000015</v>
      </c>
      <c r="S442" s="7" t="str">
        <f t="shared" si="19"/>
        <v>Loss</v>
      </c>
    </row>
    <row r="443" spans="1:19" x14ac:dyDescent="0.3">
      <c r="A443" s="4" t="s">
        <v>927</v>
      </c>
      <c r="B443" s="5">
        <v>44929</v>
      </c>
      <c r="C443" s="6" t="s">
        <v>928</v>
      </c>
      <c r="D443" s="6" t="s">
        <v>56</v>
      </c>
      <c r="E443" s="6">
        <v>1899</v>
      </c>
      <c r="F443" s="6">
        <v>6.4</v>
      </c>
      <c r="G443" s="6">
        <v>36</v>
      </c>
      <c r="H443" s="6" t="s">
        <v>80</v>
      </c>
      <c r="I443" s="6" t="s">
        <v>57</v>
      </c>
      <c r="J443" s="6" t="s">
        <v>21</v>
      </c>
      <c r="K443" s="6">
        <v>122435</v>
      </c>
      <c r="L443" s="6" t="s">
        <v>22</v>
      </c>
      <c r="M443" s="6">
        <v>0.28000000000000003</v>
      </c>
      <c r="N443" s="6">
        <v>0.88</v>
      </c>
      <c r="O443" s="6">
        <v>487.5</v>
      </c>
      <c r="P443" s="6">
        <v>737.8</v>
      </c>
      <c r="Q443" s="6">
        <f t="shared" ca="1" si="20"/>
        <v>38</v>
      </c>
      <c r="R443" s="6">
        <f t="shared" si="18"/>
        <v>1411.5</v>
      </c>
      <c r="S443" s="7" t="str">
        <f t="shared" si="19"/>
        <v>Profit</v>
      </c>
    </row>
    <row r="444" spans="1:19" x14ac:dyDescent="0.3">
      <c r="A444" s="4" t="s">
        <v>929</v>
      </c>
      <c r="B444" s="5">
        <v>44431</v>
      </c>
      <c r="C444" s="6" t="s">
        <v>930</v>
      </c>
      <c r="D444" s="6" t="s">
        <v>56</v>
      </c>
      <c r="E444" s="6">
        <v>12653</v>
      </c>
      <c r="F444" s="6">
        <v>10.3</v>
      </c>
      <c r="G444" s="6">
        <v>60</v>
      </c>
      <c r="H444" s="6" t="s">
        <v>19</v>
      </c>
      <c r="I444" s="6" t="s">
        <v>20</v>
      </c>
      <c r="J444" s="6" t="s">
        <v>37</v>
      </c>
      <c r="K444" s="6">
        <v>99681</v>
      </c>
      <c r="L444" s="6" t="s">
        <v>33</v>
      </c>
      <c r="M444" s="6">
        <v>0.27</v>
      </c>
      <c r="N444" s="6">
        <v>0.79</v>
      </c>
      <c r="O444" s="6">
        <v>13956.26</v>
      </c>
      <c r="P444" s="6">
        <v>0</v>
      </c>
      <c r="Q444" s="6">
        <f t="shared" ca="1" si="20"/>
        <v>54</v>
      </c>
      <c r="R444" s="6">
        <f t="shared" si="18"/>
        <v>-1303.2600000000002</v>
      </c>
      <c r="S444" s="7" t="str">
        <f t="shared" si="19"/>
        <v>Loss</v>
      </c>
    </row>
    <row r="445" spans="1:19" x14ac:dyDescent="0.3">
      <c r="A445" s="4" t="s">
        <v>931</v>
      </c>
      <c r="B445" s="5">
        <v>44854</v>
      </c>
      <c r="C445" s="6" t="s">
        <v>932</v>
      </c>
      <c r="D445" s="6" t="s">
        <v>46</v>
      </c>
      <c r="E445" s="6">
        <v>28961</v>
      </c>
      <c r="F445" s="6">
        <v>5.9</v>
      </c>
      <c r="G445" s="6">
        <v>36</v>
      </c>
      <c r="H445" s="6" t="s">
        <v>26</v>
      </c>
      <c r="I445" s="6" t="s">
        <v>27</v>
      </c>
      <c r="J445" s="6" t="s">
        <v>32</v>
      </c>
      <c r="K445" s="6">
        <v>62101</v>
      </c>
      <c r="L445" s="6" t="s">
        <v>33</v>
      </c>
      <c r="M445" s="6">
        <v>0.39</v>
      </c>
      <c r="N445" s="6">
        <v>0.78</v>
      </c>
      <c r="O445" s="6">
        <v>1542.14</v>
      </c>
      <c r="P445" s="6">
        <v>0</v>
      </c>
      <c r="Q445" s="6">
        <f t="shared" ca="1" si="20"/>
        <v>41</v>
      </c>
      <c r="R445" s="6">
        <f t="shared" si="18"/>
        <v>27418.86</v>
      </c>
      <c r="S445" s="7" t="str">
        <f t="shared" si="19"/>
        <v>Profit</v>
      </c>
    </row>
    <row r="446" spans="1:19" x14ac:dyDescent="0.3">
      <c r="A446" s="4" t="s">
        <v>933</v>
      </c>
      <c r="B446" s="5">
        <v>44947</v>
      </c>
      <c r="C446" s="6" t="s">
        <v>934</v>
      </c>
      <c r="D446" s="6" t="s">
        <v>75</v>
      </c>
      <c r="E446" s="6">
        <v>17405</v>
      </c>
      <c r="F446" s="6">
        <v>16.3</v>
      </c>
      <c r="G446" s="6">
        <v>60</v>
      </c>
      <c r="H446" s="6" t="s">
        <v>19</v>
      </c>
      <c r="I446" s="6" t="s">
        <v>57</v>
      </c>
      <c r="J446" s="6" t="s">
        <v>47</v>
      </c>
      <c r="K446" s="6">
        <v>32775</v>
      </c>
      <c r="L446" s="6" t="s">
        <v>22</v>
      </c>
      <c r="M446" s="6">
        <v>0.15</v>
      </c>
      <c r="N446" s="6">
        <v>0.57999999999999996</v>
      </c>
      <c r="O446" s="6">
        <v>20242.02</v>
      </c>
      <c r="P446" s="6">
        <v>0</v>
      </c>
      <c r="Q446" s="6">
        <f t="shared" ca="1" si="20"/>
        <v>37</v>
      </c>
      <c r="R446" s="6">
        <f t="shared" si="18"/>
        <v>-2837.0200000000004</v>
      </c>
      <c r="S446" s="7" t="str">
        <f t="shared" si="19"/>
        <v>Loss</v>
      </c>
    </row>
    <row r="447" spans="1:19" x14ac:dyDescent="0.3">
      <c r="A447" s="4" t="s">
        <v>935</v>
      </c>
      <c r="B447" s="5">
        <v>44784</v>
      </c>
      <c r="C447" s="6" t="s">
        <v>936</v>
      </c>
      <c r="D447" s="6" t="s">
        <v>64</v>
      </c>
      <c r="E447" s="6">
        <v>9601</v>
      </c>
      <c r="F447" s="6">
        <v>10.7</v>
      </c>
      <c r="G447" s="6">
        <v>60</v>
      </c>
      <c r="H447" s="6" t="s">
        <v>19</v>
      </c>
      <c r="I447" s="6" t="s">
        <v>83</v>
      </c>
      <c r="J447" s="6" t="s">
        <v>47</v>
      </c>
      <c r="K447" s="6">
        <v>141497</v>
      </c>
      <c r="L447" s="6" t="s">
        <v>33</v>
      </c>
      <c r="M447" s="6">
        <v>0.18</v>
      </c>
      <c r="N447" s="6">
        <v>0.73</v>
      </c>
      <c r="O447" s="6">
        <v>10628.31</v>
      </c>
      <c r="P447" s="6">
        <v>0</v>
      </c>
      <c r="Q447" s="6">
        <f t="shared" ca="1" si="20"/>
        <v>43</v>
      </c>
      <c r="R447" s="6">
        <f t="shared" si="18"/>
        <v>-1027.3099999999995</v>
      </c>
      <c r="S447" s="7" t="str">
        <f t="shared" si="19"/>
        <v>Loss</v>
      </c>
    </row>
    <row r="448" spans="1:19" x14ac:dyDescent="0.3">
      <c r="A448" s="4" t="s">
        <v>937</v>
      </c>
      <c r="B448" s="5">
        <v>45229</v>
      </c>
      <c r="C448" s="6" t="s">
        <v>938</v>
      </c>
      <c r="D448" s="6" t="s">
        <v>53</v>
      </c>
      <c r="E448" s="6">
        <v>34662</v>
      </c>
      <c r="F448" s="6">
        <v>21.5</v>
      </c>
      <c r="G448" s="6">
        <v>36</v>
      </c>
      <c r="H448" s="6" t="s">
        <v>19</v>
      </c>
      <c r="I448" s="6" t="s">
        <v>20</v>
      </c>
      <c r="J448" s="6" t="s">
        <v>28</v>
      </c>
      <c r="K448" s="6">
        <v>127183</v>
      </c>
      <c r="L448" s="6" t="s">
        <v>22</v>
      </c>
      <c r="M448" s="6">
        <v>0.17</v>
      </c>
      <c r="N448" s="6">
        <v>0.82</v>
      </c>
      <c r="O448" s="6">
        <v>42114.33</v>
      </c>
      <c r="P448" s="6">
        <v>0</v>
      </c>
      <c r="Q448" s="6">
        <f t="shared" ca="1" si="20"/>
        <v>28</v>
      </c>
      <c r="R448" s="6">
        <f t="shared" si="18"/>
        <v>-7452.3300000000017</v>
      </c>
      <c r="S448" s="7" t="str">
        <f t="shared" si="19"/>
        <v>Loss</v>
      </c>
    </row>
    <row r="449" spans="1:19" x14ac:dyDescent="0.3">
      <c r="A449" s="4" t="s">
        <v>939</v>
      </c>
      <c r="B449" s="5">
        <v>45150</v>
      </c>
      <c r="C449" s="6" t="s">
        <v>940</v>
      </c>
      <c r="D449" s="6" t="s">
        <v>40</v>
      </c>
      <c r="E449" s="6">
        <v>34282</v>
      </c>
      <c r="F449" s="6">
        <v>6.5</v>
      </c>
      <c r="G449" s="6">
        <v>36</v>
      </c>
      <c r="H449" s="6" t="s">
        <v>19</v>
      </c>
      <c r="I449" s="6" t="s">
        <v>57</v>
      </c>
      <c r="J449" s="6" t="s">
        <v>32</v>
      </c>
      <c r="K449" s="6">
        <v>75619</v>
      </c>
      <c r="L449" s="6" t="s">
        <v>33</v>
      </c>
      <c r="M449" s="6">
        <v>0.2</v>
      </c>
      <c r="N449" s="6">
        <v>0.94</v>
      </c>
      <c r="O449" s="6">
        <v>36510.33</v>
      </c>
      <c r="P449" s="6">
        <v>0</v>
      </c>
      <c r="Q449" s="6">
        <f t="shared" ca="1" si="20"/>
        <v>31</v>
      </c>
      <c r="R449" s="6">
        <f t="shared" si="18"/>
        <v>-2228.3300000000017</v>
      </c>
      <c r="S449" s="7" t="str">
        <f t="shared" si="19"/>
        <v>Loss</v>
      </c>
    </row>
    <row r="450" spans="1:19" x14ac:dyDescent="0.3">
      <c r="A450" s="4" t="s">
        <v>941</v>
      </c>
      <c r="B450" s="5">
        <v>44688</v>
      </c>
      <c r="C450" s="6" t="s">
        <v>942</v>
      </c>
      <c r="D450" s="6" t="s">
        <v>64</v>
      </c>
      <c r="E450" s="6">
        <v>22288</v>
      </c>
      <c r="F450" s="6">
        <v>9.5</v>
      </c>
      <c r="G450" s="6">
        <v>60</v>
      </c>
      <c r="H450" s="6" t="s">
        <v>19</v>
      </c>
      <c r="I450" s="6" t="s">
        <v>57</v>
      </c>
      <c r="J450" s="6" t="s">
        <v>21</v>
      </c>
      <c r="K450" s="6">
        <v>75838</v>
      </c>
      <c r="L450" s="6" t="s">
        <v>22</v>
      </c>
      <c r="M450" s="6">
        <v>0.31</v>
      </c>
      <c r="N450" s="6">
        <v>0.59</v>
      </c>
      <c r="O450" s="6">
        <v>24405.360000000001</v>
      </c>
      <c r="P450" s="6">
        <v>0</v>
      </c>
      <c r="Q450" s="6">
        <f t="shared" ca="1" si="20"/>
        <v>46</v>
      </c>
      <c r="R450" s="6">
        <f t="shared" ref="R450:R513" si="21">E450-O450</f>
        <v>-2117.3600000000006</v>
      </c>
      <c r="S450" s="7" t="str">
        <f t="shared" ref="S450:S513" si="22">IF(R450&gt;=0, "Profit","Loss")</f>
        <v>Loss</v>
      </c>
    </row>
    <row r="451" spans="1:19" x14ac:dyDescent="0.3">
      <c r="A451" s="4" t="s">
        <v>943</v>
      </c>
      <c r="B451" s="5">
        <v>45109</v>
      </c>
      <c r="C451" s="6" t="s">
        <v>944</v>
      </c>
      <c r="D451" s="6" t="s">
        <v>64</v>
      </c>
      <c r="E451" s="6">
        <v>30545</v>
      </c>
      <c r="F451" s="6">
        <v>19.600000000000001</v>
      </c>
      <c r="G451" s="6">
        <v>60</v>
      </c>
      <c r="H451" s="6" t="s">
        <v>26</v>
      </c>
      <c r="I451" s="6" t="s">
        <v>36</v>
      </c>
      <c r="J451" s="6" t="s">
        <v>21</v>
      </c>
      <c r="K451" s="6">
        <v>49539</v>
      </c>
      <c r="L451" s="6" t="s">
        <v>33</v>
      </c>
      <c r="M451" s="6">
        <v>0.14000000000000001</v>
      </c>
      <c r="N451" s="6">
        <v>0.5</v>
      </c>
      <c r="O451" s="6">
        <v>5878.95</v>
      </c>
      <c r="P451" s="6">
        <v>0</v>
      </c>
      <c r="Q451" s="6">
        <f t="shared" ref="Q451:Q514" ca="1" si="23">DATEDIF(B451,TODAY(),"M")</f>
        <v>32</v>
      </c>
      <c r="R451" s="6">
        <f t="shared" si="21"/>
        <v>24666.05</v>
      </c>
      <c r="S451" s="7" t="str">
        <f t="shared" si="22"/>
        <v>Profit</v>
      </c>
    </row>
    <row r="452" spans="1:19" x14ac:dyDescent="0.3">
      <c r="A452" s="4" t="s">
        <v>945</v>
      </c>
      <c r="B452" s="5">
        <v>44366</v>
      </c>
      <c r="C452" s="6" t="s">
        <v>946</v>
      </c>
      <c r="D452" s="6" t="s">
        <v>75</v>
      </c>
      <c r="E452" s="6">
        <v>37877</v>
      </c>
      <c r="F452" s="6">
        <v>17</v>
      </c>
      <c r="G452" s="6">
        <v>36</v>
      </c>
      <c r="H452" s="6" t="s">
        <v>19</v>
      </c>
      <c r="I452" s="6" t="s">
        <v>20</v>
      </c>
      <c r="J452" s="6" t="s">
        <v>32</v>
      </c>
      <c r="K452" s="6">
        <v>132274</v>
      </c>
      <c r="L452" s="6" t="s">
        <v>33</v>
      </c>
      <c r="M452" s="6">
        <v>0.45</v>
      </c>
      <c r="N452" s="6">
        <v>0.53</v>
      </c>
      <c r="O452" s="6">
        <v>44316.09</v>
      </c>
      <c r="P452" s="6">
        <v>0</v>
      </c>
      <c r="Q452" s="6">
        <f t="shared" ca="1" si="23"/>
        <v>57</v>
      </c>
      <c r="R452" s="6">
        <f t="shared" si="21"/>
        <v>-6439.0899999999965</v>
      </c>
      <c r="S452" s="7" t="str">
        <f t="shared" si="22"/>
        <v>Loss</v>
      </c>
    </row>
    <row r="453" spans="1:19" x14ac:dyDescent="0.3">
      <c r="A453" s="4" t="s">
        <v>947</v>
      </c>
      <c r="B453" s="5">
        <v>45142</v>
      </c>
      <c r="C453" s="6" t="s">
        <v>948</v>
      </c>
      <c r="D453" s="6" t="s">
        <v>25</v>
      </c>
      <c r="E453" s="6">
        <v>16313</v>
      </c>
      <c r="F453" s="6">
        <v>6.3</v>
      </c>
      <c r="G453" s="6">
        <v>36</v>
      </c>
      <c r="H453" s="6" t="s">
        <v>19</v>
      </c>
      <c r="I453" s="6" t="s">
        <v>20</v>
      </c>
      <c r="J453" s="6" t="s">
        <v>21</v>
      </c>
      <c r="K453" s="6">
        <v>87124</v>
      </c>
      <c r="L453" s="6" t="s">
        <v>29</v>
      </c>
      <c r="M453" s="6">
        <v>0.22</v>
      </c>
      <c r="N453" s="6">
        <v>0.67</v>
      </c>
      <c r="O453" s="6">
        <v>17340.72</v>
      </c>
      <c r="P453" s="6">
        <v>0</v>
      </c>
      <c r="Q453" s="6">
        <f t="shared" ca="1" si="23"/>
        <v>31</v>
      </c>
      <c r="R453" s="6">
        <f t="shared" si="21"/>
        <v>-1027.7200000000012</v>
      </c>
      <c r="S453" s="7" t="str">
        <f t="shared" si="22"/>
        <v>Loss</v>
      </c>
    </row>
    <row r="454" spans="1:19" x14ac:dyDescent="0.3">
      <c r="A454" s="4" t="s">
        <v>949</v>
      </c>
      <c r="B454" s="5">
        <v>44991</v>
      </c>
      <c r="C454" s="6" t="s">
        <v>950</v>
      </c>
      <c r="D454" s="6" t="s">
        <v>25</v>
      </c>
      <c r="E454" s="6">
        <v>16349</v>
      </c>
      <c r="F454" s="6">
        <v>22.5</v>
      </c>
      <c r="G454" s="6">
        <v>36</v>
      </c>
      <c r="H454" s="6" t="s">
        <v>19</v>
      </c>
      <c r="I454" s="6" t="s">
        <v>20</v>
      </c>
      <c r="J454" s="6" t="s">
        <v>28</v>
      </c>
      <c r="K454" s="6">
        <v>95149</v>
      </c>
      <c r="L454" s="6" t="s">
        <v>29</v>
      </c>
      <c r="M454" s="6">
        <v>0.17</v>
      </c>
      <c r="N454" s="6">
        <v>0.87</v>
      </c>
      <c r="O454" s="6">
        <v>20027.53</v>
      </c>
      <c r="P454" s="6">
        <v>0</v>
      </c>
      <c r="Q454" s="6">
        <f t="shared" ca="1" si="23"/>
        <v>36</v>
      </c>
      <c r="R454" s="6">
        <f t="shared" si="21"/>
        <v>-3678.5299999999988</v>
      </c>
      <c r="S454" s="7" t="str">
        <f t="shared" si="22"/>
        <v>Loss</v>
      </c>
    </row>
    <row r="455" spans="1:19" x14ac:dyDescent="0.3">
      <c r="A455" s="4" t="s">
        <v>951</v>
      </c>
      <c r="B455" s="5">
        <v>44830</v>
      </c>
      <c r="C455" s="6" t="s">
        <v>952</v>
      </c>
      <c r="D455" s="6" t="s">
        <v>40</v>
      </c>
      <c r="E455" s="6">
        <v>8179</v>
      </c>
      <c r="F455" s="6">
        <v>22.5</v>
      </c>
      <c r="G455" s="6">
        <v>60</v>
      </c>
      <c r="H455" s="6" t="s">
        <v>19</v>
      </c>
      <c r="I455" s="6" t="s">
        <v>83</v>
      </c>
      <c r="J455" s="6" t="s">
        <v>37</v>
      </c>
      <c r="K455" s="6">
        <v>56616</v>
      </c>
      <c r="L455" s="6" t="s">
        <v>29</v>
      </c>
      <c r="M455" s="6">
        <v>0.37</v>
      </c>
      <c r="N455" s="6">
        <v>0.5</v>
      </c>
      <c r="O455" s="6">
        <v>10019.280000000001</v>
      </c>
      <c r="P455" s="6">
        <v>0</v>
      </c>
      <c r="Q455" s="6">
        <f t="shared" ca="1" si="23"/>
        <v>41</v>
      </c>
      <c r="R455" s="6">
        <f t="shared" si="21"/>
        <v>-1840.2800000000007</v>
      </c>
      <c r="S455" s="7" t="str">
        <f t="shared" si="22"/>
        <v>Loss</v>
      </c>
    </row>
    <row r="456" spans="1:19" x14ac:dyDescent="0.3">
      <c r="A456" s="4" t="s">
        <v>953</v>
      </c>
      <c r="B456" s="5">
        <v>44225</v>
      </c>
      <c r="C456" s="6" t="s">
        <v>954</v>
      </c>
      <c r="D456" s="6" t="s">
        <v>71</v>
      </c>
      <c r="E456" s="6">
        <v>11326</v>
      </c>
      <c r="F456" s="6">
        <v>11.6</v>
      </c>
      <c r="G456" s="6">
        <v>60</v>
      </c>
      <c r="H456" s="6" t="s">
        <v>80</v>
      </c>
      <c r="I456" s="6" t="s">
        <v>20</v>
      </c>
      <c r="J456" s="6" t="s">
        <v>47</v>
      </c>
      <c r="K456" s="6">
        <v>109655</v>
      </c>
      <c r="L456" s="6" t="s">
        <v>33</v>
      </c>
      <c r="M456" s="6">
        <v>0.12</v>
      </c>
      <c r="N456" s="6">
        <v>0.71</v>
      </c>
      <c r="O456" s="6">
        <v>3433.56</v>
      </c>
      <c r="P456" s="6">
        <v>1960.48</v>
      </c>
      <c r="Q456" s="6">
        <f t="shared" ca="1" si="23"/>
        <v>61</v>
      </c>
      <c r="R456" s="6">
        <f t="shared" si="21"/>
        <v>7892.4400000000005</v>
      </c>
      <c r="S456" s="7" t="str">
        <f t="shared" si="22"/>
        <v>Profit</v>
      </c>
    </row>
    <row r="457" spans="1:19" x14ac:dyDescent="0.3">
      <c r="A457" s="4" t="s">
        <v>955</v>
      </c>
      <c r="B457" s="5">
        <v>44535</v>
      </c>
      <c r="C457" s="6" t="s">
        <v>956</v>
      </c>
      <c r="D457" s="6" t="s">
        <v>75</v>
      </c>
      <c r="E457" s="6">
        <v>2560</v>
      </c>
      <c r="F457" s="6">
        <v>11.8</v>
      </c>
      <c r="G457" s="6">
        <v>60</v>
      </c>
      <c r="H457" s="6" t="s">
        <v>19</v>
      </c>
      <c r="I457" s="6" t="s">
        <v>20</v>
      </c>
      <c r="J457" s="6" t="s">
        <v>32</v>
      </c>
      <c r="K457" s="6">
        <v>120695</v>
      </c>
      <c r="L457" s="6" t="s">
        <v>22</v>
      </c>
      <c r="M457" s="6">
        <v>0.35</v>
      </c>
      <c r="N457" s="6">
        <v>0.65</v>
      </c>
      <c r="O457" s="6">
        <v>2862.08</v>
      </c>
      <c r="P457" s="6">
        <v>0</v>
      </c>
      <c r="Q457" s="6">
        <f t="shared" ca="1" si="23"/>
        <v>51</v>
      </c>
      <c r="R457" s="6">
        <f t="shared" si="21"/>
        <v>-302.07999999999993</v>
      </c>
      <c r="S457" s="7" t="str">
        <f t="shared" si="22"/>
        <v>Loss</v>
      </c>
    </row>
    <row r="458" spans="1:19" x14ac:dyDescent="0.3">
      <c r="A458" s="4" t="s">
        <v>957</v>
      </c>
      <c r="B458" s="5">
        <v>44696</v>
      </c>
      <c r="C458" s="6" t="s">
        <v>958</v>
      </c>
      <c r="D458" s="6" t="s">
        <v>75</v>
      </c>
      <c r="E458" s="6">
        <v>14612</v>
      </c>
      <c r="F458" s="6">
        <v>24.8</v>
      </c>
      <c r="G458" s="6">
        <v>60</v>
      </c>
      <c r="H458" s="6" t="s">
        <v>19</v>
      </c>
      <c r="I458" s="6" t="s">
        <v>20</v>
      </c>
      <c r="J458" s="6" t="s">
        <v>47</v>
      </c>
      <c r="K458" s="6">
        <v>84567</v>
      </c>
      <c r="L458" s="6" t="s">
        <v>33</v>
      </c>
      <c r="M458" s="6">
        <v>0.38</v>
      </c>
      <c r="N458" s="6">
        <v>0.52</v>
      </c>
      <c r="O458" s="6">
        <v>18235.78</v>
      </c>
      <c r="P458" s="6">
        <v>0</v>
      </c>
      <c r="Q458" s="6">
        <f t="shared" ca="1" si="23"/>
        <v>46</v>
      </c>
      <c r="R458" s="6">
        <f t="shared" si="21"/>
        <v>-3623.7799999999988</v>
      </c>
      <c r="S458" s="7" t="str">
        <f t="shared" si="22"/>
        <v>Loss</v>
      </c>
    </row>
    <row r="459" spans="1:19" x14ac:dyDescent="0.3">
      <c r="A459" s="4" t="s">
        <v>959</v>
      </c>
      <c r="B459" s="5">
        <v>44707</v>
      </c>
      <c r="C459" s="6" t="s">
        <v>960</v>
      </c>
      <c r="D459" s="6" t="s">
        <v>18</v>
      </c>
      <c r="E459" s="6">
        <v>18650</v>
      </c>
      <c r="F459" s="6">
        <v>17.5</v>
      </c>
      <c r="G459" s="6">
        <v>60</v>
      </c>
      <c r="H459" s="6" t="s">
        <v>19</v>
      </c>
      <c r="I459" s="6" t="s">
        <v>27</v>
      </c>
      <c r="J459" s="6" t="s">
        <v>37</v>
      </c>
      <c r="K459" s="6">
        <v>67099</v>
      </c>
      <c r="L459" s="6" t="s">
        <v>29</v>
      </c>
      <c r="M459" s="6">
        <v>0.19</v>
      </c>
      <c r="N459" s="6">
        <v>0.7</v>
      </c>
      <c r="O459" s="6">
        <v>21913.75</v>
      </c>
      <c r="P459" s="6">
        <v>0</v>
      </c>
      <c r="Q459" s="6">
        <f t="shared" ca="1" si="23"/>
        <v>45</v>
      </c>
      <c r="R459" s="6">
        <f t="shared" si="21"/>
        <v>-3263.75</v>
      </c>
      <c r="S459" s="7" t="str">
        <f t="shared" si="22"/>
        <v>Loss</v>
      </c>
    </row>
    <row r="460" spans="1:19" x14ac:dyDescent="0.3">
      <c r="A460" s="4" t="s">
        <v>961</v>
      </c>
      <c r="B460" s="5">
        <v>44413</v>
      </c>
      <c r="C460" s="6" t="s">
        <v>962</v>
      </c>
      <c r="D460" s="6" t="s">
        <v>64</v>
      </c>
      <c r="E460" s="6">
        <v>27745</v>
      </c>
      <c r="F460" s="6">
        <v>15.6</v>
      </c>
      <c r="G460" s="6">
        <v>36</v>
      </c>
      <c r="H460" s="6" t="s">
        <v>2045</v>
      </c>
      <c r="I460" s="6" t="s">
        <v>20</v>
      </c>
      <c r="J460" s="6" t="s">
        <v>32</v>
      </c>
      <c r="K460" s="6">
        <v>105831</v>
      </c>
      <c r="L460" s="6" t="s">
        <v>33</v>
      </c>
      <c r="M460" s="6">
        <v>0.12</v>
      </c>
      <c r="N460" s="6">
        <v>0.61</v>
      </c>
      <c r="O460" s="6">
        <v>0</v>
      </c>
      <c r="P460" s="6">
        <v>0</v>
      </c>
      <c r="Q460" s="6">
        <f t="shared" ca="1" si="23"/>
        <v>55</v>
      </c>
      <c r="R460" s="6">
        <f t="shared" si="21"/>
        <v>27745</v>
      </c>
      <c r="S460" s="7" t="str">
        <f t="shared" si="22"/>
        <v>Profit</v>
      </c>
    </row>
    <row r="461" spans="1:19" x14ac:dyDescent="0.3">
      <c r="A461" s="4" t="s">
        <v>963</v>
      </c>
      <c r="B461" s="5">
        <v>45290</v>
      </c>
      <c r="C461" s="6" t="s">
        <v>964</v>
      </c>
      <c r="D461" s="6" t="s">
        <v>18</v>
      </c>
      <c r="E461" s="6">
        <v>32890</v>
      </c>
      <c r="F461" s="6">
        <v>21.8</v>
      </c>
      <c r="G461" s="6">
        <v>36</v>
      </c>
      <c r="H461" s="6" t="s">
        <v>19</v>
      </c>
      <c r="I461" s="6" t="s">
        <v>57</v>
      </c>
      <c r="J461" s="6" t="s">
        <v>37</v>
      </c>
      <c r="K461" s="6">
        <v>130246</v>
      </c>
      <c r="L461" s="6" t="s">
        <v>29</v>
      </c>
      <c r="M461" s="6">
        <v>0.25</v>
      </c>
      <c r="N461" s="6">
        <v>0.66</v>
      </c>
      <c r="O461" s="6">
        <v>40060.019999999997</v>
      </c>
      <c r="P461" s="6">
        <v>0</v>
      </c>
      <c r="Q461" s="6">
        <f t="shared" ca="1" si="23"/>
        <v>26</v>
      </c>
      <c r="R461" s="6">
        <f t="shared" si="21"/>
        <v>-7170.0199999999968</v>
      </c>
      <c r="S461" s="7" t="str">
        <f t="shared" si="22"/>
        <v>Loss</v>
      </c>
    </row>
    <row r="462" spans="1:19" x14ac:dyDescent="0.3">
      <c r="A462" s="4" t="s">
        <v>965</v>
      </c>
      <c r="B462" s="5">
        <v>44641</v>
      </c>
      <c r="C462" s="6" t="s">
        <v>966</v>
      </c>
      <c r="D462" s="6" t="s">
        <v>64</v>
      </c>
      <c r="E462" s="6">
        <v>21022</v>
      </c>
      <c r="F462" s="6">
        <v>10.7</v>
      </c>
      <c r="G462" s="6">
        <v>60</v>
      </c>
      <c r="H462" s="6" t="s">
        <v>26</v>
      </c>
      <c r="I462" s="6" t="s">
        <v>57</v>
      </c>
      <c r="J462" s="6" t="s">
        <v>21</v>
      </c>
      <c r="K462" s="6">
        <v>91799</v>
      </c>
      <c r="L462" s="6" t="s">
        <v>29</v>
      </c>
      <c r="M462" s="6">
        <v>0.14000000000000001</v>
      </c>
      <c r="N462" s="6">
        <v>0.82</v>
      </c>
      <c r="O462" s="6">
        <v>5630.06</v>
      </c>
      <c r="P462" s="6">
        <v>0</v>
      </c>
      <c r="Q462" s="6">
        <f t="shared" ca="1" si="23"/>
        <v>47</v>
      </c>
      <c r="R462" s="6">
        <f t="shared" si="21"/>
        <v>15391.939999999999</v>
      </c>
      <c r="S462" s="7" t="str">
        <f t="shared" si="22"/>
        <v>Profit</v>
      </c>
    </row>
    <row r="463" spans="1:19" x14ac:dyDescent="0.3">
      <c r="A463" s="4" t="s">
        <v>967</v>
      </c>
      <c r="B463" s="5">
        <v>45072</v>
      </c>
      <c r="C463" s="6" t="s">
        <v>968</v>
      </c>
      <c r="D463" s="6" t="s">
        <v>25</v>
      </c>
      <c r="E463" s="6">
        <v>5780</v>
      </c>
      <c r="F463" s="6">
        <v>13.6</v>
      </c>
      <c r="G463" s="6">
        <v>60</v>
      </c>
      <c r="H463" s="6" t="s">
        <v>19</v>
      </c>
      <c r="I463" s="6" t="s">
        <v>72</v>
      </c>
      <c r="J463" s="6" t="s">
        <v>21</v>
      </c>
      <c r="K463" s="6">
        <v>120221</v>
      </c>
      <c r="L463" s="6" t="s">
        <v>22</v>
      </c>
      <c r="M463" s="6">
        <v>0.15</v>
      </c>
      <c r="N463" s="6">
        <v>0.73</v>
      </c>
      <c r="O463" s="6">
        <v>6566.08</v>
      </c>
      <c r="P463" s="6">
        <v>0</v>
      </c>
      <c r="Q463" s="6">
        <f t="shared" ca="1" si="23"/>
        <v>33</v>
      </c>
      <c r="R463" s="6">
        <f t="shared" si="21"/>
        <v>-786.07999999999993</v>
      </c>
      <c r="S463" s="7" t="str">
        <f t="shared" si="22"/>
        <v>Loss</v>
      </c>
    </row>
    <row r="464" spans="1:19" x14ac:dyDescent="0.3">
      <c r="A464" s="4" t="s">
        <v>969</v>
      </c>
      <c r="B464" s="5">
        <v>44363</v>
      </c>
      <c r="C464" s="6" t="s">
        <v>970</v>
      </c>
      <c r="D464" s="6" t="s">
        <v>40</v>
      </c>
      <c r="E464" s="6">
        <v>19311</v>
      </c>
      <c r="F464" s="6">
        <v>10.4</v>
      </c>
      <c r="G464" s="6">
        <v>36</v>
      </c>
      <c r="H464" s="6" t="s">
        <v>80</v>
      </c>
      <c r="I464" s="6" t="s">
        <v>27</v>
      </c>
      <c r="J464" s="6" t="s">
        <v>21</v>
      </c>
      <c r="K464" s="6">
        <v>144879</v>
      </c>
      <c r="L464" s="6" t="s">
        <v>22</v>
      </c>
      <c r="M464" s="6">
        <v>0.2</v>
      </c>
      <c r="N464" s="6">
        <v>0.56000000000000005</v>
      </c>
      <c r="O464" s="6">
        <v>7598.51</v>
      </c>
      <c r="P464" s="6">
        <v>3245.92</v>
      </c>
      <c r="Q464" s="6">
        <f t="shared" ca="1" si="23"/>
        <v>57</v>
      </c>
      <c r="R464" s="6">
        <f t="shared" si="21"/>
        <v>11712.49</v>
      </c>
      <c r="S464" s="7" t="str">
        <f t="shared" si="22"/>
        <v>Profit</v>
      </c>
    </row>
    <row r="465" spans="1:19" x14ac:dyDescent="0.3">
      <c r="A465" s="4" t="s">
        <v>971</v>
      </c>
      <c r="B465" s="5">
        <v>44287</v>
      </c>
      <c r="C465" s="6" t="s">
        <v>972</v>
      </c>
      <c r="D465" s="6" t="s">
        <v>53</v>
      </c>
      <c r="E465" s="6">
        <v>29380</v>
      </c>
      <c r="F465" s="6">
        <v>20.8</v>
      </c>
      <c r="G465" s="6">
        <v>36</v>
      </c>
      <c r="H465" s="6" t="s">
        <v>80</v>
      </c>
      <c r="I465" s="6" t="s">
        <v>72</v>
      </c>
      <c r="J465" s="6" t="s">
        <v>37</v>
      </c>
      <c r="K465" s="6">
        <v>55479</v>
      </c>
      <c r="L465" s="6" t="s">
        <v>29</v>
      </c>
      <c r="M465" s="6">
        <v>0.22</v>
      </c>
      <c r="N465" s="6">
        <v>0.93</v>
      </c>
      <c r="O465" s="6">
        <v>10642.35</v>
      </c>
      <c r="P465" s="6">
        <v>10361.469999999999</v>
      </c>
      <c r="Q465" s="6">
        <f t="shared" ca="1" si="23"/>
        <v>59</v>
      </c>
      <c r="R465" s="6">
        <f t="shared" si="21"/>
        <v>18737.650000000001</v>
      </c>
      <c r="S465" s="7" t="str">
        <f t="shared" si="22"/>
        <v>Profit</v>
      </c>
    </row>
    <row r="466" spans="1:19" x14ac:dyDescent="0.3">
      <c r="A466" s="4" t="s">
        <v>973</v>
      </c>
      <c r="B466" s="5">
        <v>44910</v>
      </c>
      <c r="C466" s="6" t="s">
        <v>974</v>
      </c>
      <c r="D466" s="6" t="s">
        <v>25</v>
      </c>
      <c r="E466" s="6">
        <v>3356</v>
      </c>
      <c r="F466" s="6">
        <v>16.5</v>
      </c>
      <c r="G466" s="6">
        <v>36</v>
      </c>
      <c r="H466" s="6" t="s">
        <v>26</v>
      </c>
      <c r="I466" s="6" t="s">
        <v>36</v>
      </c>
      <c r="J466" s="6" t="s">
        <v>37</v>
      </c>
      <c r="K466" s="6">
        <v>76172</v>
      </c>
      <c r="L466" s="6" t="s">
        <v>29</v>
      </c>
      <c r="M466" s="6">
        <v>0.31</v>
      </c>
      <c r="N466" s="6">
        <v>0.79</v>
      </c>
      <c r="O466" s="6">
        <v>710.07</v>
      </c>
      <c r="P466" s="6">
        <v>0</v>
      </c>
      <c r="Q466" s="6">
        <f t="shared" ca="1" si="23"/>
        <v>39</v>
      </c>
      <c r="R466" s="6">
        <f t="shared" si="21"/>
        <v>2645.93</v>
      </c>
      <c r="S466" s="7" t="str">
        <f t="shared" si="22"/>
        <v>Profit</v>
      </c>
    </row>
    <row r="467" spans="1:19" x14ac:dyDescent="0.3">
      <c r="A467" s="4" t="s">
        <v>975</v>
      </c>
      <c r="B467" s="5">
        <v>44235</v>
      </c>
      <c r="C467" s="6" t="s">
        <v>976</v>
      </c>
      <c r="D467" s="6" t="s">
        <v>75</v>
      </c>
      <c r="E467" s="6">
        <v>5790</v>
      </c>
      <c r="F467" s="6">
        <v>18.2</v>
      </c>
      <c r="G467" s="6">
        <v>36</v>
      </c>
      <c r="H467" s="6" t="s">
        <v>19</v>
      </c>
      <c r="I467" s="6" t="s">
        <v>36</v>
      </c>
      <c r="J467" s="6" t="s">
        <v>37</v>
      </c>
      <c r="K467" s="6">
        <v>129165</v>
      </c>
      <c r="L467" s="6" t="s">
        <v>33</v>
      </c>
      <c r="M467" s="6">
        <v>0.37</v>
      </c>
      <c r="N467" s="6">
        <v>0.84</v>
      </c>
      <c r="O467" s="6">
        <v>6843.78</v>
      </c>
      <c r="P467" s="6">
        <v>0</v>
      </c>
      <c r="Q467" s="6">
        <f t="shared" ca="1" si="23"/>
        <v>61</v>
      </c>
      <c r="R467" s="6">
        <f t="shared" si="21"/>
        <v>-1053.7799999999997</v>
      </c>
      <c r="S467" s="7" t="str">
        <f t="shared" si="22"/>
        <v>Loss</v>
      </c>
    </row>
    <row r="468" spans="1:19" x14ac:dyDescent="0.3">
      <c r="A468" s="4" t="s">
        <v>977</v>
      </c>
      <c r="B468" s="5">
        <v>44369</v>
      </c>
      <c r="C468" s="6" t="s">
        <v>978</v>
      </c>
      <c r="D468" s="6" t="s">
        <v>53</v>
      </c>
      <c r="E468" s="6">
        <v>27911</v>
      </c>
      <c r="F468" s="6">
        <v>10</v>
      </c>
      <c r="G468" s="6">
        <v>60</v>
      </c>
      <c r="H468" s="6" t="s">
        <v>19</v>
      </c>
      <c r="I468" s="6" t="s">
        <v>57</v>
      </c>
      <c r="J468" s="6" t="s">
        <v>47</v>
      </c>
      <c r="K468" s="6">
        <v>85863</v>
      </c>
      <c r="L468" s="6" t="s">
        <v>29</v>
      </c>
      <c r="M468" s="6">
        <v>0.34</v>
      </c>
      <c r="N468" s="6">
        <v>0.54</v>
      </c>
      <c r="O468" s="6">
        <v>30702.1</v>
      </c>
      <c r="P468" s="6">
        <v>0</v>
      </c>
      <c r="Q468" s="6">
        <f t="shared" ca="1" si="23"/>
        <v>56</v>
      </c>
      <c r="R468" s="6">
        <f t="shared" si="21"/>
        <v>-2791.0999999999985</v>
      </c>
      <c r="S468" s="7" t="str">
        <f t="shared" si="22"/>
        <v>Loss</v>
      </c>
    </row>
    <row r="469" spans="1:19" x14ac:dyDescent="0.3">
      <c r="A469" s="4" t="s">
        <v>979</v>
      </c>
      <c r="B469" s="5">
        <v>44849</v>
      </c>
      <c r="C469" s="6" t="s">
        <v>980</v>
      </c>
      <c r="D469" s="6" t="s">
        <v>56</v>
      </c>
      <c r="E469" s="6">
        <v>25363</v>
      </c>
      <c r="F469" s="6">
        <v>9.4</v>
      </c>
      <c r="G469" s="6">
        <v>36</v>
      </c>
      <c r="H469" s="6" t="s">
        <v>19</v>
      </c>
      <c r="I469" s="6" t="s">
        <v>27</v>
      </c>
      <c r="J469" s="6" t="s">
        <v>37</v>
      </c>
      <c r="K469" s="6">
        <v>72043</v>
      </c>
      <c r="L469" s="6" t="s">
        <v>33</v>
      </c>
      <c r="M469" s="6">
        <v>0.16</v>
      </c>
      <c r="N469" s="6">
        <v>0.52</v>
      </c>
      <c r="O469" s="6">
        <v>27747.119999999999</v>
      </c>
      <c r="P469" s="6">
        <v>0</v>
      </c>
      <c r="Q469" s="6">
        <f t="shared" ca="1" si="23"/>
        <v>41</v>
      </c>
      <c r="R469" s="6">
        <f t="shared" si="21"/>
        <v>-2384.119999999999</v>
      </c>
      <c r="S469" s="7" t="str">
        <f t="shared" si="22"/>
        <v>Loss</v>
      </c>
    </row>
    <row r="470" spans="1:19" x14ac:dyDescent="0.3">
      <c r="A470" s="4" t="s">
        <v>981</v>
      </c>
      <c r="B470" s="5">
        <v>44950</v>
      </c>
      <c r="C470" s="6" t="s">
        <v>982</v>
      </c>
      <c r="D470" s="6" t="s">
        <v>53</v>
      </c>
      <c r="E470" s="6">
        <v>21049</v>
      </c>
      <c r="F470" s="6">
        <v>14.8</v>
      </c>
      <c r="G470" s="6">
        <v>60</v>
      </c>
      <c r="H470" s="6" t="s">
        <v>19</v>
      </c>
      <c r="I470" s="6" t="s">
        <v>27</v>
      </c>
      <c r="J470" s="6" t="s">
        <v>21</v>
      </c>
      <c r="K470" s="6">
        <v>112569</v>
      </c>
      <c r="L470" s="6" t="s">
        <v>29</v>
      </c>
      <c r="M470" s="6">
        <v>0.17</v>
      </c>
      <c r="N470" s="6">
        <v>0.51</v>
      </c>
      <c r="O470" s="6">
        <v>24164.25</v>
      </c>
      <c r="P470" s="6">
        <v>0</v>
      </c>
      <c r="Q470" s="6">
        <f t="shared" ca="1" si="23"/>
        <v>37</v>
      </c>
      <c r="R470" s="6">
        <f t="shared" si="21"/>
        <v>-3115.25</v>
      </c>
      <c r="S470" s="7" t="str">
        <f t="shared" si="22"/>
        <v>Loss</v>
      </c>
    </row>
    <row r="471" spans="1:19" x14ac:dyDescent="0.3">
      <c r="A471" s="4" t="s">
        <v>983</v>
      </c>
      <c r="B471" s="5">
        <v>45278</v>
      </c>
      <c r="C471" s="6" t="s">
        <v>984</v>
      </c>
      <c r="D471" s="6" t="s">
        <v>53</v>
      </c>
      <c r="E471" s="6">
        <v>11181</v>
      </c>
      <c r="F471" s="6">
        <v>19.8</v>
      </c>
      <c r="G471" s="6">
        <v>36</v>
      </c>
      <c r="H471" s="6" t="s">
        <v>19</v>
      </c>
      <c r="I471" s="6" t="s">
        <v>36</v>
      </c>
      <c r="J471" s="6" t="s">
        <v>28</v>
      </c>
      <c r="K471" s="6">
        <v>132438</v>
      </c>
      <c r="L471" s="6" t="s">
        <v>22</v>
      </c>
      <c r="M471" s="6">
        <v>0.45</v>
      </c>
      <c r="N471" s="6">
        <v>0.57999999999999996</v>
      </c>
      <c r="O471" s="6">
        <v>13394.84</v>
      </c>
      <c r="P471" s="6">
        <v>0</v>
      </c>
      <c r="Q471" s="6">
        <f t="shared" ca="1" si="23"/>
        <v>27</v>
      </c>
      <c r="R471" s="6">
        <f t="shared" si="21"/>
        <v>-2213.84</v>
      </c>
      <c r="S471" s="7" t="str">
        <f t="shared" si="22"/>
        <v>Loss</v>
      </c>
    </row>
    <row r="472" spans="1:19" x14ac:dyDescent="0.3">
      <c r="A472" s="4" t="s">
        <v>985</v>
      </c>
      <c r="B472" s="5">
        <v>44672</v>
      </c>
      <c r="C472" s="6" t="s">
        <v>986</v>
      </c>
      <c r="D472" s="6" t="s">
        <v>25</v>
      </c>
      <c r="E472" s="6">
        <v>17082</v>
      </c>
      <c r="F472" s="6">
        <v>15.5</v>
      </c>
      <c r="G472" s="6">
        <v>36</v>
      </c>
      <c r="H472" s="6" t="s">
        <v>19</v>
      </c>
      <c r="I472" s="6" t="s">
        <v>57</v>
      </c>
      <c r="J472" s="6" t="s">
        <v>37</v>
      </c>
      <c r="K472" s="6">
        <v>140107</v>
      </c>
      <c r="L472" s="6" t="s">
        <v>22</v>
      </c>
      <c r="M472" s="6">
        <v>0.32</v>
      </c>
      <c r="N472" s="6">
        <v>0.69</v>
      </c>
      <c r="O472" s="6">
        <v>19729.71</v>
      </c>
      <c r="P472" s="6">
        <v>0</v>
      </c>
      <c r="Q472" s="6">
        <f t="shared" ca="1" si="23"/>
        <v>46</v>
      </c>
      <c r="R472" s="6">
        <f t="shared" si="21"/>
        <v>-2647.7099999999991</v>
      </c>
      <c r="S472" s="7" t="str">
        <f t="shared" si="22"/>
        <v>Loss</v>
      </c>
    </row>
    <row r="473" spans="1:19" x14ac:dyDescent="0.3">
      <c r="A473" s="4" t="s">
        <v>987</v>
      </c>
      <c r="B473" s="5">
        <v>44652</v>
      </c>
      <c r="C473" s="6" t="s">
        <v>988</v>
      </c>
      <c r="D473" s="6" t="s">
        <v>75</v>
      </c>
      <c r="E473" s="6">
        <v>1661</v>
      </c>
      <c r="F473" s="6">
        <v>5.7</v>
      </c>
      <c r="G473" s="6">
        <v>36</v>
      </c>
      <c r="H473" s="6" t="s">
        <v>26</v>
      </c>
      <c r="I473" s="6" t="s">
        <v>72</v>
      </c>
      <c r="J473" s="6" t="s">
        <v>28</v>
      </c>
      <c r="K473" s="6">
        <v>45408</v>
      </c>
      <c r="L473" s="6" t="s">
        <v>29</v>
      </c>
      <c r="M473" s="6">
        <v>0.45</v>
      </c>
      <c r="N473" s="6">
        <v>0.92</v>
      </c>
      <c r="O473" s="6">
        <v>117.05</v>
      </c>
      <c r="P473" s="6">
        <v>0</v>
      </c>
      <c r="Q473" s="6">
        <f t="shared" ca="1" si="23"/>
        <v>47</v>
      </c>
      <c r="R473" s="6">
        <f t="shared" si="21"/>
        <v>1543.95</v>
      </c>
      <c r="S473" s="7" t="str">
        <f t="shared" si="22"/>
        <v>Profit</v>
      </c>
    </row>
    <row r="474" spans="1:19" x14ac:dyDescent="0.3">
      <c r="A474" s="4" t="s">
        <v>989</v>
      </c>
      <c r="B474" s="5">
        <v>45025</v>
      </c>
      <c r="C474" s="6" t="s">
        <v>990</v>
      </c>
      <c r="D474" s="6" t="s">
        <v>53</v>
      </c>
      <c r="E474" s="6">
        <v>38412</v>
      </c>
      <c r="F474" s="6">
        <v>22.4</v>
      </c>
      <c r="G474" s="6">
        <v>60</v>
      </c>
      <c r="H474" s="6" t="s">
        <v>19</v>
      </c>
      <c r="I474" s="6" t="s">
        <v>57</v>
      </c>
      <c r="J474" s="6" t="s">
        <v>21</v>
      </c>
      <c r="K474" s="6">
        <v>87980</v>
      </c>
      <c r="L474" s="6" t="s">
        <v>33</v>
      </c>
      <c r="M474" s="6">
        <v>0.25</v>
      </c>
      <c r="N474" s="6">
        <v>0.71</v>
      </c>
      <c r="O474" s="6">
        <v>47016.29</v>
      </c>
      <c r="P474" s="6">
        <v>0</v>
      </c>
      <c r="Q474" s="6">
        <f t="shared" ca="1" si="23"/>
        <v>35</v>
      </c>
      <c r="R474" s="6">
        <f t="shared" si="21"/>
        <v>-8604.2900000000009</v>
      </c>
      <c r="S474" s="7" t="str">
        <f t="shared" si="22"/>
        <v>Loss</v>
      </c>
    </row>
    <row r="475" spans="1:19" x14ac:dyDescent="0.3">
      <c r="A475" s="4" t="s">
        <v>991</v>
      </c>
      <c r="B475" s="5">
        <v>45091</v>
      </c>
      <c r="C475" s="6" t="s">
        <v>992</v>
      </c>
      <c r="D475" s="6" t="s">
        <v>25</v>
      </c>
      <c r="E475" s="6">
        <v>3920</v>
      </c>
      <c r="F475" s="6">
        <v>6.3</v>
      </c>
      <c r="G475" s="6">
        <v>60</v>
      </c>
      <c r="H475" s="6" t="s">
        <v>19</v>
      </c>
      <c r="I475" s="6" t="s">
        <v>83</v>
      </c>
      <c r="J475" s="6" t="s">
        <v>37</v>
      </c>
      <c r="K475" s="6">
        <v>112956</v>
      </c>
      <c r="L475" s="6" t="s">
        <v>33</v>
      </c>
      <c r="M475" s="6">
        <v>0.35</v>
      </c>
      <c r="N475" s="6">
        <v>0.63</v>
      </c>
      <c r="O475" s="6">
        <v>4166.96</v>
      </c>
      <c r="P475" s="6">
        <v>0</v>
      </c>
      <c r="Q475" s="6">
        <f t="shared" ca="1" si="23"/>
        <v>33</v>
      </c>
      <c r="R475" s="6">
        <f t="shared" si="21"/>
        <v>-246.96000000000004</v>
      </c>
      <c r="S475" s="7" t="str">
        <f t="shared" si="22"/>
        <v>Loss</v>
      </c>
    </row>
    <row r="476" spans="1:19" x14ac:dyDescent="0.3">
      <c r="A476" s="4" t="s">
        <v>993</v>
      </c>
      <c r="B476" s="5">
        <v>45221</v>
      </c>
      <c r="C476" s="6" t="s">
        <v>994</v>
      </c>
      <c r="D476" s="6" t="s">
        <v>25</v>
      </c>
      <c r="E476" s="6">
        <v>26658</v>
      </c>
      <c r="F476" s="6">
        <v>24.1</v>
      </c>
      <c r="G476" s="6">
        <v>36</v>
      </c>
      <c r="H476" s="6" t="s">
        <v>19</v>
      </c>
      <c r="I476" s="6" t="s">
        <v>20</v>
      </c>
      <c r="J476" s="6" t="s">
        <v>47</v>
      </c>
      <c r="K476" s="6">
        <v>46351</v>
      </c>
      <c r="L476" s="6" t="s">
        <v>33</v>
      </c>
      <c r="M476" s="6">
        <v>0.31</v>
      </c>
      <c r="N476" s="6">
        <v>0.75</v>
      </c>
      <c r="O476" s="6">
        <v>33082.58</v>
      </c>
      <c r="P476" s="6">
        <v>0</v>
      </c>
      <c r="Q476" s="6">
        <f t="shared" ca="1" si="23"/>
        <v>28</v>
      </c>
      <c r="R476" s="6">
        <f t="shared" si="21"/>
        <v>-6424.5800000000017</v>
      </c>
      <c r="S476" s="7" t="str">
        <f t="shared" si="22"/>
        <v>Loss</v>
      </c>
    </row>
    <row r="477" spans="1:19" x14ac:dyDescent="0.3">
      <c r="A477" s="4" t="s">
        <v>995</v>
      </c>
      <c r="B477" s="5">
        <v>44583</v>
      </c>
      <c r="C477" s="6" t="s">
        <v>996</v>
      </c>
      <c r="D477" s="6" t="s">
        <v>53</v>
      </c>
      <c r="E477" s="6">
        <v>15025</v>
      </c>
      <c r="F477" s="6">
        <v>5.5</v>
      </c>
      <c r="G477" s="6">
        <v>60</v>
      </c>
      <c r="H477" s="6" t="s">
        <v>314</v>
      </c>
      <c r="I477" s="6" t="s">
        <v>20</v>
      </c>
      <c r="J477" s="6" t="s">
        <v>47</v>
      </c>
      <c r="K477" s="6">
        <v>34131</v>
      </c>
      <c r="L477" s="6" t="s">
        <v>29</v>
      </c>
      <c r="M477" s="6">
        <v>0.23</v>
      </c>
      <c r="N477" s="6">
        <v>0.55000000000000004</v>
      </c>
      <c r="O477" s="6">
        <v>0</v>
      </c>
      <c r="P477" s="6">
        <v>0</v>
      </c>
      <c r="Q477" s="6">
        <f t="shared" ca="1" si="23"/>
        <v>49</v>
      </c>
      <c r="R477" s="6">
        <f t="shared" si="21"/>
        <v>15025</v>
      </c>
      <c r="S477" s="7" t="str">
        <f t="shared" si="22"/>
        <v>Profit</v>
      </c>
    </row>
    <row r="478" spans="1:19" x14ac:dyDescent="0.3">
      <c r="A478" s="4" t="s">
        <v>997</v>
      </c>
      <c r="B478" s="5">
        <v>44544</v>
      </c>
      <c r="C478" s="6" t="s">
        <v>998</v>
      </c>
      <c r="D478" s="6" t="s">
        <v>64</v>
      </c>
      <c r="E478" s="6">
        <v>9946</v>
      </c>
      <c r="F478" s="6">
        <v>18.899999999999999</v>
      </c>
      <c r="G478" s="6">
        <v>60</v>
      </c>
      <c r="H478" s="6" t="s">
        <v>19</v>
      </c>
      <c r="I478" s="6" t="s">
        <v>57</v>
      </c>
      <c r="J478" s="6" t="s">
        <v>28</v>
      </c>
      <c r="K478" s="6">
        <v>146836</v>
      </c>
      <c r="L478" s="6" t="s">
        <v>29</v>
      </c>
      <c r="M478" s="6">
        <v>0.28999999999999998</v>
      </c>
      <c r="N478" s="6">
        <v>0.77</v>
      </c>
      <c r="O478" s="6">
        <v>11825.79</v>
      </c>
      <c r="P478" s="6">
        <v>0</v>
      </c>
      <c r="Q478" s="6">
        <f t="shared" ca="1" si="23"/>
        <v>51</v>
      </c>
      <c r="R478" s="6">
        <f t="shared" si="21"/>
        <v>-1879.7900000000009</v>
      </c>
      <c r="S478" s="7" t="str">
        <f t="shared" si="22"/>
        <v>Loss</v>
      </c>
    </row>
    <row r="479" spans="1:19" x14ac:dyDescent="0.3">
      <c r="A479" s="4" t="s">
        <v>999</v>
      </c>
      <c r="B479" s="5">
        <v>44386</v>
      </c>
      <c r="C479" s="6" t="s">
        <v>1000</v>
      </c>
      <c r="D479" s="6" t="s">
        <v>75</v>
      </c>
      <c r="E479" s="6">
        <v>29706</v>
      </c>
      <c r="F479" s="6">
        <v>6.6</v>
      </c>
      <c r="G479" s="6">
        <v>36</v>
      </c>
      <c r="H479" s="6" t="s">
        <v>26</v>
      </c>
      <c r="I479" s="6" t="s">
        <v>20</v>
      </c>
      <c r="J479" s="6" t="s">
        <v>47</v>
      </c>
      <c r="K479" s="6">
        <v>74825</v>
      </c>
      <c r="L479" s="6" t="s">
        <v>22</v>
      </c>
      <c r="M479" s="6">
        <v>0.3</v>
      </c>
      <c r="N479" s="6">
        <v>0.76</v>
      </c>
      <c r="O479" s="6">
        <v>12789.38</v>
      </c>
      <c r="P479" s="6">
        <v>0</v>
      </c>
      <c r="Q479" s="6">
        <f t="shared" ca="1" si="23"/>
        <v>56</v>
      </c>
      <c r="R479" s="6">
        <f t="shared" si="21"/>
        <v>16916.620000000003</v>
      </c>
      <c r="S479" s="7" t="str">
        <f t="shared" si="22"/>
        <v>Profit</v>
      </c>
    </row>
    <row r="480" spans="1:19" x14ac:dyDescent="0.3">
      <c r="A480" s="4" t="s">
        <v>1001</v>
      </c>
      <c r="B480" s="5">
        <v>44701</v>
      </c>
      <c r="C480" s="6" t="s">
        <v>1002</v>
      </c>
      <c r="D480" s="6" t="s">
        <v>50</v>
      </c>
      <c r="E480" s="6">
        <v>17309</v>
      </c>
      <c r="F480" s="6">
        <v>23.2</v>
      </c>
      <c r="G480" s="6">
        <v>36</v>
      </c>
      <c r="H480" s="6" t="s">
        <v>19</v>
      </c>
      <c r="I480" s="6" t="s">
        <v>72</v>
      </c>
      <c r="J480" s="6" t="s">
        <v>47</v>
      </c>
      <c r="K480" s="6">
        <v>41349</v>
      </c>
      <c r="L480" s="6" t="s">
        <v>22</v>
      </c>
      <c r="M480" s="6">
        <v>0.18</v>
      </c>
      <c r="N480" s="6">
        <v>0.86</v>
      </c>
      <c r="O480" s="6">
        <v>21324.69</v>
      </c>
      <c r="P480" s="6">
        <v>0</v>
      </c>
      <c r="Q480" s="6">
        <f t="shared" ca="1" si="23"/>
        <v>46</v>
      </c>
      <c r="R480" s="6">
        <f t="shared" si="21"/>
        <v>-4015.6899999999987</v>
      </c>
      <c r="S480" s="7" t="str">
        <f t="shared" si="22"/>
        <v>Loss</v>
      </c>
    </row>
    <row r="481" spans="1:19" x14ac:dyDescent="0.3">
      <c r="A481" s="4" t="s">
        <v>1003</v>
      </c>
      <c r="B481" s="5">
        <v>45020</v>
      </c>
      <c r="C481" s="6" t="s">
        <v>1004</v>
      </c>
      <c r="D481" s="6" t="s">
        <v>53</v>
      </c>
      <c r="E481" s="6">
        <v>34120</v>
      </c>
      <c r="F481" s="6">
        <v>14.3</v>
      </c>
      <c r="G481" s="6">
        <v>60</v>
      </c>
      <c r="H481" s="6" t="s">
        <v>19</v>
      </c>
      <c r="I481" s="6" t="s">
        <v>20</v>
      </c>
      <c r="J481" s="6" t="s">
        <v>47</v>
      </c>
      <c r="K481" s="6">
        <v>90931</v>
      </c>
      <c r="L481" s="6" t="s">
        <v>29</v>
      </c>
      <c r="M481" s="6">
        <v>0.23</v>
      </c>
      <c r="N481" s="6">
        <v>0.94</v>
      </c>
      <c r="O481" s="6">
        <v>38999.160000000003</v>
      </c>
      <c r="P481" s="6">
        <v>0</v>
      </c>
      <c r="Q481" s="6">
        <f t="shared" ca="1" si="23"/>
        <v>35</v>
      </c>
      <c r="R481" s="6">
        <f t="shared" si="21"/>
        <v>-4879.1600000000035</v>
      </c>
      <c r="S481" s="7" t="str">
        <f t="shared" si="22"/>
        <v>Loss</v>
      </c>
    </row>
    <row r="482" spans="1:19" x14ac:dyDescent="0.3">
      <c r="A482" s="4" t="s">
        <v>1005</v>
      </c>
      <c r="B482" s="5">
        <v>45125</v>
      </c>
      <c r="C482" s="6" t="s">
        <v>1006</v>
      </c>
      <c r="D482" s="6" t="s">
        <v>18</v>
      </c>
      <c r="E482" s="6">
        <v>31027</v>
      </c>
      <c r="F482" s="6">
        <v>7.8</v>
      </c>
      <c r="G482" s="6">
        <v>60</v>
      </c>
      <c r="H482" s="6" t="s">
        <v>19</v>
      </c>
      <c r="I482" s="6" t="s">
        <v>57</v>
      </c>
      <c r="J482" s="6" t="s">
        <v>21</v>
      </c>
      <c r="K482" s="6">
        <v>74254</v>
      </c>
      <c r="L482" s="6" t="s">
        <v>22</v>
      </c>
      <c r="M482" s="6">
        <v>0.42</v>
      </c>
      <c r="N482" s="6">
        <v>0.61</v>
      </c>
      <c r="O482" s="6">
        <v>33447.11</v>
      </c>
      <c r="P482" s="6">
        <v>0</v>
      </c>
      <c r="Q482" s="6">
        <f t="shared" ca="1" si="23"/>
        <v>32</v>
      </c>
      <c r="R482" s="6">
        <f t="shared" si="21"/>
        <v>-2420.1100000000006</v>
      </c>
      <c r="S482" s="7" t="str">
        <f t="shared" si="22"/>
        <v>Loss</v>
      </c>
    </row>
    <row r="483" spans="1:19" x14ac:dyDescent="0.3">
      <c r="A483" s="4" t="s">
        <v>1007</v>
      </c>
      <c r="B483" s="5">
        <v>45130</v>
      </c>
      <c r="C483" s="6" t="s">
        <v>1008</v>
      </c>
      <c r="D483" s="6" t="s">
        <v>18</v>
      </c>
      <c r="E483" s="6">
        <v>8005</v>
      </c>
      <c r="F483" s="6">
        <v>11.8</v>
      </c>
      <c r="G483" s="6">
        <v>60</v>
      </c>
      <c r="H483" s="6" t="s">
        <v>19</v>
      </c>
      <c r="I483" s="6" t="s">
        <v>36</v>
      </c>
      <c r="J483" s="6" t="s">
        <v>47</v>
      </c>
      <c r="K483" s="6">
        <v>68225</v>
      </c>
      <c r="L483" s="6" t="s">
        <v>33</v>
      </c>
      <c r="M483" s="6">
        <v>0.47</v>
      </c>
      <c r="N483" s="6">
        <v>0.73</v>
      </c>
      <c r="O483" s="6">
        <v>8949.59</v>
      </c>
      <c r="P483" s="6">
        <v>0</v>
      </c>
      <c r="Q483" s="6">
        <f t="shared" ca="1" si="23"/>
        <v>31</v>
      </c>
      <c r="R483" s="6">
        <f t="shared" si="21"/>
        <v>-944.59000000000015</v>
      </c>
      <c r="S483" s="7" t="str">
        <f t="shared" si="22"/>
        <v>Loss</v>
      </c>
    </row>
    <row r="484" spans="1:19" x14ac:dyDescent="0.3">
      <c r="A484" s="4" t="s">
        <v>1009</v>
      </c>
      <c r="B484" s="5">
        <v>44330</v>
      </c>
      <c r="C484" s="6" t="s">
        <v>1010</v>
      </c>
      <c r="D484" s="6" t="s">
        <v>56</v>
      </c>
      <c r="E484" s="6">
        <v>1956</v>
      </c>
      <c r="F484" s="6">
        <v>8.3000000000000007</v>
      </c>
      <c r="G484" s="6">
        <v>36</v>
      </c>
      <c r="H484" s="6" t="s">
        <v>26</v>
      </c>
      <c r="I484" s="6" t="s">
        <v>57</v>
      </c>
      <c r="J484" s="6" t="s">
        <v>32</v>
      </c>
      <c r="K484" s="6">
        <v>134383</v>
      </c>
      <c r="L484" s="6" t="s">
        <v>33</v>
      </c>
      <c r="M484" s="6">
        <v>0.24</v>
      </c>
      <c r="N484" s="6">
        <v>0.91</v>
      </c>
      <c r="O484" s="6">
        <v>899.87</v>
      </c>
      <c r="P484" s="6">
        <v>0</v>
      </c>
      <c r="Q484" s="6">
        <f t="shared" ca="1" si="23"/>
        <v>58</v>
      </c>
      <c r="R484" s="6">
        <f t="shared" si="21"/>
        <v>1056.1300000000001</v>
      </c>
      <c r="S484" s="7" t="str">
        <f t="shared" si="22"/>
        <v>Profit</v>
      </c>
    </row>
    <row r="485" spans="1:19" x14ac:dyDescent="0.3">
      <c r="A485" s="4" t="s">
        <v>1011</v>
      </c>
      <c r="B485" s="5">
        <v>44254</v>
      </c>
      <c r="C485" s="6" t="s">
        <v>1012</v>
      </c>
      <c r="D485" s="6" t="s">
        <v>75</v>
      </c>
      <c r="E485" s="6">
        <v>35839</v>
      </c>
      <c r="F485" s="6">
        <v>8.4</v>
      </c>
      <c r="G485" s="6">
        <v>36</v>
      </c>
      <c r="H485" s="6" t="s">
        <v>26</v>
      </c>
      <c r="I485" s="6" t="s">
        <v>27</v>
      </c>
      <c r="J485" s="6" t="s">
        <v>37</v>
      </c>
      <c r="K485" s="6">
        <v>42453</v>
      </c>
      <c r="L485" s="6" t="s">
        <v>29</v>
      </c>
      <c r="M485" s="6">
        <v>0.22</v>
      </c>
      <c r="N485" s="6">
        <v>0.85</v>
      </c>
      <c r="O485" s="6">
        <v>15026.66</v>
      </c>
      <c r="P485" s="6">
        <v>0</v>
      </c>
      <c r="Q485" s="6">
        <f t="shared" ca="1" si="23"/>
        <v>60</v>
      </c>
      <c r="R485" s="6">
        <f t="shared" si="21"/>
        <v>20812.34</v>
      </c>
      <c r="S485" s="7" t="str">
        <f t="shared" si="22"/>
        <v>Profit</v>
      </c>
    </row>
    <row r="486" spans="1:19" x14ac:dyDescent="0.3">
      <c r="A486" s="4" t="s">
        <v>1013</v>
      </c>
      <c r="B486" s="5">
        <v>44881</v>
      </c>
      <c r="C486" s="6" t="s">
        <v>1014</v>
      </c>
      <c r="D486" s="6" t="s">
        <v>25</v>
      </c>
      <c r="E486" s="6">
        <v>9595</v>
      </c>
      <c r="F486" s="6">
        <v>24</v>
      </c>
      <c r="G486" s="6">
        <v>60</v>
      </c>
      <c r="H486" s="6" t="s">
        <v>19</v>
      </c>
      <c r="I486" s="6" t="s">
        <v>20</v>
      </c>
      <c r="J486" s="6" t="s">
        <v>47</v>
      </c>
      <c r="K486" s="6">
        <v>48814</v>
      </c>
      <c r="L486" s="6" t="s">
        <v>33</v>
      </c>
      <c r="M486" s="6">
        <v>0.18</v>
      </c>
      <c r="N486" s="6">
        <v>0.72</v>
      </c>
      <c r="O486" s="6">
        <v>11897.8</v>
      </c>
      <c r="P486" s="6">
        <v>0</v>
      </c>
      <c r="Q486" s="6">
        <f t="shared" ca="1" si="23"/>
        <v>40</v>
      </c>
      <c r="R486" s="6">
        <f t="shared" si="21"/>
        <v>-2302.7999999999993</v>
      </c>
      <c r="S486" s="7" t="str">
        <f t="shared" si="22"/>
        <v>Loss</v>
      </c>
    </row>
    <row r="487" spans="1:19" x14ac:dyDescent="0.3">
      <c r="A487" s="4" t="s">
        <v>1015</v>
      </c>
      <c r="B487" s="5">
        <v>44868</v>
      </c>
      <c r="C487" s="6" t="s">
        <v>1016</v>
      </c>
      <c r="D487" s="6" t="s">
        <v>46</v>
      </c>
      <c r="E487" s="6">
        <v>13803</v>
      </c>
      <c r="F487" s="6">
        <v>13.9</v>
      </c>
      <c r="G487" s="6">
        <v>36</v>
      </c>
      <c r="H487" s="6" t="s">
        <v>2045</v>
      </c>
      <c r="I487" s="6" t="s">
        <v>20</v>
      </c>
      <c r="J487" s="6" t="s">
        <v>47</v>
      </c>
      <c r="K487" s="6">
        <v>48263</v>
      </c>
      <c r="L487" s="6" t="s">
        <v>29</v>
      </c>
      <c r="M487" s="6">
        <v>0.37</v>
      </c>
      <c r="N487" s="6">
        <v>0.93</v>
      </c>
      <c r="O487" s="6">
        <v>0</v>
      </c>
      <c r="P487" s="6">
        <v>0</v>
      </c>
      <c r="Q487" s="6">
        <f t="shared" ca="1" si="23"/>
        <v>40</v>
      </c>
      <c r="R487" s="6">
        <f t="shared" si="21"/>
        <v>13803</v>
      </c>
      <c r="S487" s="7" t="str">
        <f t="shared" si="22"/>
        <v>Profit</v>
      </c>
    </row>
    <row r="488" spans="1:19" x14ac:dyDescent="0.3">
      <c r="A488" s="4" t="s">
        <v>1017</v>
      </c>
      <c r="B488" s="5">
        <v>44369</v>
      </c>
      <c r="C488" s="6" t="s">
        <v>1018</v>
      </c>
      <c r="D488" s="6" t="s">
        <v>40</v>
      </c>
      <c r="E488" s="6">
        <v>26963</v>
      </c>
      <c r="F488" s="6">
        <v>20.8</v>
      </c>
      <c r="G488" s="6">
        <v>36</v>
      </c>
      <c r="H488" s="6" t="s">
        <v>19</v>
      </c>
      <c r="I488" s="6" t="s">
        <v>83</v>
      </c>
      <c r="J488" s="6" t="s">
        <v>47</v>
      </c>
      <c r="K488" s="6">
        <v>107694</v>
      </c>
      <c r="L488" s="6" t="s">
        <v>33</v>
      </c>
      <c r="M488" s="6">
        <v>0.23</v>
      </c>
      <c r="N488" s="6">
        <v>0.53</v>
      </c>
      <c r="O488" s="6">
        <v>32571.3</v>
      </c>
      <c r="P488" s="6">
        <v>0</v>
      </c>
      <c r="Q488" s="6">
        <f t="shared" ca="1" si="23"/>
        <v>56</v>
      </c>
      <c r="R488" s="6">
        <f t="shared" si="21"/>
        <v>-5608.2999999999993</v>
      </c>
      <c r="S488" s="7" t="str">
        <f t="shared" si="22"/>
        <v>Loss</v>
      </c>
    </row>
    <row r="489" spans="1:19" x14ac:dyDescent="0.3">
      <c r="A489" s="4" t="s">
        <v>1019</v>
      </c>
      <c r="B489" s="5">
        <v>45011</v>
      </c>
      <c r="C489" s="6" t="s">
        <v>1020</v>
      </c>
      <c r="D489" s="6" t="s">
        <v>71</v>
      </c>
      <c r="E489" s="6">
        <v>37221</v>
      </c>
      <c r="F489" s="6">
        <v>17.8</v>
      </c>
      <c r="G489" s="6">
        <v>60</v>
      </c>
      <c r="H489" s="6" t="s">
        <v>314</v>
      </c>
      <c r="I489" s="6" t="s">
        <v>27</v>
      </c>
      <c r="J489" s="6" t="s">
        <v>32</v>
      </c>
      <c r="K489" s="6">
        <v>45735</v>
      </c>
      <c r="L489" s="6" t="s">
        <v>29</v>
      </c>
      <c r="M489" s="6">
        <v>0.5</v>
      </c>
      <c r="N489" s="6">
        <v>0.92</v>
      </c>
      <c r="O489" s="6">
        <v>0</v>
      </c>
      <c r="P489" s="6">
        <v>0</v>
      </c>
      <c r="Q489" s="6">
        <f t="shared" ca="1" si="23"/>
        <v>35</v>
      </c>
      <c r="R489" s="6">
        <f t="shared" si="21"/>
        <v>37221</v>
      </c>
      <c r="S489" s="7" t="str">
        <f t="shared" si="22"/>
        <v>Profit</v>
      </c>
    </row>
    <row r="490" spans="1:19" x14ac:dyDescent="0.3">
      <c r="A490" s="4" t="s">
        <v>1021</v>
      </c>
      <c r="B490" s="5">
        <v>44276</v>
      </c>
      <c r="C490" s="6" t="s">
        <v>1022</v>
      </c>
      <c r="D490" s="6" t="s">
        <v>46</v>
      </c>
      <c r="E490" s="6">
        <v>34723</v>
      </c>
      <c r="F490" s="6">
        <v>18.5</v>
      </c>
      <c r="G490" s="6">
        <v>60</v>
      </c>
      <c r="H490" s="6" t="s">
        <v>314</v>
      </c>
      <c r="I490" s="6" t="s">
        <v>57</v>
      </c>
      <c r="J490" s="6" t="s">
        <v>47</v>
      </c>
      <c r="K490" s="6">
        <v>45830</v>
      </c>
      <c r="L490" s="6" t="s">
        <v>33</v>
      </c>
      <c r="M490" s="6">
        <v>0.23</v>
      </c>
      <c r="N490" s="6">
        <v>0.52</v>
      </c>
      <c r="O490" s="6">
        <v>0</v>
      </c>
      <c r="P490" s="6">
        <v>0</v>
      </c>
      <c r="Q490" s="6">
        <f t="shared" ca="1" si="23"/>
        <v>59</v>
      </c>
      <c r="R490" s="6">
        <f t="shared" si="21"/>
        <v>34723</v>
      </c>
      <c r="S490" s="7" t="str">
        <f t="shared" si="22"/>
        <v>Profit</v>
      </c>
    </row>
    <row r="491" spans="1:19" x14ac:dyDescent="0.3">
      <c r="A491" s="4" t="s">
        <v>1023</v>
      </c>
      <c r="B491" s="5">
        <v>45082</v>
      </c>
      <c r="C491" s="6" t="s">
        <v>1024</v>
      </c>
      <c r="D491" s="6" t="s">
        <v>75</v>
      </c>
      <c r="E491" s="6">
        <v>16282</v>
      </c>
      <c r="F491" s="6">
        <v>7.6</v>
      </c>
      <c r="G491" s="6">
        <v>36</v>
      </c>
      <c r="H491" s="6" t="s">
        <v>19</v>
      </c>
      <c r="I491" s="6" t="s">
        <v>36</v>
      </c>
      <c r="J491" s="6" t="s">
        <v>47</v>
      </c>
      <c r="K491" s="6">
        <v>77893</v>
      </c>
      <c r="L491" s="6" t="s">
        <v>33</v>
      </c>
      <c r="M491" s="6">
        <v>0.26</v>
      </c>
      <c r="N491" s="6">
        <v>0.75</v>
      </c>
      <c r="O491" s="6">
        <v>17519.43</v>
      </c>
      <c r="P491" s="6">
        <v>0</v>
      </c>
      <c r="Q491" s="6">
        <f t="shared" ca="1" si="23"/>
        <v>33</v>
      </c>
      <c r="R491" s="6">
        <f t="shared" si="21"/>
        <v>-1237.4300000000003</v>
      </c>
      <c r="S491" s="7" t="str">
        <f t="shared" si="22"/>
        <v>Loss</v>
      </c>
    </row>
    <row r="492" spans="1:19" x14ac:dyDescent="0.3">
      <c r="A492" s="4" t="s">
        <v>1025</v>
      </c>
      <c r="B492" s="5">
        <v>44399</v>
      </c>
      <c r="C492" s="6" t="s">
        <v>1026</v>
      </c>
      <c r="D492" s="6" t="s">
        <v>75</v>
      </c>
      <c r="E492" s="6">
        <v>5703</v>
      </c>
      <c r="F492" s="6">
        <v>9.6999999999999993</v>
      </c>
      <c r="G492" s="6">
        <v>36</v>
      </c>
      <c r="H492" s="6" t="s">
        <v>19</v>
      </c>
      <c r="I492" s="6" t="s">
        <v>36</v>
      </c>
      <c r="J492" s="6" t="s">
        <v>37</v>
      </c>
      <c r="K492" s="6">
        <v>74673</v>
      </c>
      <c r="L492" s="6" t="s">
        <v>22</v>
      </c>
      <c r="M492" s="6">
        <v>0.34</v>
      </c>
      <c r="N492" s="6">
        <v>0.9</v>
      </c>
      <c r="O492" s="6">
        <v>6256.19</v>
      </c>
      <c r="P492" s="6">
        <v>0</v>
      </c>
      <c r="Q492" s="6">
        <f t="shared" ca="1" si="23"/>
        <v>55</v>
      </c>
      <c r="R492" s="6">
        <f t="shared" si="21"/>
        <v>-553.1899999999996</v>
      </c>
      <c r="S492" s="7" t="str">
        <f t="shared" si="22"/>
        <v>Loss</v>
      </c>
    </row>
    <row r="493" spans="1:19" x14ac:dyDescent="0.3">
      <c r="A493" s="4" t="s">
        <v>1027</v>
      </c>
      <c r="B493" s="5">
        <v>44960</v>
      </c>
      <c r="C493" s="6" t="s">
        <v>1028</v>
      </c>
      <c r="D493" s="6" t="s">
        <v>53</v>
      </c>
      <c r="E493" s="6">
        <v>7563</v>
      </c>
      <c r="F493" s="6">
        <v>20.7</v>
      </c>
      <c r="G493" s="6">
        <v>60</v>
      </c>
      <c r="H493" s="6" t="s">
        <v>19</v>
      </c>
      <c r="I493" s="6" t="s">
        <v>41</v>
      </c>
      <c r="J493" s="6" t="s">
        <v>32</v>
      </c>
      <c r="K493" s="6">
        <v>119462</v>
      </c>
      <c r="L493" s="6" t="s">
        <v>22</v>
      </c>
      <c r="M493" s="6">
        <v>0.42</v>
      </c>
      <c r="N493" s="6">
        <v>0.62</v>
      </c>
      <c r="O493" s="6">
        <v>9128.5400000000009</v>
      </c>
      <c r="P493" s="6">
        <v>0</v>
      </c>
      <c r="Q493" s="6">
        <f t="shared" ca="1" si="23"/>
        <v>37</v>
      </c>
      <c r="R493" s="6">
        <f t="shared" si="21"/>
        <v>-1565.5400000000009</v>
      </c>
      <c r="S493" s="7" t="str">
        <f t="shared" si="22"/>
        <v>Loss</v>
      </c>
    </row>
    <row r="494" spans="1:19" x14ac:dyDescent="0.3">
      <c r="A494" s="4" t="s">
        <v>1029</v>
      </c>
      <c r="B494" s="5">
        <v>44243</v>
      </c>
      <c r="C494" s="6" t="s">
        <v>1030</v>
      </c>
      <c r="D494" s="6" t="s">
        <v>53</v>
      </c>
      <c r="E494" s="6">
        <v>26849</v>
      </c>
      <c r="F494" s="6">
        <v>24.4</v>
      </c>
      <c r="G494" s="6">
        <v>36</v>
      </c>
      <c r="H494" s="6" t="s">
        <v>26</v>
      </c>
      <c r="I494" s="6" t="s">
        <v>57</v>
      </c>
      <c r="J494" s="6" t="s">
        <v>32</v>
      </c>
      <c r="K494" s="6">
        <v>75066</v>
      </c>
      <c r="L494" s="6" t="s">
        <v>22</v>
      </c>
      <c r="M494" s="6">
        <v>0.28999999999999998</v>
      </c>
      <c r="N494" s="6">
        <v>0.71</v>
      </c>
      <c r="O494" s="6">
        <v>2888.35</v>
      </c>
      <c r="P494" s="6">
        <v>0</v>
      </c>
      <c r="Q494" s="6">
        <f t="shared" ca="1" si="23"/>
        <v>61</v>
      </c>
      <c r="R494" s="6">
        <f t="shared" si="21"/>
        <v>23960.65</v>
      </c>
      <c r="S494" s="7" t="str">
        <f t="shared" si="22"/>
        <v>Profit</v>
      </c>
    </row>
    <row r="495" spans="1:19" x14ac:dyDescent="0.3">
      <c r="A495" s="4" t="s">
        <v>1031</v>
      </c>
      <c r="B495" s="5">
        <v>44852</v>
      </c>
      <c r="C495" s="6" t="s">
        <v>1032</v>
      </c>
      <c r="D495" s="6" t="s">
        <v>46</v>
      </c>
      <c r="E495" s="6">
        <v>32860</v>
      </c>
      <c r="F495" s="6">
        <v>10.3</v>
      </c>
      <c r="G495" s="6">
        <v>36</v>
      </c>
      <c r="H495" s="6" t="s">
        <v>19</v>
      </c>
      <c r="I495" s="6" t="s">
        <v>20</v>
      </c>
      <c r="J495" s="6" t="s">
        <v>47</v>
      </c>
      <c r="K495" s="6">
        <v>130315</v>
      </c>
      <c r="L495" s="6" t="s">
        <v>22</v>
      </c>
      <c r="M495" s="6">
        <v>0.27</v>
      </c>
      <c r="N495" s="6">
        <v>0.65</v>
      </c>
      <c r="O495" s="6">
        <v>36244.58</v>
      </c>
      <c r="P495" s="6">
        <v>0</v>
      </c>
      <c r="Q495" s="6">
        <f t="shared" ca="1" si="23"/>
        <v>41</v>
      </c>
      <c r="R495" s="6">
        <f t="shared" si="21"/>
        <v>-3384.5800000000017</v>
      </c>
      <c r="S495" s="7" t="str">
        <f t="shared" si="22"/>
        <v>Loss</v>
      </c>
    </row>
    <row r="496" spans="1:19" x14ac:dyDescent="0.3">
      <c r="A496" s="4" t="s">
        <v>1033</v>
      </c>
      <c r="B496" s="5">
        <v>44667</v>
      </c>
      <c r="C496" s="6" t="s">
        <v>1034</v>
      </c>
      <c r="D496" s="6" t="s">
        <v>25</v>
      </c>
      <c r="E496" s="6">
        <v>32585</v>
      </c>
      <c r="F496" s="6">
        <v>10.4</v>
      </c>
      <c r="G496" s="6">
        <v>60</v>
      </c>
      <c r="H496" s="6" t="s">
        <v>2045</v>
      </c>
      <c r="I496" s="6" t="s">
        <v>72</v>
      </c>
      <c r="J496" s="6" t="s">
        <v>32</v>
      </c>
      <c r="K496" s="6">
        <v>33373</v>
      </c>
      <c r="L496" s="6" t="s">
        <v>22</v>
      </c>
      <c r="M496" s="6">
        <v>0.5</v>
      </c>
      <c r="N496" s="6">
        <v>0.93</v>
      </c>
      <c r="O496" s="6">
        <v>0</v>
      </c>
      <c r="P496" s="6">
        <v>0</v>
      </c>
      <c r="Q496" s="6">
        <f t="shared" ca="1" si="23"/>
        <v>47</v>
      </c>
      <c r="R496" s="6">
        <f t="shared" si="21"/>
        <v>32585</v>
      </c>
      <c r="S496" s="7" t="str">
        <f t="shared" si="22"/>
        <v>Profit</v>
      </c>
    </row>
    <row r="497" spans="1:19" x14ac:dyDescent="0.3">
      <c r="A497" s="4" t="s">
        <v>1035</v>
      </c>
      <c r="B497" s="5">
        <v>45167</v>
      </c>
      <c r="C497" s="6" t="s">
        <v>1036</v>
      </c>
      <c r="D497" s="6" t="s">
        <v>56</v>
      </c>
      <c r="E497" s="6">
        <v>23015</v>
      </c>
      <c r="F497" s="6">
        <v>14.5</v>
      </c>
      <c r="G497" s="6">
        <v>60</v>
      </c>
      <c r="H497" s="6" t="s">
        <v>26</v>
      </c>
      <c r="I497" s="6" t="s">
        <v>27</v>
      </c>
      <c r="J497" s="6" t="s">
        <v>28</v>
      </c>
      <c r="K497" s="6">
        <v>40335</v>
      </c>
      <c r="L497" s="6" t="s">
        <v>22</v>
      </c>
      <c r="M497" s="6">
        <v>0.1</v>
      </c>
      <c r="N497" s="6">
        <v>0.87</v>
      </c>
      <c r="O497" s="6">
        <v>11485.91</v>
      </c>
      <c r="P497" s="6">
        <v>0</v>
      </c>
      <c r="Q497" s="6">
        <f t="shared" ca="1" si="23"/>
        <v>30</v>
      </c>
      <c r="R497" s="6">
        <f t="shared" si="21"/>
        <v>11529.09</v>
      </c>
      <c r="S497" s="7" t="str">
        <f t="shared" si="22"/>
        <v>Profit</v>
      </c>
    </row>
    <row r="498" spans="1:19" x14ac:dyDescent="0.3">
      <c r="A498" s="4" t="s">
        <v>1037</v>
      </c>
      <c r="B498" s="5">
        <v>45232</v>
      </c>
      <c r="C498" s="6" t="s">
        <v>1038</v>
      </c>
      <c r="D498" s="6" t="s">
        <v>53</v>
      </c>
      <c r="E498" s="6">
        <v>13003</v>
      </c>
      <c r="F498" s="6">
        <v>24.7</v>
      </c>
      <c r="G498" s="6">
        <v>36</v>
      </c>
      <c r="H498" s="6" t="s">
        <v>19</v>
      </c>
      <c r="I498" s="6" t="s">
        <v>20</v>
      </c>
      <c r="J498" s="6" t="s">
        <v>32</v>
      </c>
      <c r="K498" s="6">
        <v>53741</v>
      </c>
      <c r="L498" s="6" t="s">
        <v>29</v>
      </c>
      <c r="M498" s="6">
        <v>0.46</v>
      </c>
      <c r="N498" s="6">
        <v>0.82</v>
      </c>
      <c r="O498" s="6">
        <v>16214.74</v>
      </c>
      <c r="P498" s="6">
        <v>0</v>
      </c>
      <c r="Q498" s="6">
        <f t="shared" ca="1" si="23"/>
        <v>28</v>
      </c>
      <c r="R498" s="6">
        <f t="shared" si="21"/>
        <v>-3211.74</v>
      </c>
      <c r="S498" s="7" t="str">
        <f t="shared" si="22"/>
        <v>Loss</v>
      </c>
    </row>
    <row r="499" spans="1:19" x14ac:dyDescent="0.3">
      <c r="A499" s="4" t="s">
        <v>1039</v>
      </c>
      <c r="B499" s="5">
        <v>44932</v>
      </c>
      <c r="C499" s="6" t="s">
        <v>1040</v>
      </c>
      <c r="D499" s="6" t="s">
        <v>71</v>
      </c>
      <c r="E499" s="6">
        <v>27958</v>
      </c>
      <c r="F499" s="6">
        <v>10.4</v>
      </c>
      <c r="G499" s="6">
        <v>36</v>
      </c>
      <c r="H499" s="6" t="s">
        <v>19</v>
      </c>
      <c r="I499" s="6" t="s">
        <v>83</v>
      </c>
      <c r="J499" s="6" t="s">
        <v>32</v>
      </c>
      <c r="K499" s="6">
        <v>40692</v>
      </c>
      <c r="L499" s="6" t="s">
        <v>29</v>
      </c>
      <c r="M499" s="6">
        <v>0.16</v>
      </c>
      <c r="N499" s="6">
        <v>0.76</v>
      </c>
      <c r="O499" s="6">
        <v>30865.63</v>
      </c>
      <c r="P499" s="6">
        <v>0</v>
      </c>
      <c r="Q499" s="6">
        <f t="shared" ca="1" si="23"/>
        <v>38</v>
      </c>
      <c r="R499" s="6">
        <f t="shared" si="21"/>
        <v>-2907.630000000001</v>
      </c>
      <c r="S499" s="7" t="str">
        <f t="shared" si="22"/>
        <v>Loss</v>
      </c>
    </row>
    <row r="500" spans="1:19" x14ac:dyDescent="0.3">
      <c r="A500" s="4" t="s">
        <v>1041</v>
      </c>
      <c r="B500" s="5">
        <v>44980</v>
      </c>
      <c r="C500" s="6" t="s">
        <v>1042</v>
      </c>
      <c r="D500" s="6" t="s">
        <v>71</v>
      </c>
      <c r="E500" s="6">
        <v>27017</v>
      </c>
      <c r="F500" s="6">
        <v>13.1</v>
      </c>
      <c r="G500" s="6">
        <v>36</v>
      </c>
      <c r="H500" s="6" t="s">
        <v>26</v>
      </c>
      <c r="I500" s="6" t="s">
        <v>20</v>
      </c>
      <c r="J500" s="6" t="s">
        <v>32</v>
      </c>
      <c r="K500" s="6">
        <v>77295</v>
      </c>
      <c r="L500" s="6" t="s">
        <v>22</v>
      </c>
      <c r="M500" s="6">
        <v>0.41</v>
      </c>
      <c r="N500" s="6">
        <v>0.87</v>
      </c>
      <c r="O500" s="6">
        <v>4494.63</v>
      </c>
      <c r="P500" s="6">
        <v>0</v>
      </c>
      <c r="Q500" s="6">
        <f t="shared" ca="1" si="23"/>
        <v>36</v>
      </c>
      <c r="R500" s="6">
        <f t="shared" si="21"/>
        <v>22522.37</v>
      </c>
      <c r="S500" s="7" t="str">
        <f t="shared" si="22"/>
        <v>Profit</v>
      </c>
    </row>
    <row r="501" spans="1:19" x14ac:dyDescent="0.3">
      <c r="A501" s="4" t="s">
        <v>1043</v>
      </c>
      <c r="B501" s="5">
        <v>45164</v>
      </c>
      <c r="C501" s="6" t="s">
        <v>1044</v>
      </c>
      <c r="D501" s="6" t="s">
        <v>56</v>
      </c>
      <c r="E501" s="6">
        <v>12171</v>
      </c>
      <c r="F501" s="6">
        <v>22.8</v>
      </c>
      <c r="G501" s="6">
        <v>60</v>
      </c>
      <c r="H501" s="6" t="s">
        <v>19</v>
      </c>
      <c r="I501" s="6" t="s">
        <v>72</v>
      </c>
      <c r="J501" s="6" t="s">
        <v>21</v>
      </c>
      <c r="K501" s="6">
        <v>75541</v>
      </c>
      <c r="L501" s="6" t="s">
        <v>29</v>
      </c>
      <c r="M501" s="6">
        <v>0.35</v>
      </c>
      <c r="N501" s="6">
        <v>0.68</v>
      </c>
      <c r="O501" s="6">
        <v>14945.99</v>
      </c>
      <c r="P501" s="6">
        <v>0</v>
      </c>
      <c r="Q501" s="6">
        <f t="shared" ca="1" si="23"/>
        <v>30</v>
      </c>
      <c r="R501" s="6">
        <f t="shared" si="21"/>
        <v>-2774.99</v>
      </c>
      <c r="S501" s="7" t="str">
        <f t="shared" si="22"/>
        <v>Loss</v>
      </c>
    </row>
    <row r="502" spans="1:19" x14ac:dyDescent="0.3">
      <c r="A502" s="4" t="s">
        <v>1045</v>
      </c>
      <c r="B502" s="5">
        <v>44554</v>
      </c>
      <c r="C502" s="6" t="s">
        <v>1046</v>
      </c>
      <c r="D502" s="6" t="s">
        <v>64</v>
      </c>
      <c r="E502" s="6">
        <v>13201</v>
      </c>
      <c r="F502" s="6">
        <v>5.0999999999999996</v>
      </c>
      <c r="G502" s="6">
        <v>36</v>
      </c>
      <c r="H502" s="6" t="s">
        <v>26</v>
      </c>
      <c r="I502" s="6" t="s">
        <v>57</v>
      </c>
      <c r="J502" s="6" t="s">
        <v>21</v>
      </c>
      <c r="K502" s="6">
        <v>64057</v>
      </c>
      <c r="L502" s="6" t="s">
        <v>22</v>
      </c>
      <c r="M502" s="6">
        <v>0.24</v>
      </c>
      <c r="N502" s="6">
        <v>0.7</v>
      </c>
      <c r="O502" s="6">
        <v>4962.1499999999996</v>
      </c>
      <c r="P502" s="6">
        <v>0</v>
      </c>
      <c r="Q502" s="6">
        <f t="shared" ca="1" si="23"/>
        <v>50</v>
      </c>
      <c r="R502" s="6">
        <f t="shared" si="21"/>
        <v>8238.85</v>
      </c>
      <c r="S502" s="7" t="str">
        <f t="shared" si="22"/>
        <v>Profit</v>
      </c>
    </row>
    <row r="503" spans="1:19" x14ac:dyDescent="0.3">
      <c r="A503" s="4" t="s">
        <v>1047</v>
      </c>
      <c r="B503" s="5">
        <v>45168</v>
      </c>
      <c r="C503" s="6" t="s">
        <v>1048</v>
      </c>
      <c r="D503" s="6" t="s">
        <v>64</v>
      </c>
      <c r="E503" s="6">
        <v>30426</v>
      </c>
      <c r="F503" s="6">
        <v>5.8</v>
      </c>
      <c r="G503" s="6">
        <v>36</v>
      </c>
      <c r="H503" s="6" t="s">
        <v>19</v>
      </c>
      <c r="I503" s="6" t="s">
        <v>27</v>
      </c>
      <c r="J503" s="6" t="s">
        <v>21</v>
      </c>
      <c r="K503" s="6">
        <v>96983</v>
      </c>
      <c r="L503" s="6" t="s">
        <v>29</v>
      </c>
      <c r="M503" s="6">
        <v>0.45</v>
      </c>
      <c r="N503" s="6">
        <v>0.83</v>
      </c>
      <c r="O503" s="6">
        <v>32190.71</v>
      </c>
      <c r="P503" s="6">
        <v>0</v>
      </c>
      <c r="Q503" s="6">
        <f t="shared" ca="1" si="23"/>
        <v>30</v>
      </c>
      <c r="R503" s="6">
        <f t="shared" si="21"/>
        <v>-1764.7099999999991</v>
      </c>
      <c r="S503" s="7" t="str">
        <f t="shared" si="22"/>
        <v>Loss</v>
      </c>
    </row>
    <row r="504" spans="1:19" x14ac:dyDescent="0.3">
      <c r="A504" s="4" t="s">
        <v>1049</v>
      </c>
      <c r="B504" s="5">
        <v>44864</v>
      </c>
      <c r="C504" s="6" t="s">
        <v>1050</v>
      </c>
      <c r="D504" s="6" t="s">
        <v>75</v>
      </c>
      <c r="E504" s="6">
        <v>18778</v>
      </c>
      <c r="F504" s="6">
        <v>17.100000000000001</v>
      </c>
      <c r="G504" s="6">
        <v>60</v>
      </c>
      <c r="H504" s="6" t="s">
        <v>19</v>
      </c>
      <c r="I504" s="6" t="s">
        <v>57</v>
      </c>
      <c r="J504" s="6" t="s">
        <v>32</v>
      </c>
      <c r="K504" s="6">
        <v>49583</v>
      </c>
      <c r="L504" s="6" t="s">
        <v>33</v>
      </c>
      <c r="M504" s="6">
        <v>0.11</v>
      </c>
      <c r="N504" s="6">
        <v>0.66</v>
      </c>
      <c r="O504" s="6">
        <v>21989.040000000001</v>
      </c>
      <c r="P504" s="6">
        <v>0</v>
      </c>
      <c r="Q504" s="6">
        <f t="shared" ca="1" si="23"/>
        <v>40</v>
      </c>
      <c r="R504" s="6">
        <f t="shared" si="21"/>
        <v>-3211.0400000000009</v>
      </c>
      <c r="S504" s="7" t="str">
        <f t="shared" si="22"/>
        <v>Loss</v>
      </c>
    </row>
    <row r="505" spans="1:19" x14ac:dyDescent="0.3">
      <c r="A505" s="4" t="s">
        <v>1051</v>
      </c>
      <c r="B505" s="5">
        <v>44569</v>
      </c>
      <c r="C505" s="6" t="s">
        <v>1052</v>
      </c>
      <c r="D505" s="6" t="s">
        <v>53</v>
      </c>
      <c r="E505" s="6">
        <v>22116</v>
      </c>
      <c r="F505" s="6">
        <v>23.1</v>
      </c>
      <c r="G505" s="6">
        <v>60</v>
      </c>
      <c r="H505" s="6" t="s">
        <v>19</v>
      </c>
      <c r="I505" s="6" t="s">
        <v>83</v>
      </c>
      <c r="J505" s="6" t="s">
        <v>28</v>
      </c>
      <c r="K505" s="6">
        <v>52765</v>
      </c>
      <c r="L505" s="6" t="s">
        <v>29</v>
      </c>
      <c r="M505" s="6">
        <v>0.19</v>
      </c>
      <c r="N505" s="6">
        <v>0.53</v>
      </c>
      <c r="O505" s="6">
        <v>27224.799999999999</v>
      </c>
      <c r="P505" s="6">
        <v>0</v>
      </c>
      <c r="Q505" s="6">
        <f t="shared" ca="1" si="23"/>
        <v>50</v>
      </c>
      <c r="R505" s="6">
        <f t="shared" si="21"/>
        <v>-5108.7999999999993</v>
      </c>
      <c r="S505" s="7" t="str">
        <f t="shared" si="22"/>
        <v>Loss</v>
      </c>
    </row>
    <row r="506" spans="1:19" x14ac:dyDescent="0.3">
      <c r="A506" s="4" t="s">
        <v>1053</v>
      </c>
      <c r="B506" s="5">
        <v>45228</v>
      </c>
      <c r="C506" s="6" t="s">
        <v>1054</v>
      </c>
      <c r="D506" s="6" t="s">
        <v>18</v>
      </c>
      <c r="E506" s="6">
        <v>34297</v>
      </c>
      <c r="F506" s="6">
        <v>9.8000000000000007</v>
      </c>
      <c r="G506" s="6">
        <v>36</v>
      </c>
      <c r="H506" s="6" t="s">
        <v>26</v>
      </c>
      <c r="I506" s="6" t="s">
        <v>72</v>
      </c>
      <c r="J506" s="6" t="s">
        <v>32</v>
      </c>
      <c r="K506" s="6">
        <v>89287</v>
      </c>
      <c r="L506" s="6" t="s">
        <v>29</v>
      </c>
      <c r="M506" s="6">
        <v>0.33</v>
      </c>
      <c r="N506" s="6">
        <v>0.53</v>
      </c>
      <c r="O506" s="6">
        <v>15729.14</v>
      </c>
      <c r="P506" s="6">
        <v>0</v>
      </c>
      <c r="Q506" s="6">
        <f t="shared" ca="1" si="23"/>
        <v>28</v>
      </c>
      <c r="R506" s="6">
        <f t="shared" si="21"/>
        <v>18567.86</v>
      </c>
      <c r="S506" s="7" t="str">
        <f t="shared" si="22"/>
        <v>Profit</v>
      </c>
    </row>
    <row r="507" spans="1:19" x14ac:dyDescent="0.3">
      <c r="A507" s="4" t="s">
        <v>1055</v>
      </c>
      <c r="B507" s="5">
        <v>44872</v>
      </c>
      <c r="C507" s="6" t="s">
        <v>1056</v>
      </c>
      <c r="D507" s="6" t="s">
        <v>46</v>
      </c>
      <c r="E507" s="6">
        <v>20342</v>
      </c>
      <c r="F507" s="6">
        <v>14.4</v>
      </c>
      <c r="G507" s="6">
        <v>60</v>
      </c>
      <c r="H507" s="6" t="s">
        <v>19</v>
      </c>
      <c r="I507" s="6" t="s">
        <v>83</v>
      </c>
      <c r="J507" s="6" t="s">
        <v>47</v>
      </c>
      <c r="K507" s="6">
        <v>53906</v>
      </c>
      <c r="L507" s="6" t="s">
        <v>29</v>
      </c>
      <c r="M507" s="6">
        <v>0.24</v>
      </c>
      <c r="N507" s="6">
        <v>0.55000000000000004</v>
      </c>
      <c r="O507" s="6">
        <v>23271.25</v>
      </c>
      <c r="P507" s="6">
        <v>0</v>
      </c>
      <c r="Q507" s="6">
        <f t="shared" ca="1" si="23"/>
        <v>40</v>
      </c>
      <c r="R507" s="6">
        <f t="shared" si="21"/>
        <v>-2929.25</v>
      </c>
      <c r="S507" s="7" t="str">
        <f t="shared" si="22"/>
        <v>Loss</v>
      </c>
    </row>
    <row r="508" spans="1:19" x14ac:dyDescent="0.3">
      <c r="A508" s="4" t="s">
        <v>1057</v>
      </c>
      <c r="B508" s="5">
        <v>44286</v>
      </c>
      <c r="C508" s="6" t="s">
        <v>1058</v>
      </c>
      <c r="D508" s="6" t="s">
        <v>50</v>
      </c>
      <c r="E508" s="6">
        <v>28490</v>
      </c>
      <c r="F508" s="6">
        <v>14</v>
      </c>
      <c r="G508" s="6">
        <v>60</v>
      </c>
      <c r="H508" s="6" t="s">
        <v>26</v>
      </c>
      <c r="I508" s="6" t="s">
        <v>41</v>
      </c>
      <c r="J508" s="6" t="s">
        <v>28</v>
      </c>
      <c r="K508" s="6">
        <v>115103</v>
      </c>
      <c r="L508" s="6" t="s">
        <v>33</v>
      </c>
      <c r="M508" s="6">
        <v>0.34</v>
      </c>
      <c r="N508" s="6">
        <v>0.89</v>
      </c>
      <c r="O508" s="6">
        <v>4446.13</v>
      </c>
      <c r="P508" s="6">
        <v>0</v>
      </c>
      <c r="Q508" s="6">
        <f t="shared" ca="1" si="23"/>
        <v>59</v>
      </c>
      <c r="R508" s="6">
        <f t="shared" si="21"/>
        <v>24043.87</v>
      </c>
      <c r="S508" s="7" t="str">
        <f t="shared" si="22"/>
        <v>Profit</v>
      </c>
    </row>
    <row r="509" spans="1:19" x14ac:dyDescent="0.3">
      <c r="A509" s="4" t="s">
        <v>1059</v>
      </c>
      <c r="B509" s="5">
        <v>44894</v>
      </c>
      <c r="C509" s="6" t="s">
        <v>1060</v>
      </c>
      <c r="D509" s="6" t="s">
        <v>56</v>
      </c>
      <c r="E509" s="6">
        <v>20975</v>
      </c>
      <c r="F509" s="6">
        <v>14.5</v>
      </c>
      <c r="G509" s="6">
        <v>36</v>
      </c>
      <c r="H509" s="6" t="s">
        <v>19</v>
      </c>
      <c r="I509" s="6" t="s">
        <v>27</v>
      </c>
      <c r="J509" s="6" t="s">
        <v>21</v>
      </c>
      <c r="K509" s="6">
        <v>109675</v>
      </c>
      <c r="L509" s="6" t="s">
        <v>22</v>
      </c>
      <c r="M509" s="6">
        <v>0.11</v>
      </c>
      <c r="N509" s="6">
        <v>0.71</v>
      </c>
      <c r="O509" s="6">
        <v>24016.38</v>
      </c>
      <c r="P509" s="6">
        <v>0</v>
      </c>
      <c r="Q509" s="6">
        <f t="shared" ca="1" si="23"/>
        <v>39</v>
      </c>
      <c r="R509" s="6">
        <f t="shared" si="21"/>
        <v>-3041.380000000001</v>
      </c>
      <c r="S509" s="7" t="str">
        <f t="shared" si="22"/>
        <v>Loss</v>
      </c>
    </row>
    <row r="510" spans="1:19" x14ac:dyDescent="0.3">
      <c r="A510" s="4" t="s">
        <v>1061</v>
      </c>
      <c r="B510" s="5">
        <v>44736</v>
      </c>
      <c r="C510" s="6" t="s">
        <v>1062</v>
      </c>
      <c r="D510" s="6" t="s">
        <v>75</v>
      </c>
      <c r="E510" s="6">
        <v>27723</v>
      </c>
      <c r="F510" s="6">
        <v>17.5</v>
      </c>
      <c r="G510" s="6">
        <v>60</v>
      </c>
      <c r="H510" s="6" t="s">
        <v>26</v>
      </c>
      <c r="I510" s="6" t="s">
        <v>41</v>
      </c>
      <c r="J510" s="6" t="s">
        <v>37</v>
      </c>
      <c r="K510" s="6">
        <v>76525</v>
      </c>
      <c r="L510" s="6" t="s">
        <v>29</v>
      </c>
      <c r="M510" s="6">
        <v>0.15</v>
      </c>
      <c r="N510" s="6">
        <v>0.82</v>
      </c>
      <c r="O510" s="6">
        <v>12716.99</v>
      </c>
      <c r="P510" s="6">
        <v>0</v>
      </c>
      <c r="Q510" s="6">
        <f t="shared" ca="1" si="23"/>
        <v>44</v>
      </c>
      <c r="R510" s="6">
        <f t="shared" si="21"/>
        <v>15006.01</v>
      </c>
      <c r="S510" s="7" t="str">
        <f t="shared" si="22"/>
        <v>Profit</v>
      </c>
    </row>
    <row r="511" spans="1:19" x14ac:dyDescent="0.3">
      <c r="A511" s="4" t="s">
        <v>1063</v>
      </c>
      <c r="B511" s="5">
        <v>44928</v>
      </c>
      <c r="C511" s="6" t="s">
        <v>1064</v>
      </c>
      <c r="D511" s="6" t="s">
        <v>18</v>
      </c>
      <c r="E511" s="6">
        <v>24279</v>
      </c>
      <c r="F511" s="6">
        <v>14.4</v>
      </c>
      <c r="G511" s="6">
        <v>60</v>
      </c>
      <c r="H511" s="6" t="s">
        <v>26</v>
      </c>
      <c r="I511" s="6" t="s">
        <v>20</v>
      </c>
      <c r="J511" s="6" t="s">
        <v>28</v>
      </c>
      <c r="K511" s="6">
        <v>68230</v>
      </c>
      <c r="L511" s="6" t="s">
        <v>29</v>
      </c>
      <c r="M511" s="6">
        <v>0.15</v>
      </c>
      <c r="N511" s="6">
        <v>0.68</v>
      </c>
      <c r="O511" s="6">
        <v>4595.21</v>
      </c>
      <c r="P511" s="6">
        <v>0</v>
      </c>
      <c r="Q511" s="6">
        <f t="shared" ca="1" si="23"/>
        <v>38</v>
      </c>
      <c r="R511" s="6">
        <f t="shared" si="21"/>
        <v>19683.79</v>
      </c>
      <c r="S511" s="7" t="str">
        <f t="shared" si="22"/>
        <v>Profit</v>
      </c>
    </row>
    <row r="512" spans="1:19" x14ac:dyDescent="0.3">
      <c r="A512" s="4" t="s">
        <v>1065</v>
      </c>
      <c r="B512" s="5">
        <v>45065</v>
      </c>
      <c r="C512" s="6" t="s">
        <v>1066</v>
      </c>
      <c r="D512" s="6" t="s">
        <v>53</v>
      </c>
      <c r="E512" s="6">
        <v>13765</v>
      </c>
      <c r="F512" s="6">
        <v>13.9</v>
      </c>
      <c r="G512" s="6">
        <v>36</v>
      </c>
      <c r="H512" s="6" t="s">
        <v>19</v>
      </c>
      <c r="I512" s="6" t="s">
        <v>57</v>
      </c>
      <c r="J512" s="6" t="s">
        <v>21</v>
      </c>
      <c r="K512" s="6">
        <v>147904</v>
      </c>
      <c r="L512" s="6" t="s">
        <v>33</v>
      </c>
      <c r="M512" s="6">
        <v>0.18</v>
      </c>
      <c r="N512" s="6">
        <v>0.62</v>
      </c>
      <c r="O512" s="6">
        <v>15678.34</v>
      </c>
      <c r="P512" s="6">
        <v>0</v>
      </c>
      <c r="Q512" s="6">
        <f t="shared" ca="1" si="23"/>
        <v>34</v>
      </c>
      <c r="R512" s="6">
        <f t="shared" si="21"/>
        <v>-1913.3400000000001</v>
      </c>
      <c r="S512" s="7" t="str">
        <f t="shared" si="22"/>
        <v>Loss</v>
      </c>
    </row>
    <row r="513" spans="1:19" x14ac:dyDescent="0.3">
      <c r="A513" s="4" t="s">
        <v>1067</v>
      </c>
      <c r="B513" s="5">
        <v>44237</v>
      </c>
      <c r="C513" s="6" t="s">
        <v>1068</v>
      </c>
      <c r="D513" s="6" t="s">
        <v>18</v>
      </c>
      <c r="E513" s="6">
        <v>12561</v>
      </c>
      <c r="F513" s="6">
        <v>14.5</v>
      </c>
      <c r="G513" s="6">
        <v>60</v>
      </c>
      <c r="H513" s="6" t="s">
        <v>26</v>
      </c>
      <c r="I513" s="6" t="s">
        <v>20</v>
      </c>
      <c r="J513" s="6" t="s">
        <v>28</v>
      </c>
      <c r="K513" s="6">
        <v>49520</v>
      </c>
      <c r="L513" s="6" t="s">
        <v>22</v>
      </c>
      <c r="M513" s="6">
        <v>0.28000000000000003</v>
      </c>
      <c r="N513" s="6">
        <v>0.66</v>
      </c>
      <c r="O513" s="6">
        <v>6147.18</v>
      </c>
      <c r="P513" s="6">
        <v>0</v>
      </c>
      <c r="Q513" s="6">
        <f t="shared" ca="1" si="23"/>
        <v>61</v>
      </c>
      <c r="R513" s="6">
        <f t="shared" si="21"/>
        <v>6413.82</v>
      </c>
      <c r="S513" s="7" t="str">
        <f t="shared" si="22"/>
        <v>Profit</v>
      </c>
    </row>
    <row r="514" spans="1:19" x14ac:dyDescent="0.3">
      <c r="A514" s="4" t="s">
        <v>1069</v>
      </c>
      <c r="B514" s="5">
        <v>44936</v>
      </c>
      <c r="C514" s="6" t="s">
        <v>1070</v>
      </c>
      <c r="D514" s="6" t="s">
        <v>18</v>
      </c>
      <c r="E514" s="6">
        <v>1525</v>
      </c>
      <c r="F514" s="6">
        <v>16.8</v>
      </c>
      <c r="G514" s="6">
        <v>36</v>
      </c>
      <c r="H514" s="6" t="s">
        <v>19</v>
      </c>
      <c r="I514" s="6" t="s">
        <v>57</v>
      </c>
      <c r="J514" s="6" t="s">
        <v>28</v>
      </c>
      <c r="K514" s="6">
        <v>115238</v>
      </c>
      <c r="L514" s="6" t="s">
        <v>29</v>
      </c>
      <c r="M514" s="6">
        <v>0.4</v>
      </c>
      <c r="N514" s="6">
        <v>0.86</v>
      </c>
      <c r="O514" s="6">
        <v>1781.2</v>
      </c>
      <c r="P514" s="6">
        <v>0</v>
      </c>
      <c r="Q514" s="6">
        <f t="shared" ca="1" si="23"/>
        <v>38</v>
      </c>
      <c r="R514" s="6">
        <f t="shared" ref="R514:R577" si="24">E514-O514</f>
        <v>-256.20000000000005</v>
      </c>
      <c r="S514" s="7" t="str">
        <f t="shared" ref="S514:S577" si="25">IF(R514&gt;=0, "Profit","Loss")</f>
        <v>Loss</v>
      </c>
    </row>
    <row r="515" spans="1:19" x14ac:dyDescent="0.3">
      <c r="A515" s="4" t="s">
        <v>1071</v>
      </c>
      <c r="B515" s="5">
        <v>44698</v>
      </c>
      <c r="C515" s="6" t="s">
        <v>1072</v>
      </c>
      <c r="D515" s="6" t="s">
        <v>56</v>
      </c>
      <c r="E515" s="6">
        <v>23861</v>
      </c>
      <c r="F515" s="6">
        <v>15.7</v>
      </c>
      <c r="G515" s="6">
        <v>36</v>
      </c>
      <c r="H515" s="6" t="s">
        <v>19</v>
      </c>
      <c r="I515" s="6" t="s">
        <v>83</v>
      </c>
      <c r="J515" s="6" t="s">
        <v>32</v>
      </c>
      <c r="K515" s="6">
        <v>81934</v>
      </c>
      <c r="L515" s="6" t="s">
        <v>33</v>
      </c>
      <c r="M515" s="6">
        <v>0.46</v>
      </c>
      <c r="N515" s="6">
        <v>0.78</v>
      </c>
      <c r="O515" s="6">
        <v>27607.18</v>
      </c>
      <c r="P515" s="6">
        <v>0</v>
      </c>
      <c r="Q515" s="6">
        <f t="shared" ref="Q515:Q578" ca="1" si="26">DATEDIF(B515,TODAY(),"M")</f>
        <v>46</v>
      </c>
      <c r="R515" s="6">
        <f t="shared" si="24"/>
        <v>-3746.1800000000003</v>
      </c>
      <c r="S515" s="7" t="str">
        <f t="shared" si="25"/>
        <v>Loss</v>
      </c>
    </row>
    <row r="516" spans="1:19" x14ac:dyDescent="0.3">
      <c r="A516" s="4" t="s">
        <v>1073</v>
      </c>
      <c r="B516" s="5">
        <v>45155</v>
      </c>
      <c r="C516" s="6" t="s">
        <v>1074</v>
      </c>
      <c r="D516" s="6" t="s">
        <v>75</v>
      </c>
      <c r="E516" s="6">
        <v>34142</v>
      </c>
      <c r="F516" s="6">
        <v>22.1</v>
      </c>
      <c r="G516" s="6">
        <v>60</v>
      </c>
      <c r="H516" s="6" t="s">
        <v>19</v>
      </c>
      <c r="I516" s="6" t="s">
        <v>20</v>
      </c>
      <c r="J516" s="6" t="s">
        <v>47</v>
      </c>
      <c r="K516" s="6">
        <v>55566</v>
      </c>
      <c r="L516" s="6" t="s">
        <v>22</v>
      </c>
      <c r="M516" s="6">
        <v>0.43</v>
      </c>
      <c r="N516" s="6">
        <v>0.92</v>
      </c>
      <c r="O516" s="6">
        <v>41687.379999999997</v>
      </c>
      <c r="P516" s="6">
        <v>0</v>
      </c>
      <c r="Q516" s="6">
        <f t="shared" ca="1" si="26"/>
        <v>31</v>
      </c>
      <c r="R516" s="6">
        <f t="shared" si="24"/>
        <v>-7545.3799999999974</v>
      </c>
      <c r="S516" s="7" t="str">
        <f t="shared" si="25"/>
        <v>Loss</v>
      </c>
    </row>
    <row r="517" spans="1:19" x14ac:dyDescent="0.3">
      <c r="A517" s="4" t="s">
        <v>1075</v>
      </c>
      <c r="B517" s="5">
        <v>45125</v>
      </c>
      <c r="C517" s="6" t="s">
        <v>1076</v>
      </c>
      <c r="D517" s="6" t="s">
        <v>25</v>
      </c>
      <c r="E517" s="6">
        <v>27916</v>
      </c>
      <c r="F517" s="6">
        <v>6</v>
      </c>
      <c r="G517" s="6">
        <v>60</v>
      </c>
      <c r="H517" s="6" t="s">
        <v>26</v>
      </c>
      <c r="I517" s="6" t="s">
        <v>72</v>
      </c>
      <c r="J517" s="6" t="s">
        <v>37</v>
      </c>
      <c r="K517" s="6">
        <v>103193</v>
      </c>
      <c r="L517" s="6" t="s">
        <v>22</v>
      </c>
      <c r="M517" s="6">
        <v>0.18</v>
      </c>
      <c r="N517" s="6">
        <v>0.81</v>
      </c>
      <c r="O517" s="6">
        <v>4929.04</v>
      </c>
      <c r="P517" s="6">
        <v>0</v>
      </c>
      <c r="Q517" s="6">
        <f t="shared" ca="1" si="26"/>
        <v>32</v>
      </c>
      <c r="R517" s="6">
        <f t="shared" si="24"/>
        <v>22986.959999999999</v>
      </c>
      <c r="S517" s="7" t="str">
        <f t="shared" si="25"/>
        <v>Profit</v>
      </c>
    </row>
    <row r="518" spans="1:19" x14ac:dyDescent="0.3">
      <c r="A518" s="4" t="s">
        <v>1077</v>
      </c>
      <c r="B518" s="5">
        <v>44657</v>
      </c>
      <c r="C518" s="6" t="s">
        <v>1078</v>
      </c>
      <c r="D518" s="6" t="s">
        <v>71</v>
      </c>
      <c r="E518" s="6">
        <v>5648</v>
      </c>
      <c r="F518" s="6">
        <v>21.7</v>
      </c>
      <c r="G518" s="6">
        <v>60</v>
      </c>
      <c r="H518" s="6" t="s">
        <v>80</v>
      </c>
      <c r="I518" s="6" t="s">
        <v>72</v>
      </c>
      <c r="J518" s="6" t="s">
        <v>21</v>
      </c>
      <c r="K518" s="6">
        <v>133224</v>
      </c>
      <c r="L518" s="6" t="s">
        <v>29</v>
      </c>
      <c r="M518" s="6">
        <v>0.28000000000000003</v>
      </c>
      <c r="N518" s="6">
        <v>0.76</v>
      </c>
      <c r="O518" s="6">
        <v>2180.3000000000002</v>
      </c>
      <c r="P518" s="6">
        <v>1908.91</v>
      </c>
      <c r="Q518" s="6">
        <f t="shared" ca="1" si="26"/>
        <v>47</v>
      </c>
      <c r="R518" s="6">
        <f t="shared" si="24"/>
        <v>3467.7</v>
      </c>
      <c r="S518" s="7" t="str">
        <f t="shared" si="25"/>
        <v>Profit</v>
      </c>
    </row>
    <row r="519" spans="1:19" x14ac:dyDescent="0.3">
      <c r="A519" s="4" t="s">
        <v>1079</v>
      </c>
      <c r="B519" s="5">
        <v>44928</v>
      </c>
      <c r="C519" s="6" t="s">
        <v>1080</v>
      </c>
      <c r="D519" s="6" t="s">
        <v>46</v>
      </c>
      <c r="E519" s="6">
        <v>36133</v>
      </c>
      <c r="F519" s="6">
        <v>21.9</v>
      </c>
      <c r="G519" s="6">
        <v>36</v>
      </c>
      <c r="H519" s="6" t="s">
        <v>26</v>
      </c>
      <c r="I519" s="6" t="s">
        <v>72</v>
      </c>
      <c r="J519" s="6" t="s">
        <v>28</v>
      </c>
      <c r="K519" s="6">
        <v>60134</v>
      </c>
      <c r="L519" s="6" t="s">
        <v>29</v>
      </c>
      <c r="M519" s="6">
        <v>0.18</v>
      </c>
      <c r="N519" s="6">
        <v>0.77</v>
      </c>
      <c r="O519" s="6">
        <v>2677.28</v>
      </c>
      <c r="P519" s="6">
        <v>0</v>
      </c>
      <c r="Q519" s="6">
        <f t="shared" ca="1" si="26"/>
        <v>38</v>
      </c>
      <c r="R519" s="6">
        <f t="shared" si="24"/>
        <v>33455.72</v>
      </c>
      <c r="S519" s="7" t="str">
        <f t="shared" si="25"/>
        <v>Profit</v>
      </c>
    </row>
    <row r="520" spans="1:19" x14ac:dyDescent="0.3">
      <c r="A520" s="4" t="s">
        <v>1081</v>
      </c>
      <c r="B520" s="5">
        <v>44948</v>
      </c>
      <c r="C520" s="6" t="s">
        <v>1082</v>
      </c>
      <c r="D520" s="6" t="s">
        <v>75</v>
      </c>
      <c r="E520" s="6">
        <v>31523</v>
      </c>
      <c r="F520" s="6">
        <v>10.7</v>
      </c>
      <c r="G520" s="6">
        <v>60</v>
      </c>
      <c r="H520" s="6" t="s">
        <v>19</v>
      </c>
      <c r="I520" s="6" t="s">
        <v>72</v>
      </c>
      <c r="J520" s="6" t="s">
        <v>37</v>
      </c>
      <c r="K520" s="6">
        <v>40345</v>
      </c>
      <c r="L520" s="6" t="s">
        <v>29</v>
      </c>
      <c r="M520" s="6">
        <v>0.21</v>
      </c>
      <c r="N520" s="6">
        <v>0.92</v>
      </c>
      <c r="O520" s="6">
        <v>34895.96</v>
      </c>
      <c r="P520" s="6">
        <v>0</v>
      </c>
      <c r="Q520" s="6">
        <f t="shared" ca="1" si="26"/>
        <v>37</v>
      </c>
      <c r="R520" s="6">
        <f t="shared" si="24"/>
        <v>-3372.9599999999991</v>
      </c>
      <c r="S520" s="7" t="str">
        <f t="shared" si="25"/>
        <v>Loss</v>
      </c>
    </row>
    <row r="521" spans="1:19" x14ac:dyDescent="0.3">
      <c r="A521" s="4" t="s">
        <v>1083</v>
      </c>
      <c r="B521" s="5">
        <v>45121</v>
      </c>
      <c r="C521" s="6" t="s">
        <v>1084</v>
      </c>
      <c r="D521" s="6" t="s">
        <v>50</v>
      </c>
      <c r="E521" s="6">
        <v>30052</v>
      </c>
      <c r="F521" s="6">
        <v>14.3</v>
      </c>
      <c r="G521" s="6">
        <v>36</v>
      </c>
      <c r="H521" s="6" t="s">
        <v>26</v>
      </c>
      <c r="I521" s="6" t="s">
        <v>83</v>
      </c>
      <c r="J521" s="6" t="s">
        <v>28</v>
      </c>
      <c r="K521" s="6">
        <v>71185</v>
      </c>
      <c r="L521" s="6" t="s">
        <v>29</v>
      </c>
      <c r="M521" s="6">
        <v>0.3</v>
      </c>
      <c r="N521" s="6">
        <v>0.85</v>
      </c>
      <c r="O521" s="6">
        <v>11094.37</v>
      </c>
      <c r="P521" s="6">
        <v>0</v>
      </c>
      <c r="Q521" s="6">
        <f t="shared" ca="1" si="26"/>
        <v>32</v>
      </c>
      <c r="R521" s="6">
        <f t="shared" si="24"/>
        <v>18957.629999999997</v>
      </c>
      <c r="S521" s="7" t="str">
        <f t="shared" si="25"/>
        <v>Profit</v>
      </c>
    </row>
    <row r="522" spans="1:19" x14ac:dyDescent="0.3">
      <c r="A522" s="4" t="s">
        <v>1085</v>
      </c>
      <c r="B522" s="5">
        <v>45105</v>
      </c>
      <c r="C522" s="6" t="s">
        <v>1086</v>
      </c>
      <c r="D522" s="6" t="s">
        <v>18</v>
      </c>
      <c r="E522" s="6">
        <v>35414</v>
      </c>
      <c r="F522" s="6">
        <v>13.8</v>
      </c>
      <c r="G522" s="6">
        <v>60</v>
      </c>
      <c r="H522" s="6" t="s">
        <v>19</v>
      </c>
      <c r="I522" s="6" t="s">
        <v>20</v>
      </c>
      <c r="J522" s="6" t="s">
        <v>47</v>
      </c>
      <c r="K522" s="6">
        <v>145464</v>
      </c>
      <c r="L522" s="6" t="s">
        <v>33</v>
      </c>
      <c r="M522" s="6">
        <v>0.13</v>
      </c>
      <c r="N522" s="6">
        <v>0.51</v>
      </c>
      <c r="O522" s="6">
        <v>40301.129999999997</v>
      </c>
      <c r="P522" s="6">
        <v>0</v>
      </c>
      <c r="Q522" s="6">
        <f t="shared" ca="1" si="26"/>
        <v>32</v>
      </c>
      <c r="R522" s="6">
        <f t="shared" si="24"/>
        <v>-4887.1299999999974</v>
      </c>
      <c r="S522" s="7" t="str">
        <f t="shared" si="25"/>
        <v>Loss</v>
      </c>
    </row>
    <row r="523" spans="1:19" x14ac:dyDescent="0.3">
      <c r="A523" s="4" t="s">
        <v>1087</v>
      </c>
      <c r="B523" s="5">
        <v>44586</v>
      </c>
      <c r="C523" s="6" t="s">
        <v>1088</v>
      </c>
      <c r="D523" s="6" t="s">
        <v>25</v>
      </c>
      <c r="E523" s="6">
        <v>33781</v>
      </c>
      <c r="F523" s="6">
        <v>9.4</v>
      </c>
      <c r="G523" s="6">
        <v>60</v>
      </c>
      <c r="H523" s="6" t="s">
        <v>80</v>
      </c>
      <c r="I523" s="6" t="s">
        <v>57</v>
      </c>
      <c r="J523" s="6" t="s">
        <v>37</v>
      </c>
      <c r="K523" s="6">
        <v>122949</v>
      </c>
      <c r="L523" s="6" t="s">
        <v>33</v>
      </c>
      <c r="M523" s="6">
        <v>0.19</v>
      </c>
      <c r="N523" s="6">
        <v>0.74</v>
      </c>
      <c r="O523" s="6">
        <v>8770.67</v>
      </c>
      <c r="P523" s="6">
        <v>14712.11</v>
      </c>
      <c r="Q523" s="6">
        <f t="shared" ca="1" si="26"/>
        <v>49</v>
      </c>
      <c r="R523" s="6">
        <f t="shared" si="24"/>
        <v>25010.33</v>
      </c>
      <c r="S523" s="7" t="str">
        <f t="shared" si="25"/>
        <v>Profit</v>
      </c>
    </row>
    <row r="524" spans="1:19" x14ac:dyDescent="0.3">
      <c r="A524" s="4" t="s">
        <v>1089</v>
      </c>
      <c r="B524" s="5">
        <v>45079</v>
      </c>
      <c r="C524" s="6" t="s">
        <v>1090</v>
      </c>
      <c r="D524" s="6" t="s">
        <v>56</v>
      </c>
      <c r="E524" s="6">
        <v>5599</v>
      </c>
      <c r="F524" s="6">
        <v>12.9</v>
      </c>
      <c r="G524" s="6">
        <v>60</v>
      </c>
      <c r="H524" s="6" t="s">
        <v>19</v>
      </c>
      <c r="I524" s="6" t="s">
        <v>72</v>
      </c>
      <c r="J524" s="6" t="s">
        <v>21</v>
      </c>
      <c r="K524" s="6">
        <v>100744</v>
      </c>
      <c r="L524" s="6" t="s">
        <v>29</v>
      </c>
      <c r="M524" s="6">
        <v>0.47</v>
      </c>
      <c r="N524" s="6">
        <v>0.81</v>
      </c>
      <c r="O524" s="6">
        <v>6321.27</v>
      </c>
      <c r="P524" s="6">
        <v>0</v>
      </c>
      <c r="Q524" s="6">
        <f t="shared" ca="1" si="26"/>
        <v>33</v>
      </c>
      <c r="R524" s="6">
        <f t="shared" si="24"/>
        <v>-722.27000000000044</v>
      </c>
      <c r="S524" s="7" t="str">
        <f t="shared" si="25"/>
        <v>Loss</v>
      </c>
    </row>
    <row r="525" spans="1:19" x14ac:dyDescent="0.3">
      <c r="A525" s="4" t="s">
        <v>1091</v>
      </c>
      <c r="B525" s="5">
        <v>44452</v>
      </c>
      <c r="C525" s="6" t="s">
        <v>1092</v>
      </c>
      <c r="D525" s="6" t="s">
        <v>40</v>
      </c>
      <c r="E525" s="6">
        <v>36046</v>
      </c>
      <c r="F525" s="6">
        <v>5.9</v>
      </c>
      <c r="G525" s="6">
        <v>36</v>
      </c>
      <c r="H525" s="6" t="s">
        <v>2045</v>
      </c>
      <c r="I525" s="6" t="s">
        <v>27</v>
      </c>
      <c r="J525" s="6" t="s">
        <v>28</v>
      </c>
      <c r="K525" s="6">
        <v>63455</v>
      </c>
      <c r="L525" s="6" t="s">
        <v>22</v>
      </c>
      <c r="M525" s="6">
        <v>0.28999999999999998</v>
      </c>
      <c r="N525" s="6">
        <v>0.84</v>
      </c>
      <c r="O525" s="6">
        <v>0</v>
      </c>
      <c r="P525" s="6">
        <v>0</v>
      </c>
      <c r="Q525" s="6">
        <f t="shared" ca="1" si="26"/>
        <v>54</v>
      </c>
      <c r="R525" s="6">
        <f t="shared" si="24"/>
        <v>36046</v>
      </c>
      <c r="S525" s="7" t="str">
        <f t="shared" si="25"/>
        <v>Profit</v>
      </c>
    </row>
    <row r="526" spans="1:19" x14ac:dyDescent="0.3">
      <c r="A526" s="4" t="s">
        <v>1093</v>
      </c>
      <c r="B526" s="5">
        <v>44905</v>
      </c>
      <c r="C526" s="6" t="s">
        <v>1094</v>
      </c>
      <c r="D526" s="6" t="s">
        <v>46</v>
      </c>
      <c r="E526" s="6">
        <v>36923</v>
      </c>
      <c r="F526" s="6">
        <v>10.6</v>
      </c>
      <c r="G526" s="6">
        <v>60</v>
      </c>
      <c r="H526" s="6" t="s">
        <v>26</v>
      </c>
      <c r="I526" s="6" t="s">
        <v>57</v>
      </c>
      <c r="J526" s="6" t="s">
        <v>47</v>
      </c>
      <c r="K526" s="6">
        <v>145217</v>
      </c>
      <c r="L526" s="6" t="s">
        <v>29</v>
      </c>
      <c r="M526" s="6">
        <v>0.28000000000000003</v>
      </c>
      <c r="N526" s="6">
        <v>0.6</v>
      </c>
      <c r="O526" s="6">
        <v>9786.24</v>
      </c>
      <c r="P526" s="6">
        <v>0</v>
      </c>
      <c r="Q526" s="6">
        <f t="shared" ca="1" si="26"/>
        <v>39</v>
      </c>
      <c r="R526" s="6">
        <f t="shared" si="24"/>
        <v>27136.760000000002</v>
      </c>
      <c r="S526" s="7" t="str">
        <f t="shared" si="25"/>
        <v>Profit</v>
      </c>
    </row>
    <row r="527" spans="1:19" x14ac:dyDescent="0.3">
      <c r="A527" s="4" t="s">
        <v>1095</v>
      </c>
      <c r="B527" s="5">
        <v>44646</v>
      </c>
      <c r="C527" s="6" t="s">
        <v>1096</v>
      </c>
      <c r="D527" s="6" t="s">
        <v>46</v>
      </c>
      <c r="E527" s="6">
        <v>4814</v>
      </c>
      <c r="F527" s="6">
        <v>21.3</v>
      </c>
      <c r="G527" s="6">
        <v>60</v>
      </c>
      <c r="H527" s="6" t="s">
        <v>26</v>
      </c>
      <c r="I527" s="6" t="s">
        <v>83</v>
      </c>
      <c r="J527" s="6" t="s">
        <v>37</v>
      </c>
      <c r="K527" s="6">
        <v>58018</v>
      </c>
      <c r="L527" s="6" t="s">
        <v>22</v>
      </c>
      <c r="M527" s="6">
        <v>0.11</v>
      </c>
      <c r="N527" s="6">
        <v>0.89</v>
      </c>
      <c r="O527" s="6">
        <v>724.86</v>
      </c>
      <c r="P527" s="6">
        <v>0</v>
      </c>
      <c r="Q527" s="6">
        <f t="shared" ca="1" si="26"/>
        <v>47</v>
      </c>
      <c r="R527" s="6">
        <f t="shared" si="24"/>
        <v>4089.14</v>
      </c>
      <c r="S527" s="7" t="str">
        <f t="shared" si="25"/>
        <v>Profit</v>
      </c>
    </row>
    <row r="528" spans="1:19" x14ac:dyDescent="0.3">
      <c r="A528" s="4" t="s">
        <v>1097</v>
      </c>
      <c r="B528" s="5">
        <v>44206</v>
      </c>
      <c r="C528" s="6" t="s">
        <v>1098</v>
      </c>
      <c r="D528" s="6" t="s">
        <v>71</v>
      </c>
      <c r="E528" s="6">
        <v>36984</v>
      </c>
      <c r="F528" s="6">
        <v>10.7</v>
      </c>
      <c r="G528" s="6">
        <v>36</v>
      </c>
      <c r="H528" s="6" t="s">
        <v>26</v>
      </c>
      <c r="I528" s="6" t="s">
        <v>57</v>
      </c>
      <c r="J528" s="6" t="s">
        <v>28</v>
      </c>
      <c r="K528" s="6">
        <v>84219</v>
      </c>
      <c r="L528" s="6" t="s">
        <v>22</v>
      </c>
      <c r="M528" s="6">
        <v>0.2</v>
      </c>
      <c r="N528" s="6">
        <v>0.93</v>
      </c>
      <c r="O528" s="6">
        <v>13592.29</v>
      </c>
      <c r="P528" s="6">
        <v>0</v>
      </c>
      <c r="Q528" s="6">
        <f t="shared" ca="1" si="26"/>
        <v>62</v>
      </c>
      <c r="R528" s="6">
        <f t="shared" si="24"/>
        <v>23391.71</v>
      </c>
      <c r="S528" s="7" t="str">
        <f t="shared" si="25"/>
        <v>Profit</v>
      </c>
    </row>
    <row r="529" spans="1:19" x14ac:dyDescent="0.3">
      <c r="A529" s="4" t="s">
        <v>1099</v>
      </c>
      <c r="B529" s="5">
        <v>45020</v>
      </c>
      <c r="C529" s="6" t="s">
        <v>1100</v>
      </c>
      <c r="D529" s="6" t="s">
        <v>40</v>
      </c>
      <c r="E529" s="6">
        <v>27616</v>
      </c>
      <c r="F529" s="6">
        <v>21.4</v>
      </c>
      <c r="G529" s="6">
        <v>36</v>
      </c>
      <c r="H529" s="6" t="s">
        <v>19</v>
      </c>
      <c r="I529" s="6" t="s">
        <v>57</v>
      </c>
      <c r="J529" s="6" t="s">
        <v>28</v>
      </c>
      <c r="K529" s="6">
        <v>75991</v>
      </c>
      <c r="L529" s="6" t="s">
        <v>22</v>
      </c>
      <c r="M529" s="6">
        <v>0.45</v>
      </c>
      <c r="N529" s="6">
        <v>0.61</v>
      </c>
      <c r="O529" s="6">
        <v>33525.82</v>
      </c>
      <c r="P529" s="6">
        <v>0</v>
      </c>
      <c r="Q529" s="6">
        <f t="shared" ca="1" si="26"/>
        <v>35</v>
      </c>
      <c r="R529" s="6">
        <f t="shared" si="24"/>
        <v>-5909.82</v>
      </c>
      <c r="S529" s="7" t="str">
        <f t="shared" si="25"/>
        <v>Loss</v>
      </c>
    </row>
    <row r="530" spans="1:19" x14ac:dyDescent="0.3">
      <c r="A530" s="4" t="s">
        <v>1101</v>
      </c>
      <c r="B530" s="5">
        <v>44994</v>
      </c>
      <c r="C530" s="6" t="s">
        <v>1102</v>
      </c>
      <c r="D530" s="6" t="s">
        <v>53</v>
      </c>
      <c r="E530" s="6">
        <v>3113</v>
      </c>
      <c r="F530" s="6">
        <v>15.6</v>
      </c>
      <c r="G530" s="6">
        <v>60</v>
      </c>
      <c r="H530" s="6" t="s">
        <v>26</v>
      </c>
      <c r="I530" s="6" t="s">
        <v>20</v>
      </c>
      <c r="J530" s="6" t="s">
        <v>21</v>
      </c>
      <c r="K530" s="6">
        <v>103616</v>
      </c>
      <c r="L530" s="6" t="s">
        <v>33</v>
      </c>
      <c r="M530" s="6">
        <v>0.17</v>
      </c>
      <c r="N530" s="6">
        <v>0.9</v>
      </c>
      <c r="O530" s="6">
        <v>422.95</v>
      </c>
      <c r="P530" s="6">
        <v>0</v>
      </c>
      <c r="Q530" s="6">
        <f t="shared" ca="1" si="26"/>
        <v>36</v>
      </c>
      <c r="R530" s="6">
        <f t="shared" si="24"/>
        <v>2690.05</v>
      </c>
      <c r="S530" s="7" t="str">
        <f t="shared" si="25"/>
        <v>Profit</v>
      </c>
    </row>
    <row r="531" spans="1:19" x14ac:dyDescent="0.3">
      <c r="A531" s="4" t="s">
        <v>1103</v>
      </c>
      <c r="B531" s="5">
        <v>45073</v>
      </c>
      <c r="C531" s="6" t="s">
        <v>1104</v>
      </c>
      <c r="D531" s="6" t="s">
        <v>40</v>
      </c>
      <c r="E531" s="6">
        <v>14760</v>
      </c>
      <c r="F531" s="6">
        <v>22.6</v>
      </c>
      <c r="G531" s="6">
        <v>60</v>
      </c>
      <c r="H531" s="6" t="s">
        <v>19</v>
      </c>
      <c r="I531" s="6" t="s">
        <v>72</v>
      </c>
      <c r="J531" s="6" t="s">
        <v>47</v>
      </c>
      <c r="K531" s="6">
        <v>117438</v>
      </c>
      <c r="L531" s="6" t="s">
        <v>22</v>
      </c>
      <c r="M531" s="6">
        <v>0.27</v>
      </c>
      <c r="N531" s="6">
        <v>0.54</v>
      </c>
      <c r="O531" s="6">
        <v>18095.759999999998</v>
      </c>
      <c r="P531" s="6">
        <v>0</v>
      </c>
      <c r="Q531" s="6">
        <f t="shared" ca="1" si="26"/>
        <v>33</v>
      </c>
      <c r="R531" s="6">
        <f t="shared" si="24"/>
        <v>-3335.7599999999984</v>
      </c>
      <c r="S531" s="7" t="str">
        <f t="shared" si="25"/>
        <v>Loss</v>
      </c>
    </row>
    <row r="532" spans="1:19" x14ac:dyDescent="0.3">
      <c r="A532" s="4" t="s">
        <v>1105</v>
      </c>
      <c r="B532" s="5">
        <v>45225</v>
      </c>
      <c r="C532" s="6" t="s">
        <v>1106</v>
      </c>
      <c r="D532" s="6" t="s">
        <v>18</v>
      </c>
      <c r="E532" s="6">
        <v>22927</v>
      </c>
      <c r="F532" s="6">
        <v>16.5</v>
      </c>
      <c r="G532" s="6">
        <v>60</v>
      </c>
      <c r="H532" s="6" t="s">
        <v>26</v>
      </c>
      <c r="I532" s="6" t="s">
        <v>27</v>
      </c>
      <c r="J532" s="6" t="s">
        <v>32</v>
      </c>
      <c r="K532" s="6">
        <v>146841</v>
      </c>
      <c r="L532" s="6" t="s">
        <v>22</v>
      </c>
      <c r="M532" s="6">
        <v>0.11</v>
      </c>
      <c r="N532" s="6">
        <v>0.53</v>
      </c>
      <c r="O532" s="6">
        <v>6850.1</v>
      </c>
      <c r="P532" s="6">
        <v>0</v>
      </c>
      <c r="Q532" s="6">
        <f t="shared" ca="1" si="26"/>
        <v>28</v>
      </c>
      <c r="R532" s="6">
        <f t="shared" si="24"/>
        <v>16076.9</v>
      </c>
      <c r="S532" s="7" t="str">
        <f t="shared" si="25"/>
        <v>Profit</v>
      </c>
    </row>
    <row r="533" spans="1:19" x14ac:dyDescent="0.3">
      <c r="A533" s="4" t="s">
        <v>1107</v>
      </c>
      <c r="B533" s="5">
        <v>45212</v>
      </c>
      <c r="C533" s="6" t="s">
        <v>1108</v>
      </c>
      <c r="D533" s="6" t="s">
        <v>18</v>
      </c>
      <c r="E533" s="6">
        <v>21939</v>
      </c>
      <c r="F533" s="6">
        <v>5.6</v>
      </c>
      <c r="G533" s="6">
        <v>36</v>
      </c>
      <c r="H533" s="6" t="s">
        <v>26</v>
      </c>
      <c r="I533" s="6" t="s">
        <v>20</v>
      </c>
      <c r="J533" s="6" t="s">
        <v>28</v>
      </c>
      <c r="K533" s="6">
        <v>39486</v>
      </c>
      <c r="L533" s="6" t="s">
        <v>33</v>
      </c>
      <c r="M533" s="6">
        <v>0.28999999999999998</v>
      </c>
      <c r="N533" s="6">
        <v>0.56000000000000005</v>
      </c>
      <c r="O533" s="6">
        <v>3597.13</v>
      </c>
      <c r="P533" s="6">
        <v>0</v>
      </c>
      <c r="Q533" s="6">
        <f t="shared" ca="1" si="26"/>
        <v>29</v>
      </c>
      <c r="R533" s="6">
        <f t="shared" si="24"/>
        <v>18341.87</v>
      </c>
      <c r="S533" s="7" t="str">
        <f t="shared" si="25"/>
        <v>Profit</v>
      </c>
    </row>
    <row r="534" spans="1:19" x14ac:dyDescent="0.3">
      <c r="A534" s="4" t="s">
        <v>1109</v>
      </c>
      <c r="B534" s="5">
        <v>44570</v>
      </c>
      <c r="C534" s="6" t="s">
        <v>1110</v>
      </c>
      <c r="D534" s="6" t="s">
        <v>18</v>
      </c>
      <c r="E534" s="6">
        <v>33419</v>
      </c>
      <c r="F534" s="6">
        <v>18.5</v>
      </c>
      <c r="G534" s="6">
        <v>36</v>
      </c>
      <c r="H534" s="6" t="s">
        <v>80</v>
      </c>
      <c r="I534" s="6" t="s">
        <v>57</v>
      </c>
      <c r="J534" s="6" t="s">
        <v>37</v>
      </c>
      <c r="K534" s="6">
        <v>68862</v>
      </c>
      <c r="L534" s="6" t="s">
        <v>22</v>
      </c>
      <c r="M534" s="6">
        <v>0.11</v>
      </c>
      <c r="N534" s="6">
        <v>0.53</v>
      </c>
      <c r="O534" s="6">
        <v>12922.67</v>
      </c>
      <c r="P534" s="6">
        <v>11291.82</v>
      </c>
      <c r="Q534" s="6">
        <f t="shared" ca="1" si="26"/>
        <v>50</v>
      </c>
      <c r="R534" s="6">
        <f t="shared" si="24"/>
        <v>20496.330000000002</v>
      </c>
      <c r="S534" s="7" t="str">
        <f t="shared" si="25"/>
        <v>Profit</v>
      </c>
    </row>
    <row r="535" spans="1:19" x14ac:dyDescent="0.3">
      <c r="A535" s="4" t="s">
        <v>1111</v>
      </c>
      <c r="B535" s="5">
        <v>45285</v>
      </c>
      <c r="C535" s="6" t="s">
        <v>1112</v>
      </c>
      <c r="D535" s="6" t="s">
        <v>18</v>
      </c>
      <c r="E535" s="6">
        <v>13588</v>
      </c>
      <c r="F535" s="6">
        <v>5.9</v>
      </c>
      <c r="G535" s="6">
        <v>36</v>
      </c>
      <c r="H535" s="6" t="s">
        <v>19</v>
      </c>
      <c r="I535" s="6" t="s">
        <v>83</v>
      </c>
      <c r="J535" s="6" t="s">
        <v>21</v>
      </c>
      <c r="K535" s="6">
        <v>88870</v>
      </c>
      <c r="L535" s="6" t="s">
        <v>22</v>
      </c>
      <c r="M535" s="6">
        <v>0.43</v>
      </c>
      <c r="N535" s="6">
        <v>0.88</v>
      </c>
      <c r="O535" s="6">
        <v>14389.69</v>
      </c>
      <c r="P535" s="6">
        <v>0</v>
      </c>
      <c r="Q535" s="6">
        <f t="shared" ca="1" si="26"/>
        <v>26</v>
      </c>
      <c r="R535" s="6">
        <f t="shared" si="24"/>
        <v>-801.69000000000051</v>
      </c>
      <c r="S535" s="7" t="str">
        <f t="shared" si="25"/>
        <v>Loss</v>
      </c>
    </row>
    <row r="536" spans="1:19" x14ac:dyDescent="0.3">
      <c r="A536" s="4" t="s">
        <v>1113</v>
      </c>
      <c r="B536" s="5">
        <v>44342</v>
      </c>
      <c r="C536" s="6" t="s">
        <v>1114</v>
      </c>
      <c r="D536" s="6" t="s">
        <v>75</v>
      </c>
      <c r="E536" s="6">
        <v>37142</v>
      </c>
      <c r="F536" s="6">
        <v>14</v>
      </c>
      <c r="G536" s="6">
        <v>36</v>
      </c>
      <c r="H536" s="6" t="s">
        <v>19</v>
      </c>
      <c r="I536" s="6" t="s">
        <v>57</v>
      </c>
      <c r="J536" s="6" t="s">
        <v>21</v>
      </c>
      <c r="K536" s="6">
        <v>116694</v>
      </c>
      <c r="L536" s="6" t="s">
        <v>29</v>
      </c>
      <c r="M536" s="6">
        <v>0.43</v>
      </c>
      <c r="N536" s="6">
        <v>0.53</v>
      </c>
      <c r="O536" s="6">
        <v>42341.88</v>
      </c>
      <c r="P536" s="6">
        <v>0</v>
      </c>
      <c r="Q536" s="6">
        <f t="shared" ca="1" si="26"/>
        <v>57</v>
      </c>
      <c r="R536" s="6">
        <f t="shared" si="24"/>
        <v>-5199.8799999999974</v>
      </c>
      <c r="S536" s="7" t="str">
        <f t="shared" si="25"/>
        <v>Loss</v>
      </c>
    </row>
    <row r="537" spans="1:19" x14ac:dyDescent="0.3">
      <c r="A537" s="4" t="s">
        <v>1115</v>
      </c>
      <c r="B537" s="5">
        <v>44420</v>
      </c>
      <c r="C537" s="6" t="s">
        <v>1116</v>
      </c>
      <c r="D537" s="6" t="s">
        <v>46</v>
      </c>
      <c r="E537" s="6">
        <v>34397</v>
      </c>
      <c r="F537" s="6">
        <v>23.6</v>
      </c>
      <c r="G537" s="6">
        <v>60</v>
      </c>
      <c r="H537" s="6" t="s">
        <v>19</v>
      </c>
      <c r="I537" s="6" t="s">
        <v>20</v>
      </c>
      <c r="J537" s="6" t="s">
        <v>28</v>
      </c>
      <c r="K537" s="6">
        <v>135996</v>
      </c>
      <c r="L537" s="6" t="s">
        <v>22</v>
      </c>
      <c r="M537" s="6">
        <v>0.42</v>
      </c>
      <c r="N537" s="6">
        <v>0.62</v>
      </c>
      <c r="O537" s="6">
        <v>42514.69</v>
      </c>
      <c r="P537" s="6">
        <v>0</v>
      </c>
      <c r="Q537" s="6">
        <f t="shared" ca="1" si="26"/>
        <v>55</v>
      </c>
      <c r="R537" s="6">
        <f t="shared" si="24"/>
        <v>-8117.6900000000023</v>
      </c>
      <c r="S537" s="7" t="str">
        <f t="shared" si="25"/>
        <v>Loss</v>
      </c>
    </row>
    <row r="538" spans="1:19" x14ac:dyDescent="0.3">
      <c r="A538" s="4" t="s">
        <v>1117</v>
      </c>
      <c r="B538" s="5">
        <v>44373</v>
      </c>
      <c r="C538" s="6" t="s">
        <v>1118</v>
      </c>
      <c r="D538" s="6" t="s">
        <v>40</v>
      </c>
      <c r="E538" s="6">
        <v>17653</v>
      </c>
      <c r="F538" s="6">
        <v>8.3000000000000007</v>
      </c>
      <c r="G538" s="6">
        <v>36</v>
      </c>
      <c r="H538" s="6" t="s">
        <v>26</v>
      </c>
      <c r="I538" s="6" t="s">
        <v>27</v>
      </c>
      <c r="J538" s="6" t="s">
        <v>28</v>
      </c>
      <c r="K538" s="6">
        <v>73856</v>
      </c>
      <c r="L538" s="6" t="s">
        <v>22</v>
      </c>
      <c r="M538" s="6">
        <v>0.21</v>
      </c>
      <c r="N538" s="6">
        <v>0.55000000000000004</v>
      </c>
      <c r="O538" s="6">
        <v>1110.0899999999999</v>
      </c>
      <c r="P538" s="6">
        <v>0</v>
      </c>
      <c r="Q538" s="6">
        <f t="shared" ca="1" si="26"/>
        <v>56</v>
      </c>
      <c r="R538" s="6">
        <f t="shared" si="24"/>
        <v>16542.91</v>
      </c>
      <c r="S538" s="7" t="str">
        <f t="shared" si="25"/>
        <v>Profit</v>
      </c>
    </row>
    <row r="539" spans="1:19" x14ac:dyDescent="0.3">
      <c r="A539" s="4" t="s">
        <v>1119</v>
      </c>
      <c r="B539" s="5">
        <v>45049</v>
      </c>
      <c r="C539" s="6" t="s">
        <v>1120</v>
      </c>
      <c r="D539" s="6" t="s">
        <v>46</v>
      </c>
      <c r="E539" s="6">
        <v>11831</v>
      </c>
      <c r="F539" s="6">
        <v>12.8</v>
      </c>
      <c r="G539" s="6">
        <v>36</v>
      </c>
      <c r="H539" s="6" t="s">
        <v>19</v>
      </c>
      <c r="I539" s="6" t="s">
        <v>20</v>
      </c>
      <c r="J539" s="6" t="s">
        <v>28</v>
      </c>
      <c r="K539" s="6">
        <v>131407</v>
      </c>
      <c r="L539" s="6" t="s">
        <v>22</v>
      </c>
      <c r="M539" s="6">
        <v>0.43</v>
      </c>
      <c r="N539" s="6">
        <v>0.63</v>
      </c>
      <c r="O539" s="6">
        <v>13345.37</v>
      </c>
      <c r="P539" s="6">
        <v>0</v>
      </c>
      <c r="Q539" s="6">
        <f t="shared" ca="1" si="26"/>
        <v>34</v>
      </c>
      <c r="R539" s="6">
        <f t="shared" si="24"/>
        <v>-1514.3700000000008</v>
      </c>
      <c r="S539" s="7" t="str">
        <f t="shared" si="25"/>
        <v>Loss</v>
      </c>
    </row>
    <row r="540" spans="1:19" x14ac:dyDescent="0.3">
      <c r="A540" s="4" t="s">
        <v>1121</v>
      </c>
      <c r="B540" s="5">
        <v>44259</v>
      </c>
      <c r="C540" s="6" t="s">
        <v>1122</v>
      </c>
      <c r="D540" s="6" t="s">
        <v>50</v>
      </c>
      <c r="E540" s="6">
        <v>6724</v>
      </c>
      <c r="F540" s="6">
        <v>19.600000000000001</v>
      </c>
      <c r="G540" s="6">
        <v>36</v>
      </c>
      <c r="H540" s="6" t="s">
        <v>19</v>
      </c>
      <c r="I540" s="6" t="s">
        <v>36</v>
      </c>
      <c r="J540" s="6" t="s">
        <v>32</v>
      </c>
      <c r="K540" s="6">
        <v>130744</v>
      </c>
      <c r="L540" s="6" t="s">
        <v>22</v>
      </c>
      <c r="M540" s="6">
        <v>0.32</v>
      </c>
      <c r="N540" s="6">
        <v>0.54</v>
      </c>
      <c r="O540" s="6">
        <v>8041.9</v>
      </c>
      <c r="P540" s="6">
        <v>0</v>
      </c>
      <c r="Q540" s="6">
        <f t="shared" ca="1" si="26"/>
        <v>60</v>
      </c>
      <c r="R540" s="6">
        <f t="shared" si="24"/>
        <v>-1317.8999999999996</v>
      </c>
      <c r="S540" s="7" t="str">
        <f t="shared" si="25"/>
        <v>Loss</v>
      </c>
    </row>
    <row r="541" spans="1:19" x14ac:dyDescent="0.3">
      <c r="A541" s="4" t="s">
        <v>1123</v>
      </c>
      <c r="B541" s="5">
        <v>45023</v>
      </c>
      <c r="C541" s="6" t="s">
        <v>1124</v>
      </c>
      <c r="D541" s="6" t="s">
        <v>40</v>
      </c>
      <c r="E541" s="6">
        <v>12083</v>
      </c>
      <c r="F541" s="6">
        <v>22.6</v>
      </c>
      <c r="G541" s="6">
        <v>60</v>
      </c>
      <c r="H541" s="6" t="s">
        <v>26</v>
      </c>
      <c r="I541" s="6" t="s">
        <v>20</v>
      </c>
      <c r="J541" s="6" t="s">
        <v>28</v>
      </c>
      <c r="K541" s="6">
        <v>116055</v>
      </c>
      <c r="L541" s="6" t="s">
        <v>22</v>
      </c>
      <c r="M541" s="6">
        <v>0.25</v>
      </c>
      <c r="N541" s="6">
        <v>0.8</v>
      </c>
      <c r="O541" s="6">
        <v>1690.14</v>
      </c>
      <c r="P541" s="6">
        <v>0</v>
      </c>
      <c r="Q541" s="6">
        <f t="shared" ca="1" si="26"/>
        <v>35</v>
      </c>
      <c r="R541" s="6">
        <f t="shared" si="24"/>
        <v>10392.86</v>
      </c>
      <c r="S541" s="7" t="str">
        <f t="shared" si="25"/>
        <v>Profit</v>
      </c>
    </row>
    <row r="542" spans="1:19" x14ac:dyDescent="0.3">
      <c r="A542" s="4" t="s">
        <v>1125</v>
      </c>
      <c r="B542" s="5">
        <v>44991</v>
      </c>
      <c r="C542" s="6" t="s">
        <v>1126</v>
      </c>
      <c r="D542" s="6" t="s">
        <v>75</v>
      </c>
      <c r="E542" s="6">
        <v>20816</v>
      </c>
      <c r="F542" s="6">
        <v>18.399999999999999</v>
      </c>
      <c r="G542" s="6">
        <v>60</v>
      </c>
      <c r="H542" s="6" t="s">
        <v>26</v>
      </c>
      <c r="I542" s="6" t="s">
        <v>27</v>
      </c>
      <c r="J542" s="6" t="s">
        <v>47</v>
      </c>
      <c r="K542" s="6">
        <v>61379</v>
      </c>
      <c r="L542" s="6" t="s">
        <v>33</v>
      </c>
      <c r="M542" s="6">
        <v>0.35</v>
      </c>
      <c r="N542" s="6">
        <v>0.56000000000000005</v>
      </c>
      <c r="O542" s="6">
        <v>3310.57</v>
      </c>
      <c r="P542" s="6">
        <v>0</v>
      </c>
      <c r="Q542" s="6">
        <f t="shared" ca="1" si="26"/>
        <v>36</v>
      </c>
      <c r="R542" s="6">
        <f t="shared" si="24"/>
        <v>17505.43</v>
      </c>
      <c r="S542" s="7" t="str">
        <f t="shared" si="25"/>
        <v>Profit</v>
      </c>
    </row>
    <row r="543" spans="1:19" x14ac:dyDescent="0.3">
      <c r="A543" s="4" t="s">
        <v>1127</v>
      </c>
      <c r="B543" s="5">
        <v>44885</v>
      </c>
      <c r="C543" s="6" t="s">
        <v>1128</v>
      </c>
      <c r="D543" s="6" t="s">
        <v>50</v>
      </c>
      <c r="E543" s="6">
        <v>7276</v>
      </c>
      <c r="F543" s="6">
        <v>10.199999999999999</v>
      </c>
      <c r="G543" s="6">
        <v>36</v>
      </c>
      <c r="H543" s="6" t="s">
        <v>19</v>
      </c>
      <c r="I543" s="6" t="s">
        <v>72</v>
      </c>
      <c r="J543" s="6" t="s">
        <v>37</v>
      </c>
      <c r="K543" s="6">
        <v>94729</v>
      </c>
      <c r="L543" s="6" t="s">
        <v>22</v>
      </c>
      <c r="M543" s="6">
        <v>0.1</v>
      </c>
      <c r="N543" s="6">
        <v>0.88</v>
      </c>
      <c r="O543" s="6">
        <v>8018.15</v>
      </c>
      <c r="P543" s="6">
        <v>0</v>
      </c>
      <c r="Q543" s="6">
        <f t="shared" ca="1" si="26"/>
        <v>40</v>
      </c>
      <c r="R543" s="6">
        <f t="shared" si="24"/>
        <v>-742.14999999999964</v>
      </c>
      <c r="S543" s="7" t="str">
        <f t="shared" si="25"/>
        <v>Loss</v>
      </c>
    </row>
    <row r="544" spans="1:19" x14ac:dyDescent="0.3">
      <c r="A544" s="4" t="s">
        <v>1129</v>
      </c>
      <c r="B544" s="5">
        <v>44301</v>
      </c>
      <c r="C544" s="6" t="s">
        <v>1130</v>
      </c>
      <c r="D544" s="6" t="s">
        <v>46</v>
      </c>
      <c r="E544" s="6">
        <v>39663</v>
      </c>
      <c r="F544" s="6">
        <v>18.5</v>
      </c>
      <c r="G544" s="6">
        <v>36</v>
      </c>
      <c r="H544" s="6" t="s">
        <v>19</v>
      </c>
      <c r="I544" s="6" t="s">
        <v>83</v>
      </c>
      <c r="J544" s="6" t="s">
        <v>28</v>
      </c>
      <c r="K544" s="6">
        <v>58378</v>
      </c>
      <c r="L544" s="6" t="s">
        <v>22</v>
      </c>
      <c r="M544" s="6">
        <v>0.16</v>
      </c>
      <c r="N544" s="6">
        <v>0.87</v>
      </c>
      <c r="O544" s="6">
        <v>47000.66</v>
      </c>
      <c r="P544" s="6">
        <v>0</v>
      </c>
      <c r="Q544" s="6">
        <f t="shared" ca="1" si="26"/>
        <v>59</v>
      </c>
      <c r="R544" s="6">
        <f t="shared" si="24"/>
        <v>-7337.6600000000035</v>
      </c>
      <c r="S544" s="7" t="str">
        <f t="shared" si="25"/>
        <v>Loss</v>
      </c>
    </row>
    <row r="545" spans="1:19" x14ac:dyDescent="0.3">
      <c r="A545" s="4" t="s">
        <v>1131</v>
      </c>
      <c r="B545" s="5">
        <v>44707</v>
      </c>
      <c r="C545" s="6" t="s">
        <v>1132</v>
      </c>
      <c r="D545" s="6" t="s">
        <v>50</v>
      </c>
      <c r="E545" s="6">
        <v>14994</v>
      </c>
      <c r="F545" s="6">
        <v>10.9</v>
      </c>
      <c r="G545" s="6">
        <v>60</v>
      </c>
      <c r="H545" s="6" t="s">
        <v>26</v>
      </c>
      <c r="I545" s="6" t="s">
        <v>20</v>
      </c>
      <c r="J545" s="6" t="s">
        <v>32</v>
      </c>
      <c r="K545" s="6">
        <v>135428</v>
      </c>
      <c r="L545" s="6" t="s">
        <v>33</v>
      </c>
      <c r="M545" s="6">
        <v>0.4</v>
      </c>
      <c r="N545" s="6">
        <v>0.51</v>
      </c>
      <c r="O545" s="6">
        <v>3543.54</v>
      </c>
      <c r="P545" s="6">
        <v>0</v>
      </c>
      <c r="Q545" s="6">
        <f t="shared" ca="1" si="26"/>
        <v>45</v>
      </c>
      <c r="R545" s="6">
        <f t="shared" si="24"/>
        <v>11450.46</v>
      </c>
      <c r="S545" s="7" t="str">
        <f t="shared" si="25"/>
        <v>Profit</v>
      </c>
    </row>
    <row r="546" spans="1:19" x14ac:dyDescent="0.3">
      <c r="A546" s="4" t="s">
        <v>1133</v>
      </c>
      <c r="B546" s="5">
        <v>44581</v>
      </c>
      <c r="C546" s="6" t="s">
        <v>1134</v>
      </c>
      <c r="D546" s="6" t="s">
        <v>71</v>
      </c>
      <c r="E546" s="6">
        <v>24499</v>
      </c>
      <c r="F546" s="6">
        <v>19.399999999999999</v>
      </c>
      <c r="G546" s="6">
        <v>60</v>
      </c>
      <c r="H546" s="6" t="s">
        <v>19</v>
      </c>
      <c r="I546" s="6" t="s">
        <v>27</v>
      </c>
      <c r="J546" s="6" t="s">
        <v>37</v>
      </c>
      <c r="K546" s="6">
        <v>84353</v>
      </c>
      <c r="L546" s="6" t="s">
        <v>33</v>
      </c>
      <c r="M546" s="6">
        <v>0.2</v>
      </c>
      <c r="N546" s="6">
        <v>0.9</v>
      </c>
      <c r="O546" s="6">
        <v>29251.81</v>
      </c>
      <c r="P546" s="6">
        <v>0</v>
      </c>
      <c r="Q546" s="6">
        <f t="shared" ca="1" si="26"/>
        <v>50</v>
      </c>
      <c r="R546" s="6">
        <f t="shared" si="24"/>
        <v>-4752.8100000000013</v>
      </c>
      <c r="S546" s="7" t="str">
        <f t="shared" si="25"/>
        <v>Loss</v>
      </c>
    </row>
    <row r="547" spans="1:19" x14ac:dyDescent="0.3">
      <c r="A547" s="4" t="s">
        <v>1135</v>
      </c>
      <c r="B547" s="5">
        <v>44601</v>
      </c>
      <c r="C547" s="6" t="s">
        <v>1136</v>
      </c>
      <c r="D547" s="6" t="s">
        <v>50</v>
      </c>
      <c r="E547" s="6">
        <v>24040</v>
      </c>
      <c r="F547" s="6">
        <v>24.1</v>
      </c>
      <c r="G547" s="6">
        <v>60</v>
      </c>
      <c r="H547" s="6" t="s">
        <v>26</v>
      </c>
      <c r="I547" s="6" t="s">
        <v>72</v>
      </c>
      <c r="J547" s="6" t="s">
        <v>21</v>
      </c>
      <c r="K547" s="6">
        <v>79996</v>
      </c>
      <c r="L547" s="6" t="s">
        <v>22</v>
      </c>
      <c r="M547" s="6">
        <v>0.34</v>
      </c>
      <c r="N547" s="6">
        <v>0.51</v>
      </c>
      <c r="O547" s="6">
        <v>3719.68</v>
      </c>
      <c r="P547" s="6">
        <v>0</v>
      </c>
      <c r="Q547" s="6">
        <f t="shared" ca="1" si="26"/>
        <v>49</v>
      </c>
      <c r="R547" s="6">
        <f t="shared" si="24"/>
        <v>20320.32</v>
      </c>
      <c r="S547" s="7" t="str">
        <f t="shared" si="25"/>
        <v>Profit</v>
      </c>
    </row>
    <row r="548" spans="1:19" x14ac:dyDescent="0.3">
      <c r="A548" s="4" t="s">
        <v>1137</v>
      </c>
      <c r="B548" s="5">
        <v>45019</v>
      </c>
      <c r="C548" s="6" t="s">
        <v>1138</v>
      </c>
      <c r="D548" s="6" t="s">
        <v>40</v>
      </c>
      <c r="E548" s="6">
        <v>17959</v>
      </c>
      <c r="F548" s="6">
        <v>19.399999999999999</v>
      </c>
      <c r="G548" s="6">
        <v>60</v>
      </c>
      <c r="H548" s="6" t="s">
        <v>19</v>
      </c>
      <c r="I548" s="6" t="s">
        <v>72</v>
      </c>
      <c r="J548" s="6" t="s">
        <v>28</v>
      </c>
      <c r="K548" s="6">
        <v>44031</v>
      </c>
      <c r="L548" s="6" t="s">
        <v>22</v>
      </c>
      <c r="M548" s="6">
        <v>0.25</v>
      </c>
      <c r="N548" s="6">
        <v>0.61</v>
      </c>
      <c r="O548" s="6">
        <v>21443.05</v>
      </c>
      <c r="P548" s="6">
        <v>0</v>
      </c>
      <c r="Q548" s="6">
        <f t="shared" ca="1" si="26"/>
        <v>35</v>
      </c>
      <c r="R548" s="6">
        <f t="shared" si="24"/>
        <v>-3484.0499999999993</v>
      </c>
      <c r="S548" s="7" t="str">
        <f t="shared" si="25"/>
        <v>Loss</v>
      </c>
    </row>
    <row r="549" spans="1:19" x14ac:dyDescent="0.3">
      <c r="A549" s="4" t="s">
        <v>1139</v>
      </c>
      <c r="B549" s="5">
        <v>44714</v>
      </c>
      <c r="C549" s="6" t="s">
        <v>1140</v>
      </c>
      <c r="D549" s="6" t="s">
        <v>18</v>
      </c>
      <c r="E549" s="6">
        <v>7099</v>
      </c>
      <c r="F549" s="6">
        <v>22.3</v>
      </c>
      <c r="G549" s="6">
        <v>60</v>
      </c>
      <c r="H549" s="6" t="s">
        <v>80</v>
      </c>
      <c r="I549" s="6" t="s">
        <v>72</v>
      </c>
      <c r="J549" s="6" t="s">
        <v>37</v>
      </c>
      <c r="K549" s="6">
        <v>110072</v>
      </c>
      <c r="L549" s="6" t="s">
        <v>22</v>
      </c>
      <c r="M549" s="6">
        <v>0.44</v>
      </c>
      <c r="N549" s="6">
        <v>0.51</v>
      </c>
      <c r="O549" s="6">
        <v>1756.33</v>
      </c>
      <c r="P549" s="6">
        <v>874.52</v>
      </c>
      <c r="Q549" s="6">
        <f t="shared" ca="1" si="26"/>
        <v>45</v>
      </c>
      <c r="R549" s="6">
        <f t="shared" si="24"/>
        <v>5342.67</v>
      </c>
      <c r="S549" s="7" t="str">
        <f t="shared" si="25"/>
        <v>Profit</v>
      </c>
    </row>
    <row r="550" spans="1:19" x14ac:dyDescent="0.3">
      <c r="A550" s="4" t="s">
        <v>1141</v>
      </c>
      <c r="B550" s="5">
        <v>44672</v>
      </c>
      <c r="C550" s="6" t="s">
        <v>1142</v>
      </c>
      <c r="D550" s="6" t="s">
        <v>18</v>
      </c>
      <c r="E550" s="6">
        <v>20576</v>
      </c>
      <c r="F550" s="6">
        <v>5</v>
      </c>
      <c r="G550" s="6">
        <v>60</v>
      </c>
      <c r="H550" s="6" t="s">
        <v>19</v>
      </c>
      <c r="I550" s="6" t="s">
        <v>27</v>
      </c>
      <c r="J550" s="6" t="s">
        <v>21</v>
      </c>
      <c r="K550" s="6">
        <v>95982</v>
      </c>
      <c r="L550" s="6" t="s">
        <v>29</v>
      </c>
      <c r="M550" s="6">
        <v>0.48</v>
      </c>
      <c r="N550" s="6">
        <v>0.65</v>
      </c>
      <c r="O550" s="6">
        <v>21604.799999999999</v>
      </c>
      <c r="P550" s="6">
        <v>0</v>
      </c>
      <c r="Q550" s="6">
        <f t="shared" ca="1" si="26"/>
        <v>46</v>
      </c>
      <c r="R550" s="6">
        <f t="shared" si="24"/>
        <v>-1028.7999999999993</v>
      </c>
      <c r="S550" s="7" t="str">
        <f t="shared" si="25"/>
        <v>Loss</v>
      </c>
    </row>
    <row r="551" spans="1:19" x14ac:dyDescent="0.3">
      <c r="A551" s="4" t="s">
        <v>1143</v>
      </c>
      <c r="B551" s="5">
        <v>44905</v>
      </c>
      <c r="C551" s="6" t="s">
        <v>1144</v>
      </c>
      <c r="D551" s="6" t="s">
        <v>53</v>
      </c>
      <c r="E551" s="6">
        <v>36946</v>
      </c>
      <c r="F551" s="6">
        <v>19.399999999999999</v>
      </c>
      <c r="G551" s="6">
        <v>60</v>
      </c>
      <c r="H551" s="6" t="s">
        <v>19</v>
      </c>
      <c r="I551" s="6" t="s">
        <v>36</v>
      </c>
      <c r="J551" s="6" t="s">
        <v>32</v>
      </c>
      <c r="K551" s="6">
        <v>66683</v>
      </c>
      <c r="L551" s="6" t="s">
        <v>29</v>
      </c>
      <c r="M551" s="6">
        <v>0.45</v>
      </c>
      <c r="N551" s="6">
        <v>0.73</v>
      </c>
      <c r="O551" s="6">
        <v>44113.52</v>
      </c>
      <c r="P551" s="6">
        <v>0</v>
      </c>
      <c r="Q551" s="6">
        <f t="shared" ca="1" si="26"/>
        <v>39</v>
      </c>
      <c r="R551" s="6">
        <f t="shared" si="24"/>
        <v>-7167.5199999999968</v>
      </c>
      <c r="S551" s="7" t="str">
        <f t="shared" si="25"/>
        <v>Loss</v>
      </c>
    </row>
    <row r="552" spans="1:19" x14ac:dyDescent="0.3">
      <c r="A552" s="4" t="s">
        <v>1145</v>
      </c>
      <c r="B552" s="5">
        <v>44967</v>
      </c>
      <c r="C552" s="6" t="s">
        <v>1146</v>
      </c>
      <c r="D552" s="6" t="s">
        <v>46</v>
      </c>
      <c r="E552" s="6">
        <v>7116</v>
      </c>
      <c r="F552" s="6">
        <v>21.6</v>
      </c>
      <c r="G552" s="6">
        <v>60</v>
      </c>
      <c r="H552" s="6" t="s">
        <v>26</v>
      </c>
      <c r="I552" s="6" t="s">
        <v>20</v>
      </c>
      <c r="J552" s="6" t="s">
        <v>47</v>
      </c>
      <c r="K552" s="6">
        <v>144091</v>
      </c>
      <c r="L552" s="6" t="s">
        <v>22</v>
      </c>
      <c r="M552" s="6">
        <v>0.21</v>
      </c>
      <c r="N552" s="6">
        <v>0.86</v>
      </c>
      <c r="O552" s="6">
        <v>3149.61</v>
      </c>
      <c r="P552" s="6">
        <v>0</v>
      </c>
      <c r="Q552" s="6">
        <f t="shared" ca="1" si="26"/>
        <v>37</v>
      </c>
      <c r="R552" s="6">
        <f t="shared" si="24"/>
        <v>3966.39</v>
      </c>
      <c r="S552" s="7" t="str">
        <f t="shared" si="25"/>
        <v>Profit</v>
      </c>
    </row>
    <row r="553" spans="1:19" x14ac:dyDescent="0.3">
      <c r="A553" s="4" t="s">
        <v>1147</v>
      </c>
      <c r="B553" s="5">
        <v>45243</v>
      </c>
      <c r="C553" s="6" t="s">
        <v>1148</v>
      </c>
      <c r="D553" s="6" t="s">
        <v>71</v>
      </c>
      <c r="E553" s="6">
        <v>16563</v>
      </c>
      <c r="F553" s="6">
        <v>5.8</v>
      </c>
      <c r="G553" s="6">
        <v>36</v>
      </c>
      <c r="H553" s="6" t="s">
        <v>26</v>
      </c>
      <c r="I553" s="6" t="s">
        <v>20</v>
      </c>
      <c r="J553" s="6" t="s">
        <v>28</v>
      </c>
      <c r="K553" s="6">
        <v>147797</v>
      </c>
      <c r="L553" s="6" t="s">
        <v>33</v>
      </c>
      <c r="M553" s="6">
        <v>0.18</v>
      </c>
      <c r="N553" s="6">
        <v>0.65</v>
      </c>
      <c r="O553" s="6">
        <v>6135.41</v>
      </c>
      <c r="P553" s="6">
        <v>0</v>
      </c>
      <c r="Q553" s="6">
        <f t="shared" ca="1" si="26"/>
        <v>28</v>
      </c>
      <c r="R553" s="6">
        <f t="shared" si="24"/>
        <v>10427.59</v>
      </c>
      <c r="S553" s="7" t="str">
        <f t="shared" si="25"/>
        <v>Profit</v>
      </c>
    </row>
    <row r="554" spans="1:19" x14ac:dyDescent="0.3">
      <c r="A554" s="4" t="s">
        <v>1149</v>
      </c>
      <c r="B554" s="5">
        <v>45193</v>
      </c>
      <c r="C554" s="6" t="s">
        <v>1150</v>
      </c>
      <c r="D554" s="6" t="s">
        <v>40</v>
      </c>
      <c r="E554" s="6">
        <v>27788</v>
      </c>
      <c r="F554" s="6">
        <v>22.4</v>
      </c>
      <c r="G554" s="6">
        <v>36</v>
      </c>
      <c r="H554" s="6" t="s">
        <v>19</v>
      </c>
      <c r="I554" s="6" t="s">
        <v>83</v>
      </c>
      <c r="J554" s="6" t="s">
        <v>47</v>
      </c>
      <c r="K554" s="6">
        <v>47618</v>
      </c>
      <c r="L554" s="6" t="s">
        <v>22</v>
      </c>
      <c r="M554" s="6">
        <v>0.28999999999999998</v>
      </c>
      <c r="N554" s="6">
        <v>0.82</v>
      </c>
      <c r="O554" s="6">
        <v>34012.51</v>
      </c>
      <c r="P554" s="6">
        <v>0</v>
      </c>
      <c r="Q554" s="6">
        <f t="shared" ca="1" si="26"/>
        <v>29</v>
      </c>
      <c r="R554" s="6">
        <f t="shared" si="24"/>
        <v>-6224.510000000002</v>
      </c>
      <c r="S554" s="7" t="str">
        <f t="shared" si="25"/>
        <v>Loss</v>
      </c>
    </row>
    <row r="555" spans="1:19" x14ac:dyDescent="0.3">
      <c r="A555" s="4" t="s">
        <v>1151</v>
      </c>
      <c r="B555" s="5">
        <v>44873</v>
      </c>
      <c r="C555" s="6" t="s">
        <v>1152</v>
      </c>
      <c r="D555" s="6" t="s">
        <v>40</v>
      </c>
      <c r="E555" s="6">
        <v>27928</v>
      </c>
      <c r="F555" s="6">
        <v>10.1</v>
      </c>
      <c r="G555" s="6">
        <v>36</v>
      </c>
      <c r="H555" s="6" t="s">
        <v>26</v>
      </c>
      <c r="I555" s="6" t="s">
        <v>20</v>
      </c>
      <c r="J555" s="6" t="s">
        <v>32</v>
      </c>
      <c r="K555" s="6">
        <v>36587</v>
      </c>
      <c r="L555" s="6" t="s">
        <v>33</v>
      </c>
      <c r="M555" s="6">
        <v>0.1</v>
      </c>
      <c r="N555" s="6">
        <v>0.57999999999999996</v>
      </c>
      <c r="O555" s="6">
        <v>8685.1299999999992</v>
      </c>
      <c r="P555" s="6">
        <v>0</v>
      </c>
      <c r="Q555" s="6">
        <f t="shared" ca="1" si="26"/>
        <v>40</v>
      </c>
      <c r="R555" s="6">
        <f t="shared" si="24"/>
        <v>19242.870000000003</v>
      </c>
      <c r="S555" s="7" t="str">
        <f t="shared" si="25"/>
        <v>Profit</v>
      </c>
    </row>
    <row r="556" spans="1:19" x14ac:dyDescent="0.3">
      <c r="A556" s="4" t="s">
        <v>1153</v>
      </c>
      <c r="B556" s="5">
        <v>44910</v>
      </c>
      <c r="C556" s="6" t="s">
        <v>1154</v>
      </c>
      <c r="D556" s="6" t="s">
        <v>56</v>
      </c>
      <c r="E556" s="6">
        <v>37336</v>
      </c>
      <c r="F556" s="6">
        <v>18.3</v>
      </c>
      <c r="G556" s="6">
        <v>36</v>
      </c>
      <c r="H556" s="6" t="s">
        <v>19</v>
      </c>
      <c r="I556" s="6" t="s">
        <v>41</v>
      </c>
      <c r="J556" s="6" t="s">
        <v>37</v>
      </c>
      <c r="K556" s="6">
        <v>92790</v>
      </c>
      <c r="L556" s="6" t="s">
        <v>33</v>
      </c>
      <c r="M556" s="6">
        <v>0.11</v>
      </c>
      <c r="N556" s="6">
        <v>0.84</v>
      </c>
      <c r="O556" s="6">
        <v>44168.49</v>
      </c>
      <c r="P556" s="6">
        <v>0</v>
      </c>
      <c r="Q556" s="6">
        <f t="shared" ca="1" si="26"/>
        <v>39</v>
      </c>
      <c r="R556" s="6">
        <f t="shared" si="24"/>
        <v>-6832.489999999998</v>
      </c>
      <c r="S556" s="7" t="str">
        <f t="shared" si="25"/>
        <v>Loss</v>
      </c>
    </row>
    <row r="557" spans="1:19" x14ac:dyDescent="0.3">
      <c r="A557" s="4" t="s">
        <v>1155</v>
      </c>
      <c r="B557" s="5">
        <v>44279</v>
      </c>
      <c r="C557" s="6" t="s">
        <v>1156</v>
      </c>
      <c r="D557" s="6" t="s">
        <v>64</v>
      </c>
      <c r="E557" s="6">
        <v>10847</v>
      </c>
      <c r="F557" s="6">
        <v>21</v>
      </c>
      <c r="G557" s="6">
        <v>36</v>
      </c>
      <c r="H557" s="6" t="s">
        <v>80</v>
      </c>
      <c r="I557" s="6" t="s">
        <v>72</v>
      </c>
      <c r="J557" s="6" t="s">
        <v>37</v>
      </c>
      <c r="K557" s="6">
        <v>61480</v>
      </c>
      <c r="L557" s="6" t="s">
        <v>33</v>
      </c>
      <c r="M557" s="6">
        <v>0.32</v>
      </c>
      <c r="N557" s="6">
        <v>0.61</v>
      </c>
      <c r="O557" s="6">
        <v>1374.33</v>
      </c>
      <c r="P557" s="6">
        <v>4848.7</v>
      </c>
      <c r="Q557" s="6">
        <f t="shared" ca="1" si="26"/>
        <v>59</v>
      </c>
      <c r="R557" s="6">
        <f t="shared" si="24"/>
        <v>9472.67</v>
      </c>
      <c r="S557" s="7" t="str">
        <f t="shared" si="25"/>
        <v>Profit</v>
      </c>
    </row>
    <row r="558" spans="1:19" x14ac:dyDescent="0.3">
      <c r="A558" s="4" t="s">
        <v>1157</v>
      </c>
      <c r="B558" s="5">
        <v>44653</v>
      </c>
      <c r="C558" s="6" t="s">
        <v>1158</v>
      </c>
      <c r="D558" s="6" t="s">
        <v>46</v>
      </c>
      <c r="E558" s="6">
        <v>27155</v>
      </c>
      <c r="F558" s="6">
        <v>18.3</v>
      </c>
      <c r="G558" s="6">
        <v>36</v>
      </c>
      <c r="H558" s="6" t="s">
        <v>26</v>
      </c>
      <c r="I558" s="6" t="s">
        <v>27</v>
      </c>
      <c r="J558" s="6" t="s">
        <v>32</v>
      </c>
      <c r="K558" s="6">
        <v>128530</v>
      </c>
      <c r="L558" s="6" t="s">
        <v>22</v>
      </c>
      <c r="M558" s="6">
        <v>0.31</v>
      </c>
      <c r="N558" s="6">
        <v>0.56000000000000005</v>
      </c>
      <c r="O558" s="6">
        <v>9838.16</v>
      </c>
      <c r="P558" s="6">
        <v>0</v>
      </c>
      <c r="Q558" s="6">
        <f t="shared" ca="1" si="26"/>
        <v>47</v>
      </c>
      <c r="R558" s="6">
        <f t="shared" si="24"/>
        <v>17316.84</v>
      </c>
      <c r="S558" s="7" t="str">
        <f t="shared" si="25"/>
        <v>Profit</v>
      </c>
    </row>
    <row r="559" spans="1:19" x14ac:dyDescent="0.3">
      <c r="A559" s="4" t="s">
        <v>1159</v>
      </c>
      <c r="B559" s="5">
        <v>44197</v>
      </c>
      <c r="C559" s="6" t="s">
        <v>1160</v>
      </c>
      <c r="D559" s="6" t="s">
        <v>40</v>
      </c>
      <c r="E559" s="6">
        <v>15135</v>
      </c>
      <c r="F559" s="6">
        <v>6.8</v>
      </c>
      <c r="G559" s="6">
        <v>60</v>
      </c>
      <c r="H559" s="6" t="s">
        <v>19</v>
      </c>
      <c r="I559" s="6" t="s">
        <v>20</v>
      </c>
      <c r="J559" s="6" t="s">
        <v>32</v>
      </c>
      <c r="K559" s="6">
        <v>50527</v>
      </c>
      <c r="L559" s="6" t="s">
        <v>22</v>
      </c>
      <c r="M559" s="6">
        <v>0.5</v>
      </c>
      <c r="N559" s="6">
        <v>0.57999999999999996</v>
      </c>
      <c r="O559" s="6">
        <v>16164.18</v>
      </c>
      <c r="P559" s="6">
        <v>0</v>
      </c>
      <c r="Q559" s="6">
        <f t="shared" ca="1" si="26"/>
        <v>62</v>
      </c>
      <c r="R559" s="6">
        <f t="shared" si="24"/>
        <v>-1029.1800000000003</v>
      </c>
      <c r="S559" s="7" t="str">
        <f t="shared" si="25"/>
        <v>Loss</v>
      </c>
    </row>
    <row r="560" spans="1:19" x14ac:dyDescent="0.3">
      <c r="A560" s="4" t="s">
        <v>1161</v>
      </c>
      <c r="B560" s="5">
        <v>44247</v>
      </c>
      <c r="C560" s="6" t="s">
        <v>1162</v>
      </c>
      <c r="D560" s="6" t="s">
        <v>25</v>
      </c>
      <c r="E560" s="6">
        <v>18774</v>
      </c>
      <c r="F560" s="6">
        <v>16.899999999999999</v>
      </c>
      <c r="G560" s="6">
        <v>60</v>
      </c>
      <c r="H560" s="6" t="s">
        <v>26</v>
      </c>
      <c r="I560" s="6" t="s">
        <v>20</v>
      </c>
      <c r="J560" s="6" t="s">
        <v>28</v>
      </c>
      <c r="K560" s="6">
        <v>53569</v>
      </c>
      <c r="L560" s="6" t="s">
        <v>33</v>
      </c>
      <c r="M560" s="6">
        <v>0.18</v>
      </c>
      <c r="N560" s="6">
        <v>0.57999999999999996</v>
      </c>
      <c r="O560" s="6">
        <v>2344.62</v>
      </c>
      <c r="P560" s="6">
        <v>0</v>
      </c>
      <c r="Q560" s="6">
        <f t="shared" ca="1" si="26"/>
        <v>61</v>
      </c>
      <c r="R560" s="6">
        <f t="shared" si="24"/>
        <v>16429.38</v>
      </c>
      <c r="S560" s="7" t="str">
        <f t="shared" si="25"/>
        <v>Profit</v>
      </c>
    </row>
    <row r="561" spans="1:19" x14ac:dyDescent="0.3">
      <c r="A561" s="4" t="s">
        <v>1163</v>
      </c>
      <c r="B561" s="5">
        <v>44881</v>
      </c>
      <c r="C561" s="6" t="s">
        <v>1164</v>
      </c>
      <c r="D561" s="6" t="s">
        <v>40</v>
      </c>
      <c r="E561" s="6">
        <v>2742</v>
      </c>
      <c r="F561" s="6">
        <v>16</v>
      </c>
      <c r="G561" s="6">
        <v>36</v>
      </c>
      <c r="H561" s="6" t="s">
        <v>19</v>
      </c>
      <c r="I561" s="6" t="s">
        <v>27</v>
      </c>
      <c r="J561" s="6" t="s">
        <v>21</v>
      </c>
      <c r="K561" s="6">
        <v>41151</v>
      </c>
      <c r="L561" s="6" t="s">
        <v>29</v>
      </c>
      <c r="M561" s="6">
        <v>0.2</v>
      </c>
      <c r="N561" s="6">
        <v>0.73</v>
      </c>
      <c r="O561" s="6">
        <v>3180.72</v>
      </c>
      <c r="P561" s="6">
        <v>0</v>
      </c>
      <c r="Q561" s="6">
        <f t="shared" ca="1" si="26"/>
        <v>40</v>
      </c>
      <c r="R561" s="6">
        <f t="shared" si="24"/>
        <v>-438.7199999999998</v>
      </c>
      <c r="S561" s="7" t="str">
        <f t="shared" si="25"/>
        <v>Loss</v>
      </c>
    </row>
    <row r="562" spans="1:19" x14ac:dyDescent="0.3">
      <c r="A562" s="4" t="s">
        <v>1165</v>
      </c>
      <c r="B562" s="5">
        <v>44913</v>
      </c>
      <c r="C562" s="6" t="s">
        <v>1166</v>
      </c>
      <c r="D562" s="6" t="s">
        <v>56</v>
      </c>
      <c r="E562" s="6">
        <v>19309</v>
      </c>
      <c r="F562" s="6">
        <v>23</v>
      </c>
      <c r="G562" s="6">
        <v>36</v>
      </c>
      <c r="H562" s="6" t="s">
        <v>19</v>
      </c>
      <c r="I562" s="6" t="s">
        <v>36</v>
      </c>
      <c r="J562" s="6" t="s">
        <v>47</v>
      </c>
      <c r="K562" s="6">
        <v>101094</v>
      </c>
      <c r="L562" s="6" t="s">
        <v>29</v>
      </c>
      <c r="M562" s="6">
        <v>0.15</v>
      </c>
      <c r="N562" s="6">
        <v>0.88</v>
      </c>
      <c r="O562" s="6">
        <v>23750.07</v>
      </c>
      <c r="P562" s="6">
        <v>0</v>
      </c>
      <c r="Q562" s="6">
        <f t="shared" ca="1" si="26"/>
        <v>39</v>
      </c>
      <c r="R562" s="6">
        <f t="shared" si="24"/>
        <v>-4441.07</v>
      </c>
      <c r="S562" s="7" t="str">
        <f t="shared" si="25"/>
        <v>Loss</v>
      </c>
    </row>
    <row r="563" spans="1:19" x14ac:dyDescent="0.3">
      <c r="A563" s="4" t="s">
        <v>1167</v>
      </c>
      <c r="B563" s="5">
        <v>44645</v>
      </c>
      <c r="C563" s="6" t="s">
        <v>1168</v>
      </c>
      <c r="D563" s="6" t="s">
        <v>50</v>
      </c>
      <c r="E563" s="6">
        <v>1619</v>
      </c>
      <c r="F563" s="6">
        <v>13.1</v>
      </c>
      <c r="G563" s="6">
        <v>60</v>
      </c>
      <c r="H563" s="6" t="s">
        <v>2045</v>
      </c>
      <c r="I563" s="6" t="s">
        <v>41</v>
      </c>
      <c r="J563" s="6" t="s">
        <v>47</v>
      </c>
      <c r="K563" s="6">
        <v>89174</v>
      </c>
      <c r="L563" s="6" t="s">
        <v>29</v>
      </c>
      <c r="M563" s="6">
        <v>0.47</v>
      </c>
      <c r="N563" s="6">
        <v>0.54</v>
      </c>
      <c r="O563" s="6">
        <v>0</v>
      </c>
      <c r="P563" s="6">
        <v>0</v>
      </c>
      <c r="Q563" s="6">
        <f t="shared" ca="1" si="26"/>
        <v>47</v>
      </c>
      <c r="R563" s="6">
        <f t="shared" si="24"/>
        <v>1619</v>
      </c>
      <c r="S563" s="7" t="str">
        <f t="shared" si="25"/>
        <v>Profit</v>
      </c>
    </row>
    <row r="564" spans="1:19" x14ac:dyDescent="0.3">
      <c r="A564" s="4" t="s">
        <v>1169</v>
      </c>
      <c r="B564" s="5">
        <v>45077</v>
      </c>
      <c r="C564" s="6" t="s">
        <v>1170</v>
      </c>
      <c r="D564" s="6" t="s">
        <v>75</v>
      </c>
      <c r="E564" s="6">
        <v>18658</v>
      </c>
      <c r="F564" s="6">
        <v>11.4</v>
      </c>
      <c r="G564" s="6">
        <v>60</v>
      </c>
      <c r="H564" s="6" t="s">
        <v>26</v>
      </c>
      <c r="I564" s="6" t="s">
        <v>20</v>
      </c>
      <c r="J564" s="6" t="s">
        <v>37</v>
      </c>
      <c r="K564" s="6">
        <v>74739</v>
      </c>
      <c r="L564" s="6" t="s">
        <v>33</v>
      </c>
      <c r="M564" s="6">
        <v>0.41</v>
      </c>
      <c r="N564" s="6">
        <v>0.82</v>
      </c>
      <c r="O564" s="6">
        <v>7535.32</v>
      </c>
      <c r="P564" s="6">
        <v>0</v>
      </c>
      <c r="Q564" s="6">
        <f t="shared" ca="1" si="26"/>
        <v>33</v>
      </c>
      <c r="R564" s="6">
        <f t="shared" si="24"/>
        <v>11122.68</v>
      </c>
      <c r="S564" s="7" t="str">
        <f t="shared" si="25"/>
        <v>Profit</v>
      </c>
    </row>
    <row r="565" spans="1:19" x14ac:dyDescent="0.3">
      <c r="A565" s="4" t="s">
        <v>1171</v>
      </c>
      <c r="B565" s="5">
        <v>44684</v>
      </c>
      <c r="C565" s="6" t="s">
        <v>1172</v>
      </c>
      <c r="D565" s="6" t="s">
        <v>75</v>
      </c>
      <c r="E565" s="6">
        <v>35707</v>
      </c>
      <c r="F565" s="6">
        <v>20</v>
      </c>
      <c r="G565" s="6">
        <v>60</v>
      </c>
      <c r="H565" s="6" t="s">
        <v>19</v>
      </c>
      <c r="I565" s="6" t="s">
        <v>20</v>
      </c>
      <c r="J565" s="6" t="s">
        <v>37</v>
      </c>
      <c r="K565" s="6">
        <v>62954</v>
      </c>
      <c r="L565" s="6" t="s">
        <v>22</v>
      </c>
      <c r="M565" s="6">
        <v>0.43</v>
      </c>
      <c r="N565" s="6">
        <v>0.79</v>
      </c>
      <c r="O565" s="6">
        <v>42848.4</v>
      </c>
      <c r="P565" s="6">
        <v>0</v>
      </c>
      <c r="Q565" s="6">
        <f t="shared" ca="1" si="26"/>
        <v>46</v>
      </c>
      <c r="R565" s="6">
        <f t="shared" si="24"/>
        <v>-7141.4000000000015</v>
      </c>
      <c r="S565" s="7" t="str">
        <f t="shared" si="25"/>
        <v>Loss</v>
      </c>
    </row>
    <row r="566" spans="1:19" x14ac:dyDescent="0.3">
      <c r="A566" s="4" t="s">
        <v>1173</v>
      </c>
      <c r="B566" s="5">
        <v>44230</v>
      </c>
      <c r="C566" s="6" t="s">
        <v>1174</v>
      </c>
      <c r="D566" s="6" t="s">
        <v>25</v>
      </c>
      <c r="E566" s="6">
        <v>21337</v>
      </c>
      <c r="F566" s="6">
        <v>13.3</v>
      </c>
      <c r="G566" s="6">
        <v>36</v>
      </c>
      <c r="H566" s="6" t="s">
        <v>19</v>
      </c>
      <c r="I566" s="6" t="s">
        <v>20</v>
      </c>
      <c r="J566" s="6" t="s">
        <v>28</v>
      </c>
      <c r="K566" s="6">
        <v>142984</v>
      </c>
      <c r="L566" s="6" t="s">
        <v>33</v>
      </c>
      <c r="M566" s="6">
        <v>0.46</v>
      </c>
      <c r="N566" s="6">
        <v>0.89</v>
      </c>
      <c r="O566" s="6">
        <v>24174.82</v>
      </c>
      <c r="P566" s="6">
        <v>0</v>
      </c>
      <c r="Q566" s="6">
        <f t="shared" ca="1" si="26"/>
        <v>61</v>
      </c>
      <c r="R566" s="6">
        <f t="shared" si="24"/>
        <v>-2837.8199999999997</v>
      </c>
      <c r="S566" s="7" t="str">
        <f t="shared" si="25"/>
        <v>Loss</v>
      </c>
    </row>
    <row r="567" spans="1:19" x14ac:dyDescent="0.3">
      <c r="A567" s="4" t="s">
        <v>1175</v>
      </c>
      <c r="B567" s="5">
        <v>44291</v>
      </c>
      <c r="C567" s="6" t="s">
        <v>1176</v>
      </c>
      <c r="D567" s="6" t="s">
        <v>25</v>
      </c>
      <c r="E567" s="6">
        <v>17001</v>
      </c>
      <c r="F567" s="6">
        <v>17.899999999999999</v>
      </c>
      <c r="G567" s="6">
        <v>60</v>
      </c>
      <c r="H567" s="6" t="s">
        <v>19</v>
      </c>
      <c r="I567" s="6" t="s">
        <v>83</v>
      </c>
      <c r="J567" s="6" t="s">
        <v>32</v>
      </c>
      <c r="K567" s="6">
        <v>142863</v>
      </c>
      <c r="L567" s="6" t="s">
        <v>29</v>
      </c>
      <c r="M567" s="6">
        <v>0.31</v>
      </c>
      <c r="N567" s="6">
        <v>0.61</v>
      </c>
      <c r="O567" s="6">
        <v>20044.18</v>
      </c>
      <c r="P567" s="6">
        <v>0</v>
      </c>
      <c r="Q567" s="6">
        <f t="shared" ca="1" si="26"/>
        <v>59</v>
      </c>
      <c r="R567" s="6">
        <f t="shared" si="24"/>
        <v>-3043.1800000000003</v>
      </c>
      <c r="S567" s="7" t="str">
        <f t="shared" si="25"/>
        <v>Loss</v>
      </c>
    </row>
    <row r="568" spans="1:19" x14ac:dyDescent="0.3">
      <c r="A568" s="4" t="s">
        <v>1177</v>
      </c>
      <c r="B568" s="5">
        <v>44350</v>
      </c>
      <c r="C568" s="6" t="s">
        <v>1178</v>
      </c>
      <c r="D568" s="6" t="s">
        <v>53</v>
      </c>
      <c r="E568" s="6">
        <v>1968</v>
      </c>
      <c r="F568" s="6">
        <v>17.899999999999999</v>
      </c>
      <c r="G568" s="6">
        <v>36</v>
      </c>
      <c r="H568" s="6" t="s">
        <v>2045</v>
      </c>
      <c r="I568" s="6" t="s">
        <v>57</v>
      </c>
      <c r="J568" s="6" t="s">
        <v>47</v>
      </c>
      <c r="K568" s="6">
        <v>139373</v>
      </c>
      <c r="L568" s="6" t="s">
        <v>22</v>
      </c>
      <c r="M568" s="6">
        <v>0.28000000000000003</v>
      </c>
      <c r="N568" s="6">
        <v>0.7</v>
      </c>
      <c r="O568" s="6">
        <v>0</v>
      </c>
      <c r="P568" s="6">
        <v>0</v>
      </c>
      <c r="Q568" s="6">
        <f t="shared" ca="1" si="26"/>
        <v>57</v>
      </c>
      <c r="R568" s="6">
        <f t="shared" si="24"/>
        <v>1968</v>
      </c>
      <c r="S568" s="7" t="str">
        <f t="shared" si="25"/>
        <v>Profit</v>
      </c>
    </row>
    <row r="569" spans="1:19" x14ac:dyDescent="0.3">
      <c r="A569" s="4" t="s">
        <v>1179</v>
      </c>
      <c r="B569" s="5">
        <v>44446</v>
      </c>
      <c r="C569" s="6" t="s">
        <v>1180</v>
      </c>
      <c r="D569" s="6" t="s">
        <v>75</v>
      </c>
      <c r="E569" s="6">
        <v>26892</v>
      </c>
      <c r="F569" s="6">
        <v>22.8</v>
      </c>
      <c r="G569" s="6">
        <v>36</v>
      </c>
      <c r="H569" s="6" t="s">
        <v>19</v>
      </c>
      <c r="I569" s="6" t="s">
        <v>20</v>
      </c>
      <c r="J569" s="6" t="s">
        <v>28</v>
      </c>
      <c r="K569" s="6">
        <v>65303</v>
      </c>
      <c r="L569" s="6" t="s">
        <v>33</v>
      </c>
      <c r="M569" s="6">
        <v>0.23</v>
      </c>
      <c r="N569" s="6">
        <v>0.92</v>
      </c>
      <c r="O569" s="6">
        <v>33023.379999999997</v>
      </c>
      <c r="P569" s="6">
        <v>0</v>
      </c>
      <c r="Q569" s="6">
        <f t="shared" ca="1" si="26"/>
        <v>54</v>
      </c>
      <c r="R569" s="6">
        <f t="shared" si="24"/>
        <v>-6131.3799999999974</v>
      </c>
      <c r="S569" s="7" t="str">
        <f t="shared" si="25"/>
        <v>Loss</v>
      </c>
    </row>
    <row r="570" spans="1:19" x14ac:dyDescent="0.3">
      <c r="A570" s="4" t="s">
        <v>1181</v>
      </c>
      <c r="B570" s="5">
        <v>44870</v>
      </c>
      <c r="C570" s="6" t="s">
        <v>1182</v>
      </c>
      <c r="D570" s="6" t="s">
        <v>50</v>
      </c>
      <c r="E570" s="6">
        <v>26619</v>
      </c>
      <c r="F570" s="6">
        <v>17</v>
      </c>
      <c r="G570" s="6">
        <v>60</v>
      </c>
      <c r="H570" s="6" t="s">
        <v>19</v>
      </c>
      <c r="I570" s="6" t="s">
        <v>20</v>
      </c>
      <c r="J570" s="6" t="s">
        <v>37</v>
      </c>
      <c r="K570" s="6">
        <v>64700</v>
      </c>
      <c r="L570" s="6" t="s">
        <v>33</v>
      </c>
      <c r="M570" s="6">
        <v>0.34</v>
      </c>
      <c r="N570" s="6">
        <v>0.8</v>
      </c>
      <c r="O570" s="6">
        <v>31144.23</v>
      </c>
      <c r="P570" s="6">
        <v>0</v>
      </c>
      <c r="Q570" s="6">
        <f t="shared" ca="1" si="26"/>
        <v>40</v>
      </c>
      <c r="R570" s="6">
        <f t="shared" si="24"/>
        <v>-4525.2299999999996</v>
      </c>
      <c r="S570" s="7" t="str">
        <f t="shared" si="25"/>
        <v>Loss</v>
      </c>
    </row>
    <row r="571" spans="1:19" x14ac:dyDescent="0.3">
      <c r="A571" s="4" t="s">
        <v>1183</v>
      </c>
      <c r="B571" s="5">
        <v>44634</v>
      </c>
      <c r="C571" s="6" t="s">
        <v>1184</v>
      </c>
      <c r="D571" s="6" t="s">
        <v>75</v>
      </c>
      <c r="E571" s="6">
        <v>1281</v>
      </c>
      <c r="F571" s="6">
        <v>15</v>
      </c>
      <c r="G571" s="6">
        <v>60</v>
      </c>
      <c r="H571" s="6" t="s">
        <v>19</v>
      </c>
      <c r="I571" s="6" t="s">
        <v>57</v>
      </c>
      <c r="J571" s="6" t="s">
        <v>37</v>
      </c>
      <c r="K571" s="6">
        <v>123036</v>
      </c>
      <c r="L571" s="6" t="s">
        <v>29</v>
      </c>
      <c r="M571" s="6">
        <v>0.28000000000000003</v>
      </c>
      <c r="N571" s="6">
        <v>0.67</v>
      </c>
      <c r="O571" s="6">
        <v>1473.15</v>
      </c>
      <c r="P571" s="6">
        <v>0</v>
      </c>
      <c r="Q571" s="6">
        <f t="shared" ca="1" si="26"/>
        <v>48</v>
      </c>
      <c r="R571" s="6">
        <f t="shared" si="24"/>
        <v>-192.15000000000009</v>
      </c>
      <c r="S571" s="7" t="str">
        <f t="shared" si="25"/>
        <v>Loss</v>
      </c>
    </row>
    <row r="572" spans="1:19" x14ac:dyDescent="0.3">
      <c r="A572" s="4" t="s">
        <v>1185</v>
      </c>
      <c r="B572" s="5">
        <v>44314</v>
      </c>
      <c r="C572" s="6" t="s">
        <v>1186</v>
      </c>
      <c r="D572" s="6" t="s">
        <v>64</v>
      </c>
      <c r="E572" s="6">
        <v>28420</v>
      </c>
      <c r="F572" s="6">
        <v>7.8</v>
      </c>
      <c r="G572" s="6">
        <v>36</v>
      </c>
      <c r="H572" s="6" t="s">
        <v>19</v>
      </c>
      <c r="I572" s="6" t="s">
        <v>41</v>
      </c>
      <c r="J572" s="6" t="s">
        <v>47</v>
      </c>
      <c r="K572" s="6">
        <v>97568</v>
      </c>
      <c r="L572" s="6" t="s">
        <v>33</v>
      </c>
      <c r="M572" s="6">
        <v>0.28000000000000003</v>
      </c>
      <c r="N572" s="6">
        <v>0.56000000000000005</v>
      </c>
      <c r="O572" s="6">
        <v>30636.76</v>
      </c>
      <c r="P572" s="6">
        <v>0</v>
      </c>
      <c r="Q572" s="6">
        <f t="shared" ca="1" si="26"/>
        <v>58</v>
      </c>
      <c r="R572" s="6">
        <f t="shared" si="24"/>
        <v>-2216.7599999999984</v>
      </c>
      <c r="S572" s="7" t="str">
        <f t="shared" si="25"/>
        <v>Loss</v>
      </c>
    </row>
    <row r="573" spans="1:19" x14ac:dyDescent="0.3">
      <c r="A573" s="4" t="s">
        <v>1187</v>
      </c>
      <c r="B573" s="5">
        <v>44967</v>
      </c>
      <c r="C573" s="6" t="s">
        <v>1188</v>
      </c>
      <c r="D573" s="6" t="s">
        <v>46</v>
      </c>
      <c r="E573" s="6">
        <v>16360</v>
      </c>
      <c r="F573" s="6">
        <v>7.3</v>
      </c>
      <c r="G573" s="6">
        <v>60</v>
      </c>
      <c r="H573" s="6" t="s">
        <v>19</v>
      </c>
      <c r="I573" s="6" t="s">
        <v>72</v>
      </c>
      <c r="J573" s="6" t="s">
        <v>37</v>
      </c>
      <c r="K573" s="6">
        <v>96788</v>
      </c>
      <c r="L573" s="6" t="s">
        <v>22</v>
      </c>
      <c r="M573" s="6">
        <v>0.47</v>
      </c>
      <c r="N573" s="6">
        <v>0.62</v>
      </c>
      <c r="O573" s="6">
        <v>17554.28</v>
      </c>
      <c r="P573" s="6">
        <v>0</v>
      </c>
      <c r="Q573" s="6">
        <f t="shared" ca="1" si="26"/>
        <v>37</v>
      </c>
      <c r="R573" s="6">
        <f t="shared" si="24"/>
        <v>-1194.2799999999988</v>
      </c>
      <c r="S573" s="7" t="str">
        <f t="shared" si="25"/>
        <v>Loss</v>
      </c>
    </row>
    <row r="574" spans="1:19" x14ac:dyDescent="0.3">
      <c r="A574" s="4" t="s">
        <v>1189</v>
      </c>
      <c r="B574" s="5">
        <v>44464</v>
      </c>
      <c r="C574" s="6" t="s">
        <v>1190</v>
      </c>
      <c r="D574" s="6" t="s">
        <v>75</v>
      </c>
      <c r="E574" s="6">
        <v>2058</v>
      </c>
      <c r="F574" s="6">
        <v>8.1</v>
      </c>
      <c r="G574" s="6">
        <v>60</v>
      </c>
      <c r="H574" s="6" t="s">
        <v>19</v>
      </c>
      <c r="I574" s="6" t="s">
        <v>20</v>
      </c>
      <c r="J574" s="6" t="s">
        <v>37</v>
      </c>
      <c r="K574" s="6">
        <v>101045</v>
      </c>
      <c r="L574" s="6" t="s">
        <v>29</v>
      </c>
      <c r="M574" s="6">
        <v>0.49</v>
      </c>
      <c r="N574" s="6">
        <v>0.76</v>
      </c>
      <c r="O574" s="6">
        <v>2224.6999999999998</v>
      </c>
      <c r="P574" s="6">
        <v>0</v>
      </c>
      <c r="Q574" s="6">
        <f t="shared" ca="1" si="26"/>
        <v>53</v>
      </c>
      <c r="R574" s="6">
        <f t="shared" si="24"/>
        <v>-166.69999999999982</v>
      </c>
      <c r="S574" s="7" t="str">
        <f t="shared" si="25"/>
        <v>Loss</v>
      </c>
    </row>
    <row r="575" spans="1:19" x14ac:dyDescent="0.3">
      <c r="A575" s="4" t="s">
        <v>1191</v>
      </c>
      <c r="B575" s="5">
        <v>45274</v>
      </c>
      <c r="C575" s="6" t="s">
        <v>1192</v>
      </c>
      <c r="D575" s="6" t="s">
        <v>18</v>
      </c>
      <c r="E575" s="6">
        <v>21677</v>
      </c>
      <c r="F575" s="6">
        <v>8.4</v>
      </c>
      <c r="G575" s="6">
        <v>36</v>
      </c>
      <c r="H575" s="6" t="s">
        <v>19</v>
      </c>
      <c r="I575" s="6" t="s">
        <v>57</v>
      </c>
      <c r="J575" s="6" t="s">
        <v>21</v>
      </c>
      <c r="K575" s="6">
        <v>67842</v>
      </c>
      <c r="L575" s="6" t="s">
        <v>29</v>
      </c>
      <c r="M575" s="6">
        <v>0.42</v>
      </c>
      <c r="N575" s="6">
        <v>0.82</v>
      </c>
      <c r="O575" s="6">
        <v>23497.87</v>
      </c>
      <c r="P575" s="6">
        <v>0</v>
      </c>
      <c r="Q575" s="6">
        <f t="shared" ca="1" si="26"/>
        <v>27</v>
      </c>
      <c r="R575" s="6">
        <f t="shared" si="24"/>
        <v>-1820.869999999999</v>
      </c>
      <c r="S575" s="7" t="str">
        <f t="shared" si="25"/>
        <v>Loss</v>
      </c>
    </row>
    <row r="576" spans="1:19" x14ac:dyDescent="0.3">
      <c r="A576" s="4" t="s">
        <v>1193</v>
      </c>
      <c r="B576" s="5">
        <v>44432</v>
      </c>
      <c r="C576" s="6" t="s">
        <v>1194</v>
      </c>
      <c r="D576" s="6" t="s">
        <v>53</v>
      </c>
      <c r="E576" s="6">
        <v>11724</v>
      </c>
      <c r="F576" s="6">
        <v>17.8</v>
      </c>
      <c r="G576" s="6">
        <v>60</v>
      </c>
      <c r="H576" s="6" t="s">
        <v>19</v>
      </c>
      <c r="I576" s="6" t="s">
        <v>57</v>
      </c>
      <c r="J576" s="6" t="s">
        <v>32</v>
      </c>
      <c r="K576" s="6">
        <v>43900</v>
      </c>
      <c r="L576" s="6" t="s">
        <v>22</v>
      </c>
      <c r="M576" s="6">
        <v>0.4</v>
      </c>
      <c r="N576" s="6">
        <v>0.56000000000000005</v>
      </c>
      <c r="O576" s="6">
        <v>13810.87</v>
      </c>
      <c r="P576" s="6">
        <v>0</v>
      </c>
      <c r="Q576" s="6">
        <f t="shared" ca="1" si="26"/>
        <v>54</v>
      </c>
      <c r="R576" s="6">
        <f t="shared" si="24"/>
        <v>-2086.8700000000008</v>
      </c>
      <c r="S576" s="7" t="str">
        <f t="shared" si="25"/>
        <v>Loss</v>
      </c>
    </row>
    <row r="577" spans="1:19" x14ac:dyDescent="0.3">
      <c r="A577" s="4" t="s">
        <v>1195</v>
      </c>
      <c r="B577" s="5">
        <v>44585</v>
      </c>
      <c r="C577" s="6" t="s">
        <v>1196</v>
      </c>
      <c r="D577" s="6" t="s">
        <v>56</v>
      </c>
      <c r="E577" s="6">
        <v>29404</v>
      </c>
      <c r="F577" s="6">
        <v>19.8</v>
      </c>
      <c r="G577" s="6">
        <v>36</v>
      </c>
      <c r="H577" s="6" t="s">
        <v>80</v>
      </c>
      <c r="I577" s="6" t="s">
        <v>20</v>
      </c>
      <c r="J577" s="6" t="s">
        <v>37</v>
      </c>
      <c r="K577" s="6">
        <v>110059</v>
      </c>
      <c r="L577" s="6" t="s">
        <v>29</v>
      </c>
      <c r="M577" s="6">
        <v>0.37</v>
      </c>
      <c r="N577" s="6">
        <v>0.77</v>
      </c>
      <c r="O577" s="6">
        <v>5146.2</v>
      </c>
      <c r="P577" s="6">
        <v>7396.67</v>
      </c>
      <c r="Q577" s="6">
        <f t="shared" ca="1" si="26"/>
        <v>49</v>
      </c>
      <c r="R577" s="6">
        <f t="shared" si="24"/>
        <v>24257.8</v>
      </c>
      <c r="S577" s="7" t="str">
        <f t="shared" si="25"/>
        <v>Profit</v>
      </c>
    </row>
    <row r="578" spans="1:19" x14ac:dyDescent="0.3">
      <c r="A578" s="4" t="s">
        <v>1197</v>
      </c>
      <c r="B578" s="5">
        <v>45186</v>
      </c>
      <c r="C578" s="6" t="s">
        <v>1198</v>
      </c>
      <c r="D578" s="6" t="s">
        <v>25</v>
      </c>
      <c r="E578" s="6">
        <v>38946</v>
      </c>
      <c r="F578" s="6">
        <v>15.6</v>
      </c>
      <c r="G578" s="6">
        <v>36</v>
      </c>
      <c r="H578" s="6" t="s">
        <v>19</v>
      </c>
      <c r="I578" s="6" t="s">
        <v>20</v>
      </c>
      <c r="J578" s="6" t="s">
        <v>21</v>
      </c>
      <c r="K578" s="6">
        <v>31881</v>
      </c>
      <c r="L578" s="6" t="s">
        <v>33</v>
      </c>
      <c r="M578" s="6">
        <v>0.17</v>
      </c>
      <c r="N578" s="6">
        <v>0.75</v>
      </c>
      <c r="O578" s="6">
        <v>45021.58</v>
      </c>
      <c r="P578" s="6">
        <v>0</v>
      </c>
      <c r="Q578" s="6">
        <f t="shared" ca="1" si="26"/>
        <v>30</v>
      </c>
      <c r="R578" s="6">
        <f t="shared" ref="R578:R641" si="27">E578-O578</f>
        <v>-6075.5800000000017</v>
      </c>
      <c r="S578" s="7" t="str">
        <f t="shared" ref="S578:S641" si="28">IF(R578&gt;=0, "Profit","Loss")</f>
        <v>Loss</v>
      </c>
    </row>
    <row r="579" spans="1:19" x14ac:dyDescent="0.3">
      <c r="A579" s="4" t="s">
        <v>1199</v>
      </c>
      <c r="B579" s="5">
        <v>44959</v>
      </c>
      <c r="C579" s="6" t="s">
        <v>1200</v>
      </c>
      <c r="D579" s="6" t="s">
        <v>64</v>
      </c>
      <c r="E579" s="6">
        <v>30856</v>
      </c>
      <c r="F579" s="6">
        <v>21.6</v>
      </c>
      <c r="G579" s="6">
        <v>60</v>
      </c>
      <c r="H579" s="6" t="s">
        <v>26</v>
      </c>
      <c r="I579" s="6" t="s">
        <v>27</v>
      </c>
      <c r="J579" s="6" t="s">
        <v>28</v>
      </c>
      <c r="K579" s="6">
        <v>63037</v>
      </c>
      <c r="L579" s="6" t="s">
        <v>33</v>
      </c>
      <c r="M579" s="6">
        <v>0.12</v>
      </c>
      <c r="N579" s="6">
        <v>0.73</v>
      </c>
      <c r="O579" s="6">
        <v>7333.61</v>
      </c>
      <c r="P579" s="6">
        <v>0</v>
      </c>
      <c r="Q579" s="6">
        <f t="shared" ref="Q579:Q642" ca="1" si="29">DATEDIF(B579,TODAY(),"M")</f>
        <v>37</v>
      </c>
      <c r="R579" s="6">
        <f t="shared" si="27"/>
        <v>23522.39</v>
      </c>
      <c r="S579" s="7" t="str">
        <f t="shared" si="28"/>
        <v>Profit</v>
      </c>
    </row>
    <row r="580" spans="1:19" x14ac:dyDescent="0.3">
      <c r="A580" s="4" t="s">
        <v>1201</v>
      </c>
      <c r="B580" s="5">
        <v>44597</v>
      </c>
      <c r="C580" s="6" t="s">
        <v>1202</v>
      </c>
      <c r="D580" s="6" t="s">
        <v>25</v>
      </c>
      <c r="E580" s="6">
        <v>10200</v>
      </c>
      <c r="F580" s="6">
        <v>24.8</v>
      </c>
      <c r="G580" s="6">
        <v>36</v>
      </c>
      <c r="H580" s="6" t="s">
        <v>26</v>
      </c>
      <c r="I580" s="6" t="s">
        <v>20</v>
      </c>
      <c r="J580" s="6" t="s">
        <v>37</v>
      </c>
      <c r="K580" s="6">
        <v>31630</v>
      </c>
      <c r="L580" s="6" t="s">
        <v>29</v>
      </c>
      <c r="M580" s="6">
        <v>0.38</v>
      </c>
      <c r="N580" s="6">
        <v>0.81</v>
      </c>
      <c r="O580" s="6">
        <v>2118.66</v>
      </c>
      <c r="P580" s="6">
        <v>0</v>
      </c>
      <c r="Q580" s="6">
        <f t="shared" ca="1" si="29"/>
        <v>49</v>
      </c>
      <c r="R580" s="6">
        <f t="shared" si="27"/>
        <v>8081.34</v>
      </c>
      <c r="S580" s="7" t="str">
        <f t="shared" si="28"/>
        <v>Profit</v>
      </c>
    </row>
    <row r="581" spans="1:19" x14ac:dyDescent="0.3">
      <c r="A581" s="4" t="s">
        <v>1203</v>
      </c>
      <c r="B581" s="5">
        <v>44820</v>
      </c>
      <c r="C581" s="6" t="s">
        <v>1204</v>
      </c>
      <c r="D581" s="6" t="s">
        <v>53</v>
      </c>
      <c r="E581" s="6">
        <v>34997</v>
      </c>
      <c r="F581" s="6">
        <v>21.4</v>
      </c>
      <c r="G581" s="6">
        <v>36</v>
      </c>
      <c r="H581" s="6" t="s">
        <v>26</v>
      </c>
      <c r="I581" s="6" t="s">
        <v>20</v>
      </c>
      <c r="J581" s="6" t="s">
        <v>28</v>
      </c>
      <c r="K581" s="6">
        <v>50789</v>
      </c>
      <c r="L581" s="6" t="s">
        <v>22</v>
      </c>
      <c r="M581" s="6">
        <v>0.39</v>
      </c>
      <c r="N581" s="6">
        <v>0.88</v>
      </c>
      <c r="O581" s="6">
        <v>15275.01</v>
      </c>
      <c r="P581" s="6">
        <v>0</v>
      </c>
      <c r="Q581" s="6">
        <f t="shared" ca="1" si="29"/>
        <v>42</v>
      </c>
      <c r="R581" s="6">
        <f t="shared" si="27"/>
        <v>19721.989999999998</v>
      </c>
      <c r="S581" s="7" t="str">
        <f t="shared" si="28"/>
        <v>Profit</v>
      </c>
    </row>
    <row r="582" spans="1:19" x14ac:dyDescent="0.3">
      <c r="A582" s="4" t="s">
        <v>1205</v>
      </c>
      <c r="B582" s="5">
        <v>44963</v>
      </c>
      <c r="C582" s="6" t="s">
        <v>1206</v>
      </c>
      <c r="D582" s="6" t="s">
        <v>40</v>
      </c>
      <c r="E582" s="6">
        <v>26611</v>
      </c>
      <c r="F582" s="6">
        <v>18.899999999999999</v>
      </c>
      <c r="G582" s="6">
        <v>60</v>
      </c>
      <c r="H582" s="6" t="s">
        <v>80</v>
      </c>
      <c r="I582" s="6" t="s">
        <v>57</v>
      </c>
      <c r="J582" s="6" t="s">
        <v>37</v>
      </c>
      <c r="K582" s="6">
        <v>118059</v>
      </c>
      <c r="L582" s="6" t="s">
        <v>33</v>
      </c>
      <c r="M582" s="6">
        <v>0.12</v>
      </c>
      <c r="N582" s="6">
        <v>0.65</v>
      </c>
      <c r="O582" s="6">
        <v>3671.34</v>
      </c>
      <c r="P582" s="6">
        <v>13658.29</v>
      </c>
      <c r="Q582" s="6">
        <f t="shared" ca="1" si="29"/>
        <v>37</v>
      </c>
      <c r="R582" s="6">
        <f t="shared" si="27"/>
        <v>22939.66</v>
      </c>
      <c r="S582" s="7" t="str">
        <f t="shared" si="28"/>
        <v>Profit</v>
      </c>
    </row>
    <row r="583" spans="1:19" x14ac:dyDescent="0.3">
      <c r="A583" s="4" t="s">
        <v>1207</v>
      </c>
      <c r="B583" s="5">
        <v>45115</v>
      </c>
      <c r="C583" s="6" t="s">
        <v>1208</v>
      </c>
      <c r="D583" s="6" t="s">
        <v>64</v>
      </c>
      <c r="E583" s="6">
        <v>36057</v>
      </c>
      <c r="F583" s="6">
        <v>15.6</v>
      </c>
      <c r="G583" s="6">
        <v>60</v>
      </c>
      <c r="H583" s="6" t="s">
        <v>19</v>
      </c>
      <c r="I583" s="6" t="s">
        <v>27</v>
      </c>
      <c r="J583" s="6" t="s">
        <v>47</v>
      </c>
      <c r="K583" s="6">
        <v>113494</v>
      </c>
      <c r="L583" s="6" t="s">
        <v>22</v>
      </c>
      <c r="M583" s="6">
        <v>0.47</v>
      </c>
      <c r="N583" s="6">
        <v>0.9</v>
      </c>
      <c r="O583" s="6">
        <v>41681.89</v>
      </c>
      <c r="P583" s="6">
        <v>0</v>
      </c>
      <c r="Q583" s="6">
        <f t="shared" ca="1" si="29"/>
        <v>32</v>
      </c>
      <c r="R583" s="6">
        <f t="shared" si="27"/>
        <v>-5624.8899999999994</v>
      </c>
      <c r="S583" s="7" t="str">
        <f t="shared" si="28"/>
        <v>Loss</v>
      </c>
    </row>
    <row r="584" spans="1:19" x14ac:dyDescent="0.3">
      <c r="A584" s="4" t="s">
        <v>1209</v>
      </c>
      <c r="B584" s="5">
        <v>45049</v>
      </c>
      <c r="C584" s="6" t="s">
        <v>1210</v>
      </c>
      <c r="D584" s="6" t="s">
        <v>71</v>
      </c>
      <c r="E584" s="6">
        <v>2239</v>
      </c>
      <c r="F584" s="6">
        <v>14</v>
      </c>
      <c r="G584" s="6">
        <v>60</v>
      </c>
      <c r="H584" s="6" t="s">
        <v>19</v>
      </c>
      <c r="I584" s="6" t="s">
        <v>72</v>
      </c>
      <c r="J584" s="6" t="s">
        <v>21</v>
      </c>
      <c r="K584" s="6">
        <v>76151</v>
      </c>
      <c r="L584" s="6" t="s">
        <v>33</v>
      </c>
      <c r="M584" s="6">
        <v>0.14000000000000001</v>
      </c>
      <c r="N584" s="6">
        <v>0.56999999999999995</v>
      </c>
      <c r="O584" s="6">
        <v>2552.46</v>
      </c>
      <c r="P584" s="6">
        <v>0</v>
      </c>
      <c r="Q584" s="6">
        <f t="shared" ca="1" si="29"/>
        <v>34</v>
      </c>
      <c r="R584" s="6">
        <f t="shared" si="27"/>
        <v>-313.46000000000004</v>
      </c>
      <c r="S584" s="7" t="str">
        <f t="shared" si="28"/>
        <v>Loss</v>
      </c>
    </row>
    <row r="585" spans="1:19" x14ac:dyDescent="0.3">
      <c r="A585" s="4" t="s">
        <v>1211</v>
      </c>
      <c r="B585" s="5">
        <v>44774</v>
      </c>
      <c r="C585" s="6" t="s">
        <v>1212</v>
      </c>
      <c r="D585" s="6" t="s">
        <v>64</v>
      </c>
      <c r="E585" s="6">
        <v>39138</v>
      </c>
      <c r="F585" s="6">
        <v>6.7</v>
      </c>
      <c r="G585" s="6">
        <v>36</v>
      </c>
      <c r="H585" s="6" t="s">
        <v>19</v>
      </c>
      <c r="I585" s="6" t="s">
        <v>27</v>
      </c>
      <c r="J585" s="6" t="s">
        <v>21</v>
      </c>
      <c r="K585" s="6">
        <v>78920</v>
      </c>
      <c r="L585" s="6" t="s">
        <v>33</v>
      </c>
      <c r="M585" s="6">
        <v>0.21</v>
      </c>
      <c r="N585" s="6">
        <v>0.57999999999999996</v>
      </c>
      <c r="O585" s="6">
        <v>41760.25</v>
      </c>
      <c r="P585" s="6">
        <v>0</v>
      </c>
      <c r="Q585" s="6">
        <f t="shared" ca="1" si="29"/>
        <v>43</v>
      </c>
      <c r="R585" s="6">
        <f t="shared" si="27"/>
        <v>-2622.25</v>
      </c>
      <c r="S585" s="7" t="str">
        <f t="shared" si="28"/>
        <v>Loss</v>
      </c>
    </row>
    <row r="586" spans="1:19" x14ac:dyDescent="0.3">
      <c r="A586" s="4" t="s">
        <v>1213</v>
      </c>
      <c r="B586" s="5">
        <v>44271</v>
      </c>
      <c r="C586" s="6" t="s">
        <v>1214</v>
      </c>
      <c r="D586" s="6" t="s">
        <v>53</v>
      </c>
      <c r="E586" s="6">
        <v>1125</v>
      </c>
      <c r="F586" s="6">
        <v>13</v>
      </c>
      <c r="G586" s="6">
        <v>36</v>
      </c>
      <c r="H586" s="6" t="s">
        <v>19</v>
      </c>
      <c r="I586" s="6" t="s">
        <v>72</v>
      </c>
      <c r="J586" s="6" t="s">
        <v>47</v>
      </c>
      <c r="K586" s="6">
        <v>139388</v>
      </c>
      <c r="L586" s="6" t="s">
        <v>29</v>
      </c>
      <c r="M586" s="6">
        <v>0.37</v>
      </c>
      <c r="N586" s="6">
        <v>0.62</v>
      </c>
      <c r="O586" s="6">
        <v>1271.25</v>
      </c>
      <c r="P586" s="6">
        <v>0</v>
      </c>
      <c r="Q586" s="6">
        <f t="shared" ca="1" si="29"/>
        <v>60</v>
      </c>
      <c r="R586" s="6">
        <f t="shared" si="27"/>
        <v>-146.25</v>
      </c>
      <c r="S586" s="7" t="str">
        <f t="shared" si="28"/>
        <v>Loss</v>
      </c>
    </row>
    <row r="587" spans="1:19" x14ac:dyDescent="0.3">
      <c r="A587" s="4" t="s">
        <v>1215</v>
      </c>
      <c r="B587" s="5">
        <v>44631</v>
      </c>
      <c r="C587" s="6" t="s">
        <v>1216</v>
      </c>
      <c r="D587" s="6" t="s">
        <v>56</v>
      </c>
      <c r="E587" s="6">
        <v>24857</v>
      </c>
      <c r="F587" s="6">
        <v>23.2</v>
      </c>
      <c r="G587" s="6">
        <v>60</v>
      </c>
      <c r="H587" s="6" t="s">
        <v>26</v>
      </c>
      <c r="I587" s="6" t="s">
        <v>27</v>
      </c>
      <c r="J587" s="6" t="s">
        <v>32</v>
      </c>
      <c r="K587" s="6">
        <v>97231</v>
      </c>
      <c r="L587" s="6" t="s">
        <v>29</v>
      </c>
      <c r="M587" s="6">
        <v>0.17</v>
      </c>
      <c r="N587" s="6">
        <v>0.55000000000000004</v>
      </c>
      <c r="O587" s="6">
        <v>7569.96</v>
      </c>
      <c r="P587" s="6">
        <v>0</v>
      </c>
      <c r="Q587" s="6">
        <f t="shared" ca="1" si="29"/>
        <v>48</v>
      </c>
      <c r="R587" s="6">
        <f t="shared" si="27"/>
        <v>17287.04</v>
      </c>
      <c r="S587" s="7" t="str">
        <f t="shared" si="28"/>
        <v>Profit</v>
      </c>
    </row>
    <row r="588" spans="1:19" x14ac:dyDescent="0.3">
      <c r="A588" s="4" t="s">
        <v>1217</v>
      </c>
      <c r="B588" s="5">
        <v>44299</v>
      </c>
      <c r="C588" s="6" t="s">
        <v>1218</v>
      </c>
      <c r="D588" s="6" t="s">
        <v>64</v>
      </c>
      <c r="E588" s="6">
        <v>16398</v>
      </c>
      <c r="F588" s="6">
        <v>21.2</v>
      </c>
      <c r="G588" s="6">
        <v>36</v>
      </c>
      <c r="H588" s="6" t="s">
        <v>26</v>
      </c>
      <c r="I588" s="6" t="s">
        <v>20</v>
      </c>
      <c r="J588" s="6" t="s">
        <v>21</v>
      </c>
      <c r="K588" s="6">
        <v>147946</v>
      </c>
      <c r="L588" s="6" t="s">
        <v>22</v>
      </c>
      <c r="M588" s="6">
        <v>0.12</v>
      </c>
      <c r="N588" s="6">
        <v>0.6</v>
      </c>
      <c r="O588" s="6">
        <v>1868.19</v>
      </c>
      <c r="P588" s="6">
        <v>0</v>
      </c>
      <c r="Q588" s="6">
        <f t="shared" ca="1" si="29"/>
        <v>59</v>
      </c>
      <c r="R588" s="6">
        <f t="shared" si="27"/>
        <v>14529.81</v>
      </c>
      <c r="S588" s="7" t="str">
        <f t="shared" si="28"/>
        <v>Profit</v>
      </c>
    </row>
    <row r="589" spans="1:19" x14ac:dyDescent="0.3">
      <c r="A589" s="4" t="s">
        <v>1219</v>
      </c>
      <c r="B589" s="5">
        <v>44960</v>
      </c>
      <c r="C589" s="6" t="s">
        <v>1220</v>
      </c>
      <c r="D589" s="6" t="s">
        <v>53</v>
      </c>
      <c r="E589" s="6">
        <v>7638</v>
      </c>
      <c r="F589" s="6">
        <v>9.3000000000000007</v>
      </c>
      <c r="G589" s="6">
        <v>60</v>
      </c>
      <c r="H589" s="6" t="s">
        <v>80</v>
      </c>
      <c r="I589" s="6" t="s">
        <v>36</v>
      </c>
      <c r="J589" s="6" t="s">
        <v>28</v>
      </c>
      <c r="K589" s="6">
        <v>110357</v>
      </c>
      <c r="L589" s="6" t="s">
        <v>29</v>
      </c>
      <c r="M589" s="6">
        <v>0.23</v>
      </c>
      <c r="N589" s="6">
        <v>0.55000000000000004</v>
      </c>
      <c r="O589" s="6">
        <v>2378.77</v>
      </c>
      <c r="P589" s="6">
        <v>1767.84</v>
      </c>
      <c r="Q589" s="6">
        <f t="shared" ca="1" si="29"/>
        <v>37</v>
      </c>
      <c r="R589" s="6">
        <f t="shared" si="27"/>
        <v>5259.23</v>
      </c>
      <c r="S589" s="7" t="str">
        <f t="shared" si="28"/>
        <v>Profit</v>
      </c>
    </row>
    <row r="590" spans="1:19" x14ac:dyDescent="0.3">
      <c r="A590" s="4" t="s">
        <v>1221</v>
      </c>
      <c r="B590" s="5">
        <v>44934</v>
      </c>
      <c r="C590" s="6" t="s">
        <v>1222</v>
      </c>
      <c r="D590" s="6" t="s">
        <v>50</v>
      </c>
      <c r="E590" s="6">
        <v>7570</v>
      </c>
      <c r="F590" s="6">
        <v>14.3</v>
      </c>
      <c r="G590" s="6">
        <v>60</v>
      </c>
      <c r="H590" s="6" t="s">
        <v>19</v>
      </c>
      <c r="I590" s="6" t="s">
        <v>20</v>
      </c>
      <c r="J590" s="6" t="s">
        <v>21</v>
      </c>
      <c r="K590" s="6">
        <v>33262</v>
      </c>
      <c r="L590" s="6" t="s">
        <v>33</v>
      </c>
      <c r="M590" s="6">
        <v>0.41</v>
      </c>
      <c r="N590" s="6">
        <v>0.87</v>
      </c>
      <c r="O590" s="6">
        <v>8652.51</v>
      </c>
      <c r="P590" s="6">
        <v>0</v>
      </c>
      <c r="Q590" s="6">
        <f t="shared" ca="1" si="29"/>
        <v>38</v>
      </c>
      <c r="R590" s="6">
        <f t="shared" si="27"/>
        <v>-1082.5100000000002</v>
      </c>
      <c r="S590" s="7" t="str">
        <f t="shared" si="28"/>
        <v>Loss</v>
      </c>
    </row>
    <row r="591" spans="1:19" x14ac:dyDescent="0.3">
      <c r="A591" s="4" t="s">
        <v>1223</v>
      </c>
      <c r="B591" s="5">
        <v>45002</v>
      </c>
      <c r="C591" s="6" t="s">
        <v>1224</v>
      </c>
      <c r="D591" s="6" t="s">
        <v>46</v>
      </c>
      <c r="E591" s="6">
        <v>4249</v>
      </c>
      <c r="F591" s="6">
        <v>21.3</v>
      </c>
      <c r="G591" s="6">
        <v>36</v>
      </c>
      <c r="H591" s="6" t="s">
        <v>80</v>
      </c>
      <c r="I591" s="6" t="s">
        <v>57</v>
      </c>
      <c r="J591" s="6" t="s">
        <v>32</v>
      </c>
      <c r="K591" s="6">
        <v>96981</v>
      </c>
      <c r="L591" s="6" t="s">
        <v>33</v>
      </c>
      <c r="M591" s="6">
        <v>0.27</v>
      </c>
      <c r="N591" s="6">
        <v>0.56000000000000005</v>
      </c>
      <c r="O591" s="6">
        <v>1578.6</v>
      </c>
      <c r="P591" s="6">
        <v>1006.52</v>
      </c>
      <c r="Q591" s="6">
        <f t="shared" ca="1" si="29"/>
        <v>36</v>
      </c>
      <c r="R591" s="6">
        <f t="shared" si="27"/>
        <v>2670.4</v>
      </c>
      <c r="S591" s="7" t="str">
        <f t="shared" si="28"/>
        <v>Profit</v>
      </c>
    </row>
    <row r="592" spans="1:19" x14ac:dyDescent="0.3">
      <c r="A592" s="4" t="s">
        <v>1225</v>
      </c>
      <c r="B592" s="5">
        <v>44294</v>
      </c>
      <c r="C592" s="6" t="s">
        <v>1226</v>
      </c>
      <c r="D592" s="6" t="s">
        <v>75</v>
      </c>
      <c r="E592" s="6">
        <v>10110</v>
      </c>
      <c r="F592" s="6">
        <v>6.3</v>
      </c>
      <c r="G592" s="6">
        <v>60</v>
      </c>
      <c r="H592" s="6" t="s">
        <v>19</v>
      </c>
      <c r="I592" s="6" t="s">
        <v>27</v>
      </c>
      <c r="J592" s="6" t="s">
        <v>28</v>
      </c>
      <c r="K592" s="6">
        <v>111972</v>
      </c>
      <c r="L592" s="6" t="s">
        <v>22</v>
      </c>
      <c r="M592" s="6">
        <v>0.36</v>
      </c>
      <c r="N592" s="6">
        <v>0.84</v>
      </c>
      <c r="O592" s="6">
        <v>10746.93</v>
      </c>
      <c r="P592" s="6">
        <v>0</v>
      </c>
      <c r="Q592" s="6">
        <f t="shared" ca="1" si="29"/>
        <v>59</v>
      </c>
      <c r="R592" s="6">
        <f t="shared" si="27"/>
        <v>-636.93000000000029</v>
      </c>
      <c r="S592" s="7" t="str">
        <f t="shared" si="28"/>
        <v>Loss</v>
      </c>
    </row>
    <row r="593" spans="1:19" x14ac:dyDescent="0.3">
      <c r="A593" s="4" t="s">
        <v>1227</v>
      </c>
      <c r="B593" s="5">
        <v>44994</v>
      </c>
      <c r="C593" s="6" t="s">
        <v>1228</v>
      </c>
      <c r="D593" s="6" t="s">
        <v>50</v>
      </c>
      <c r="E593" s="6">
        <v>14605</v>
      </c>
      <c r="F593" s="6">
        <v>12.7</v>
      </c>
      <c r="G593" s="6">
        <v>36</v>
      </c>
      <c r="H593" s="6" t="s">
        <v>19</v>
      </c>
      <c r="I593" s="6" t="s">
        <v>57</v>
      </c>
      <c r="J593" s="6" t="s">
        <v>28</v>
      </c>
      <c r="K593" s="6">
        <v>105485</v>
      </c>
      <c r="L593" s="6" t="s">
        <v>22</v>
      </c>
      <c r="M593" s="6">
        <v>0.33</v>
      </c>
      <c r="N593" s="6">
        <v>0.52</v>
      </c>
      <c r="O593" s="6">
        <v>16459.84</v>
      </c>
      <c r="P593" s="6">
        <v>0</v>
      </c>
      <c r="Q593" s="6">
        <f t="shared" ca="1" si="29"/>
        <v>36</v>
      </c>
      <c r="R593" s="6">
        <f t="shared" si="27"/>
        <v>-1854.8400000000001</v>
      </c>
      <c r="S593" s="7" t="str">
        <f t="shared" si="28"/>
        <v>Loss</v>
      </c>
    </row>
    <row r="594" spans="1:19" x14ac:dyDescent="0.3">
      <c r="A594" s="4" t="s">
        <v>1229</v>
      </c>
      <c r="B594" s="5">
        <v>45055</v>
      </c>
      <c r="C594" s="6" t="s">
        <v>1230</v>
      </c>
      <c r="D594" s="6" t="s">
        <v>53</v>
      </c>
      <c r="E594" s="6">
        <v>13115</v>
      </c>
      <c r="F594" s="6">
        <v>22</v>
      </c>
      <c r="G594" s="6">
        <v>36</v>
      </c>
      <c r="H594" s="6" t="s">
        <v>19</v>
      </c>
      <c r="I594" s="6" t="s">
        <v>36</v>
      </c>
      <c r="J594" s="6" t="s">
        <v>47</v>
      </c>
      <c r="K594" s="6">
        <v>84722</v>
      </c>
      <c r="L594" s="6" t="s">
        <v>33</v>
      </c>
      <c r="M594" s="6">
        <v>0.11</v>
      </c>
      <c r="N594" s="6">
        <v>0.93</v>
      </c>
      <c r="O594" s="6">
        <v>16000.3</v>
      </c>
      <c r="P594" s="6">
        <v>0</v>
      </c>
      <c r="Q594" s="6">
        <f t="shared" ca="1" si="29"/>
        <v>34</v>
      </c>
      <c r="R594" s="6">
        <f t="shared" si="27"/>
        <v>-2885.2999999999993</v>
      </c>
      <c r="S594" s="7" t="str">
        <f t="shared" si="28"/>
        <v>Loss</v>
      </c>
    </row>
    <row r="595" spans="1:19" x14ac:dyDescent="0.3">
      <c r="A595" s="4" t="s">
        <v>1231</v>
      </c>
      <c r="B595" s="5">
        <v>44631</v>
      </c>
      <c r="C595" s="6" t="s">
        <v>1232</v>
      </c>
      <c r="D595" s="6" t="s">
        <v>18</v>
      </c>
      <c r="E595" s="6">
        <v>23911</v>
      </c>
      <c r="F595" s="6">
        <v>13.1</v>
      </c>
      <c r="G595" s="6">
        <v>60</v>
      </c>
      <c r="H595" s="6" t="s">
        <v>26</v>
      </c>
      <c r="I595" s="6" t="s">
        <v>72</v>
      </c>
      <c r="J595" s="6" t="s">
        <v>37</v>
      </c>
      <c r="K595" s="6">
        <v>119499</v>
      </c>
      <c r="L595" s="6" t="s">
        <v>29</v>
      </c>
      <c r="M595" s="6">
        <v>0.5</v>
      </c>
      <c r="N595" s="6">
        <v>0.82</v>
      </c>
      <c r="O595" s="6">
        <v>5871.91</v>
      </c>
      <c r="P595" s="6">
        <v>0</v>
      </c>
      <c r="Q595" s="6">
        <f t="shared" ca="1" si="29"/>
        <v>48</v>
      </c>
      <c r="R595" s="6">
        <f t="shared" si="27"/>
        <v>18039.09</v>
      </c>
      <c r="S595" s="7" t="str">
        <f t="shared" si="28"/>
        <v>Profit</v>
      </c>
    </row>
    <row r="596" spans="1:19" x14ac:dyDescent="0.3">
      <c r="A596" s="4" t="s">
        <v>1233</v>
      </c>
      <c r="B596" s="5">
        <v>44643</v>
      </c>
      <c r="C596" s="6" t="s">
        <v>1234</v>
      </c>
      <c r="D596" s="6" t="s">
        <v>40</v>
      </c>
      <c r="E596" s="6">
        <v>39525</v>
      </c>
      <c r="F596" s="6">
        <v>6.6</v>
      </c>
      <c r="G596" s="6">
        <v>36</v>
      </c>
      <c r="H596" s="6" t="s">
        <v>19</v>
      </c>
      <c r="I596" s="6" t="s">
        <v>83</v>
      </c>
      <c r="J596" s="6" t="s">
        <v>47</v>
      </c>
      <c r="K596" s="6">
        <v>80818</v>
      </c>
      <c r="L596" s="6" t="s">
        <v>29</v>
      </c>
      <c r="M596" s="6">
        <v>0.12</v>
      </c>
      <c r="N596" s="6">
        <v>0.5</v>
      </c>
      <c r="O596" s="6">
        <v>42133.65</v>
      </c>
      <c r="P596" s="6">
        <v>0</v>
      </c>
      <c r="Q596" s="6">
        <f t="shared" ca="1" si="29"/>
        <v>47</v>
      </c>
      <c r="R596" s="6">
        <f t="shared" si="27"/>
        <v>-2608.6500000000015</v>
      </c>
      <c r="S596" s="7" t="str">
        <f t="shared" si="28"/>
        <v>Loss</v>
      </c>
    </row>
    <row r="597" spans="1:19" x14ac:dyDescent="0.3">
      <c r="A597" s="4" t="s">
        <v>1235</v>
      </c>
      <c r="B597" s="5">
        <v>44445</v>
      </c>
      <c r="C597" s="6" t="s">
        <v>1236</v>
      </c>
      <c r="D597" s="6" t="s">
        <v>75</v>
      </c>
      <c r="E597" s="6">
        <v>33556</v>
      </c>
      <c r="F597" s="6">
        <v>15.9</v>
      </c>
      <c r="G597" s="6">
        <v>60</v>
      </c>
      <c r="H597" s="6" t="s">
        <v>80</v>
      </c>
      <c r="I597" s="6" t="s">
        <v>83</v>
      </c>
      <c r="J597" s="6" t="s">
        <v>37</v>
      </c>
      <c r="K597" s="6">
        <v>59932</v>
      </c>
      <c r="L597" s="6" t="s">
        <v>22</v>
      </c>
      <c r="M597" s="6">
        <v>0.49</v>
      </c>
      <c r="N597" s="6">
        <v>0.84</v>
      </c>
      <c r="O597" s="6">
        <v>8269.1299999999992</v>
      </c>
      <c r="P597" s="6">
        <v>9226.86</v>
      </c>
      <c r="Q597" s="6">
        <f t="shared" ca="1" si="29"/>
        <v>54</v>
      </c>
      <c r="R597" s="6">
        <f t="shared" si="27"/>
        <v>25286.870000000003</v>
      </c>
      <c r="S597" s="7" t="str">
        <f t="shared" si="28"/>
        <v>Profit</v>
      </c>
    </row>
    <row r="598" spans="1:19" x14ac:dyDescent="0.3">
      <c r="A598" s="4" t="s">
        <v>1237</v>
      </c>
      <c r="B598" s="5">
        <v>44362</v>
      </c>
      <c r="C598" s="6" t="s">
        <v>1238</v>
      </c>
      <c r="D598" s="6" t="s">
        <v>18</v>
      </c>
      <c r="E598" s="6">
        <v>13595</v>
      </c>
      <c r="F598" s="6">
        <v>22.2</v>
      </c>
      <c r="G598" s="6">
        <v>36</v>
      </c>
      <c r="H598" s="6" t="s">
        <v>80</v>
      </c>
      <c r="I598" s="6" t="s">
        <v>41</v>
      </c>
      <c r="J598" s="6" t="s">
        <v>47</v>
      </c>
      <c r="K598" s="6">
        <v>36901</v>
      </c>
      <c r="L598" s="6" t="s">
        <v>22</v>
      </c>
      <c r="M598" s="6">
        <v>0.32</v>
      </c>
      <c r="N598" s="6">
        <v>0.73</v>
      </c>
      <c r="O598" s="6">
        <v>5141.99</v>
      </c>
      <c r="P598" s="6">
        <v>2205.12</v>
      </c>
      <c r="Q598" s="6">
        <f t="shared" ca="1" si="29"/>
        <v>57</v>
      </c>
      <c r="R598" s="6">
        <f t="shared" si="27"/>
        <v>8453.01</v>
      </c>
      <c r="S598" s="7" t="str">
        <f t="shared" si="28"/>
        <v>Profit</v>
      </c>
    </row>
    <row r="599" spans="1:19" x14ac:dyDescent="0.3">
      <c r="A599" s="4" t="s">
        <v>1239</v>
      </c>
      <c r="B599" s="5">
        <v>45180</v>
      </c>
      <c r="C599" s="6" t="s">
        <v>1240</v>
      </c>
      <c r="D599" s="6" t="s">
        <v>56</v>
      </c>
      <c r="E599" s="6">
        <v>2969</v>
      </c>
      <c r="F599" s="6">
        <v>16.8</v>
      </c>
      <c r="G599" s="6">
        <v>36</v>
      </c>
      <c r="H599" s="6" t="s">
        <v>80</v>
      </c>
      <c r="I599" s="6" t="s">
        <v>36</v>
      </c>
      <c r="J599" s="6" t="s">
        <v>37</v>
      </c>
      <c r="K599" s="6">
        <v>147473</v>
      </c>
      <c r="L599" s="6" t="s">
        <v>33</v>
      </c>
      <c r="M599" s="6">
        <v>0.49</v>
      </c>
      <c r="N599" s="6">
        <v>0.85</v>
      </c>
      <c r="O599" s="6">
        <v>760.95</v>
      </c>
      <c r="P599" s="6">
        <v>303.63</v>
      </c>
      <c r="Q599" s="6">
        <f t="shared" ca="1" si="29"/>
        <v>30</v>
      </c>
      <c r="R599" s="6">
        <f t="shared" si="27"/>
        <v>2208.0500000000002</v>
      </c>
      <c r="S599" s="7" t="str">
        <f t="shared" si="28"/>
        <v>Profit</v>
      </c>
    </row>
    <row r="600" spans="1:19" x14ac:dyDescent="0.3">
      <c r="A600" s="4" t="s">
        <v>1241</v>
      </c>
      <c r="B600" s="5">
        <v>45216</v>
      </c>
      <c r="C600" s="6" t="s">
        <v>1242</v>
      </c>
      <c r="D600" s="6" t="s">
        <v>25</v>
      </c>
      <c r="E600" s="6">
        <v>18275</v>
      </c>
      <c r="F600" s="6">
        <v>9.5</v>
      </c>
      <c r="G600" s="6">
        <v>36</v>
      </c>
      <c r="H600" s="6" t="s">
        <v>19</v>
      </c>
      <c r="I600" s="6" t="s">
        <v>36</v>
      </c>
      <c r="J600" s="6" t="s">
        <v>21</v>
      </c>
      <c r="K600" s="6">
        <v>129023</v>
      </c>
      <c r="L600" s="6" t="s">
        <v>33</v>
      </c>
      <c r="M600" s="6">
        <v>0.15</v>
      </c>
      <c r="N600" s="6">
        <v>0.74</v>
      </c>
      <c r="O600" s="6">
        <v>20011.12</v>
      </c>
      <c r="P600" s="6">
        <v>0</v>
      </c>
      <c r="Q600" s="6">
        <f t="shared" ca="1" si="29"/>
        <v>29</v>
      </c>
      <c r="R600" s="6">
        <f t="shared" si="27"/>
        <v>-1736.119999999999</v>
      </c>
      <c r="S600" s="7" t="str">
        <f t="shared" si="28"/>
        <v>Loss</v>
      </c>
    </row>
    <row r="601" spans="1:19" x14ac:dyDescent="0.3">
      <c r="A601" s="4" t="s">
        <v>1243</v>
      </c>
      <c r="B601" s="5">
        <v>44738</v>
      </c>
      <c r="C601" s="6" t="s">
        <v>1244</v>
      </c>
      <c r="D601" s="6" t="s">
        <v>71</v>
      </c>
      <c r="E601" s="6">
        <v>5470</v>
      </c>
      <c r="F601" s="6">
        <v>12.7</v>
      </c>
      <c r="G601" s="6">
        <v>60</v>
      </c>
      <c r="H601" s="6" t="s">
        <v>80</v>
      </c>
      <c r="I601" s="6" t="s">
        <v>27</v>
      </c>
      <c r="J601" s="6" t="s">
        <v>28</v>
      </c>
      <c r="K601" s="6">
        <v>38597</v>
      </c>
      <c r="L601" s="6" t="s">
        <v>22</v>
      </c>
      <c r="M601" s="6">
        <v>0.3</v>
      </c>
      <c r="N601" s="6">
        <v>0.79</v>
      </c>
      <c r="O601" s="6">
        <v>1347.15</v>
      </c>
      <c r="P601" s="6">
        <v>2258.6</v>
      </c>
      <c r="Q601" s="6">
        <f t="shared" ca="1" si="29"/>
        <v>44</v>
      </c>
      <c r="R601" s="6">
        <f t="shared" si="27"/>
        <v>4122.8500000000004</v>
      </c>
      <c r="S601" s="7" t="str">
        <f t="shared" si="28"/>
        <v>Profit</v>
      </c>
    </row>
    <row r="602" spans="1:19" x14ac:dyDescent="0.3">
      <c r="A602" s="4" t="s">
        <v>1245</v>
      </c>
      <c r="B602" s="5">
        <v>44955</v>
      </c>
      <c r="C602" s="6" t="s">
        <v>1246</v>
      </c>
      <c r="D602" s="6" t="s">
        <v>75</v>
      </c>
      <c r="E602" s="6">
        <v>11225</v>
      </c>
      <c r="F602" s="6">
        <v>14</v>
      </c>
      <c r="G602" s="6">
        <v>36</v>
      </c>
      <c r="H602" s="6" t="s">
        <v>26</v>
      </c>
      <c r="I602" s="6" t="s">
        <v>57</v>
      </c>
      <c r="J602" s="6" t="s">
        <v>37</v>
      </c>
      <c r="K602" s="6">
        <v>93909</v>
      </c>
      <c r="L602" s="6" t="s">
        <v>33</v>
      </c>
      <c r="M602" s="6">
        <v>0.17</v>
      </c>
      <c r="N602" s="6">
        <v>0.85</v>
      </c>
      <c r="O602" s="6">
        <v>3482.53</v>
      </c>
      <c r="P602" s="6">
        <v>0</v>
      </c>
      <c r="Q602" s="6">
        <f t="shared" ca="1" si="29"/>
        <v>37</v>
      </c>
      <c r="R602" s="6">
        <f t="shared" si="27"/>
        <v>7742.4699999999993</v>
      </c>
      <c r="S602" s="7" t="str">
        <f t="shared" si="28"/>
        <v>Profit</v>
      </c>
    </row>
    <row r="603" spans="1:19" x14ac:dyDescent="0.3">
      <c r="A603" s="4" t="s">
        <v>1247</v>
      </c>
      <c r="B603" s="5">
        <v>44277</v>
      </c>
      <c r="C603" s="6" t="s">
        <v>1248</v>
      </c>
      <c r="D603" s="6" t="s">
        <v>50</v>
      </c>
      <c r="E603" s="6">
        <v>24196</v>
      </c>
      <c r="F603" s="6">
        <v>16.600000000000001</v>
      </c>
      <c r="G603" s="6">
        <v>60</v>
      </c>
      <c r="H603" s="6" t="s">
        <v>19</v>
      </c>
      <c r="I603" s="6" t="s">
        <v>20</v>
      </c>
      <c r="J603" s="6" t="s">
        <v>21</v>
      </c>
      <c r="K603" s="6">
        <v>102391</v>
      </c>
      <c r="L603" s="6" t="s">
        <v>22</v>
      </c>
      <c r="M603" s="6">
        <v>0.12</v>
      </c>
      <c r="N603" s="6">
        <v>0.68</v>
      </c>
      <c r="O603" s="6">
        <v>28212.54</v>
      </c>
      <c r="P603" s="6">
        <v>0</v>
      </c>
      <c r="Q603" s="6">
        <f t="shared" ca="1" si="29"/>
        <v>59</v>
      </c>
      <c r="R603" s="6">
        <f t="shared" si="27"/>
        <v>-4016.5400000000009</v>
      </c>
      <c r="S603" s="7" t="str">
        <f t="shared" si="28"/>
        <v>Loss</v>
      </c>
    </row>
    <row r="604" spans="1:19" x14ac:dyDescent="0.3">
      <c r="A604" s="4" t="s">
        <v>1249</v>
      </c>
      <c r="B604" s="5">
        <v>44329</v>
      </c>
      <c r="C604" s="6" t="s">
        <v>1250</v>
      </c>
      <c r="D604" s="6" t="s">
        <v>40</v>
      </c>
      <c r="E604" s="6">
        <v>14669</v>
      </c>
      <c r="F604" s="6">
        <v>20.2</v>
      </c>
      <c r="G604" s="6">
        <v>36</v>
      </c>
      <c r="H604" s="6" t="s">
        <v>19</v>
      </c>
      <c r="I604" s="6" t="s">
        <v>27</v>
      </c>
      <c r="J604" s="6" t="s">
        <v>32</v>
      </c>
      <c r="K604" s="6">
        <v>114214</v>
      </c>
      <c r="L604" s="6" t="s">
        <v>22</v>
      </c>
      <c r="M604" s="6">
        <v>0.35</v>
      </c>
      <c r="N604" s="6">
        <v>0.5</v>
      </c>
      <c r="O604" s="6">
        <v>17632.14</v>
      </c>
      <c r="P604" s="6">
        <v>0</v>
      </c>
      <c r="Q604" s="6">
        <f t="shared" ca="1" si="29"/>
        <v>58</v>
      </c>
      <c r="R604" s="6">
        <f t="shared" si="27"/>
        <v>-2963.1399999999994</v>
      </c>
      <c r="S604" s="7" t="str">
        <f t="shared" si="28"/>
        <v>Loss</v>
      </c>
    </row>
    <row r="605" spans="1:19" x14ac:dyDescent="0.3">
      <c r="A605" s="4" t="s">
        <v>1251</v>
      </c>
      <c r="B605" s="5">
        <v>44993</v>
      </c>
      <c r="C605" s="6" t="s">
        <v>1252</v>
      </c>
      <c r="D605" s="6" t="s">
        <v>18</v>
      </c>
      <c r="E605" s="6">
        <v>38380</v>
      </c>
      <c r="F605" s="6">
        <v>7</v>
      </c>
      <c r="G605" s="6">
        <v>36</v>
      </c>
      <c r="H605" s="6" t="s">
        <v>19</v>
      </c>
      <c r="I605" s="6" t="s">
        <v>41</v>
      </c>
      <c r="J605" s="6" t="s">
        <v>47</v>
      </c>
      <c r="K605" s="6">
        <v>38263</v>
      </c>
      <c r="L605" s="6" t="s">
        <v>29</v>
      </c>
      <c r="M605" s="6">
        <v>0.18</v>
      </c>
      <c r="N605" s="6">
        <v>0.88</v>
      </c>
      <c r="O605" s="6">
        <v>41066.6</v>
      </c>
      <c r="P605" s="6">
        <v>0</v>
      </c>
      <c r="Q605" s="6">
        <f t="shared" ca="1" si="29"/>
        <v>36</v>
      </c>
      <c r="R605" s="6">
        <f t="shared" si="27"/>
        <v>-2686.5999999999985</v>
      </c>
      <c r="S605" s="7" t="str">
        <f t="shared" si="28"/>
        <v>Loss</v>
      </c>
    </row>
    <row r="606" spans="1:19" x14ac:dyDescent="0.3">
      <c r="A606" s="4" t="s">
        <v>1253</v>
      </c>
      <c r="B606" s="5">
        <v>45096</v>
      </c>
      <c r="C606" s="6" t="s">
        <v>1254</v>
      </c>
      <c r="D606" s="6" t="s">
        <v>53</v>
      </c>
      <c r="E606" s="6">
        <v>39006</v>
      </c>
      <c r="F606" s="6">
        <v>22.8</v>
      </c>
      <c r="G606" s="6">
        <v>60</v>
      </c>
      <c r="H606" s="6" t="s">
        <v>19</v>
      </c>
      <c r="I606" s="6" t="s">
        <v>27</v>
      </c>
      <c r="J606" s="6" t="s">
        <v>32</v>
      </c>
      <c r="K606" s="6">
        <v>93293</v>
      </c>
      <c r="L606" s="6" t="s">
        <v>22</v>
      </c>
      <c r="M606" s="6">
        <v>0.34</v>
      </c>
      <c r="N606" s="6">
        <v>0.67</v>
      </c>
      <c r="O606" s="6">
        <v>47899.37</v>
      </c>
      <c r="P606" s="6">
        <v>0</v>
      </c>
      <c r="Q606" s="6">
        <f t="shared" ca="1" si="29"/>
        <v>33</v>
      </c>
      <c r="R606" s="6">
        <f t="shared" si="27"/>
        <v>-8893.3700000000026</v>
      </c>
      <c r="S606" s="7" t="str">
        <f t="shared" si="28"/>
        <v>Loss</v>
      </c>
    </row>
    <row r="607" spans="1:19" x14ac:dyDescent="0.3">
      <c r="A607" s="4" t="s">
        <v>1255</v>
      </c>
      <c r="B607" s="5">
        <v>44334</v>
      </c>
      <c r="C607" s="6" t="s">
        <v>1256</v>
      </c>
      <c r="D607" s="6" t="s">
        <v>75</v>
      </c>
      <c r="E607" s="6">
        <v>16577</v>
      </c>
      <c r="F607" s="6">
        <v>5.2</v>
      </c>
      <c r="G607" s="6">
        <v>60</v>
      </c>
      <c r="H607" s="6" t="s">
        <v>19</v>
      </c>
      <c r="I607" s="6" t="s">
        <v>36</v>
      </c>
      <c r="J607" s="6" t="s">
        <v>21</v>
      </c>
      <c r="K607" s="6">
        <v>142824</v>
      </c>
      <c r="L607" s="6" t="s">
        <v>33</v>
      </c>
      <c r="M607" s="6">
        <v>0.14000000000000001</v>
      </c>
      <c r="N607" s="6">
        <v>0.72</v>
      </c>
      <c r="O607" s="6">
        <v>17439</v>
      </c>
      <c r="P607" s="6">
        <v>0</v>
      </c>
      <c r="Q607" s="6">
        <f t="shared" ca="1" si="29"/>
        <v>58</v>
      </c>
      <c r="R607" s="6">
        <f t="shared" si="27"/>
        <v>-862</v>
      </c>
      <c r="S607" s="7" t="str">
        <f t="shared" si="28"/>
        <v>Loss</v>
      </c>
    </row>
    <row r="608" spans="1:19" x14ac:dyDescent="0.3">
      <c r="A608" s="4" t="s">
        <v>1257</v>
      </c>
      <c r="B608" s="5">
        <v>44380</v>
      </c>
      <c r="C608" s="6" t="s">
        <v>1258</v>
      </c>
      <c r="D608" s="6" t="s">
        <v>25</v>
      </c>
      <c r="E608" s="6">
        <v>23473</v>
      </c>
      <c r="F608" s="6">
        <v>12.4</v>
      </c>
      <c r="G608" s="6">
        <v>60</v>
      </c>
      <c r="H608" s="6" t="s">
        <v>2045</v>
      </c>
      <c r="I608" s="6" t="s">
        <v>83</v>
      </c>
      <c r="J608" s="6" t="s">
        <v>32</v>
      </c>
      <c r="K608" s="6">
        <v>55805</v>
      </c>
      <c r="L608" s="6" t="s">
        <v>29</v>
      </c>
      <c r="M608" s="6">
        <v>0.23</v>
      </c>
      <c r="N608" s="6">
        <v>0.5</v>
      </c>
      <c r="O608" s="6">
        <v>0</v>
      </c>
      <c r="P608" s="6">
        <v>0</v>
      </c>
      <c r="Q608" s="6">
        <f t="shared" ca="1" si="29"/>
        <v>56</v>
      </c>
      <c r="R608" s="6">
        <f t="shared" si="27"/>
        <v>23473</v>
      </c>
      <c r="S608" s="7" t="str">
        <f t="shared" si="28"/>
        <v>Profit</v>
      </c>
    </row>
    <row r="609" spans="1:19" x14ac:dyDescent="0.3">
      <c r="A609" s="4" t="s">
        <v>1259</v>
      </c>
      <c r="B609" s="5">
        <v>44981</v>
      </c>
      <c r="C609" s="6" t="s">
        <v>1260</v>
      </c>
      <c r="D609" s="6" t="s">
        <v>53</v>
      </c>
      <c r="E609" s="6">
        <v>29625</v>
      </c>
      <c r="F609" s="6">
        <v>5.5</v>
      </c>
      <c r="G609" s="6">
        <v>60</v>
      </c>
      <c r="H609" s="6" t="s">
        <v>19</v>
      </c>
      <c r="I609" s="6" t="s">
        <v>20</v>
      </c>
      <c r="J609" s="6" t="s">
        <v>32</v>
      </c>
      <c r="K609" s="6">
        <v>121679</v>
      </c>
      <c r="L609" s="6" t="s">
        <v>29</v>
      </c>
      <c r="M609" s="6">
        <v>0.41</v>
      </c>
      <c r="N609" s="6">
        <v>0.72</v>
      </c>
      <c r="O609" s="6">
        <v>31254.37</v>
      </c>
      <c r="P609" s="6">
        <v>0</v>
      </c>
      <c r="Q609" s="6">
        <f t="shared" ca="1" si="29"/>
        <v>36</v>
      </c>
      <c r="R609" s="6">
        <f t="shared" si="27"/>
        <v>-1629.369999999999</v>
      </c>
      <c r="S609" s="7" t="str">
        <f t="shared" si="28"/>
        <v>Loss</v>
      </c>
    </row>
    <row r="610" spans="1:19" x14ac:dyDescent="0.3">
      <c r="A610" s="4" t="s">
        <v>1261</v>
      </c>
      <c r="B610" s="5">
        <v>45180</v>
      </c>
      <c r="C610" s="6" t="s">
        <v>1262</v>
      </c>
      <c r="D610" s="6" t="s">
        <v>18</v>
      </c>
      <c r="E610" s="6">
        <v>16504</v>
      </c>
      <c r="F610" s="6">
        <v>12.9</v>
      </c>
      <c r="G610" s="6">
        <v>60</v>
      </c>
      <c r="H610" s="6" t="s">
        <v>19</v>
      </c>
      <c r="I610" s="6" t="s">
        <v>20</v>
      </c>
      <c r="J610" s="6" t="s">
        <v>21</v>
      </c>
      <c r="K610" s="6">
        <v>41874</v>
      </c>
      <c r="L610" s="6" t="s">
        <v>33</v>
      </c>
      <c r="M610" s="6">
        <v>0.27</v>
      </c>
      <c r="N610" s="6">
        <v>0.94</v>
      </c>
      <c r="O610" s="6">
        <v>18633.02</v>
      </c>
      <c r="P610" s="6">
        <v>0</v>
      </c>
      <c r="Q610" s="6">
        <f t="shared" ca="1" si="29"/>
        <v>30</v>
      </c>
      <c r="R610" s="6">
        <f t="shared" si="27"/>
        <v>-2129.0200000000004</v>
      </c>
      <c r="S610" s="7" t="str">
        <f t="shared" si="28"/>
        <v>Loss</v>
      </c>
    </row>
    <row r="611" spans="1:19" x14ac:dyDescent="0.3">
      <c r="A611" s="4" t="s">
        <v>1263</v>
      </c>
      <c r="B611" s="5">
        <v>44265</v>
      </c>
      <c r="C611" s="6" t="s">
        <v>1264</v>
      </c>
      <c r="D611" s="6" t="s">
        <v>40</v>
      </c>
      <c r="E611" s="6">
        <v>25089</v>
      </c>
      <c r="F611" s="6">
        <v>15.5</v>
      </c>
      <c r="G611" s="6">
        <v>36</v>
      </c>
      <c r="H611" s="6" t="s">
        <v>2045</v>
      </c>
      <c r="I611" s="6" t="s">
        <v>57</v>
      </c>
      <c r="J611" s="6" t="s">
        <v>28</v>
      </c>
      <c r="K611" s="6">
        <v>123065</v>
      </c>
      <c r="L611" s="6" t="s">
        <v>33</v>
      </c>
      <c r="M611" s="6">
        <v>0.35</v>
      </c>
      <c r="N611" s="6">
        <v>0.63</v>
      </c>
      <c r="O611" s="6">
        <v>0</v>
      </c>
      <c r="P611" s="6">
        <v>0</v>
      </c>
      <c r="Q611" s="6">
        <f t="shared" ca="1" si="29"/>
        <v>60</v>
      </c>
      <c r="R611" s="6">
        <f t="shared" si="27"/>
        <v>25089</v>
      </c>
      <c r="S611" s="7" t="str">
        <f t="shared" si="28"/>
        <v>Profit</v>
      </c>
    </row>
    <row r="612" spans="1:19" x14ac:dyDescent="0.3">
      <c r="A612" s="4" t="s">
        <v>1265</v>
      </c>
      <c r="B612" s="5">
        <v>44742</v>
      </c>
      <c r="C612" s="6" t="s">
        <v>1266</v>
      </c>
      <c r="D612" s="6" t="s">
        <v>64</v>
      </c>
      <c r="E612" s="6">
        <v>37487</v>
      </c>
      <c r="F612" s="6">
        <v>15.2</v>
      </c>
      <c r="G612" s="6">
        <v>36</v>
      </c>
      <c r="H612" s="6" t="s">
        <v>19</v>
      </c>
      <c r="I612" s="6" t="s">
        <v>20</v>
      </c>
      <c r="J612" s="6" t="s">
        <v>37</v>
      </c>
      <c r="K612" s="6">
        <v>116402</v>
      </c>
      <c r="L612" s="6" t="s">
        <v>33</v>
      </c>
      <c r="M612" s="6">
        <v>0.36</v>
      </c>
      <c r="N612" s="6">
        <v>0.68</v>
      </c>
      <c r="O612" s="6">
        <v>43185.02</v>
      </c>
      <c r="P612" s="6">
        <v>0</v>
      </c>
      <c r="Q612" s="6">
        <f t="shared" ca="1" si="29"/>
        <v>44</v>
      </c>
      <c r="R612" s="6">
        <f t="shared" si="27"/>
        <v>-5698.0199999999968</v>
      </c>
      <c r="S612" s="7" t="str">
        <f t="shared" si="28"/>
        <v>Loss</v>
      </c>
    </row>
    <row r="613" spans="1:19" x14ac:dyDescent="0.3">
      <c r="A613" s="4" t="s">
        <v>1267</v>
      </c>
      <c r="B613" s="5">
        <v>44249</v>
      </c>
      <c r="C613" s="6" t="s">
        <v>1268</v>
      </c>
      <c r="D613" s="6" t="s">
        <v>25</v>
      </c>
      <c r="E613" s="6">
        <v>1302</v>
      </c>
      <c r="F613" s="6">
        <v>8.3000000000000007</v>
      </c>
      <c r="G613" s="6">
        <v>60</v>
      </c>
      <c r="H613" s="6" t="s">
        <v>80</v>
      </c>
      <c r="I613" s="6" t="s">
        <v>72</v>
      </c>
      <c r="J613" s="6" t="s">
        <v>47</v>
      </c>
      <c r="K613" s="6">
        <v>44079</v>
      </c>
      <c r="L613" s="6" t="s">
        <v>22</v>
      </c>
      <c r="M613" s="6">
        <v>0.44</v>
      </c>
      <c r="N613" s="6">
        <v>0.81</v>
      </c>
      <c r="O613" s="6">
        <v>399.41</v>
      </c>
      <c r="P613" s="6">
        <v>452.5</v>
      </c>
      <c r="Q613" s="6">
        <f t="shared" ca="1" si="29"/>
        <v>60</v>
      </c>
      <c r="R613" s="6">
        <f t="shared" si="27"/>
        <v>902.58999999999992</v>
      </c>
      <c r="S613" s="7" t="str">
        <f t="shared" si="28"/>
        <v>Profit</v>
      </c>
    </row>
    <row r="614" spans="1:19" x14ac:dyDescent="0.3">
      <c r="A614" s="4" t="s">
        <v>1269</v>
      </c>
      <c r="B614" s="5">
        <v>44401</v>
      </c>
      <c r="C614" s="6" t="s">
        <v>1270</v>
      </c>
      <c r="D614" s="6" t="s">
        <v>53</v>
      </c>
      <c r="E614" s="6">
        <v>32463</v>
      </c>
      <c r="F614" s="6">
        <v>17.899999999999999</v>
      </c>
      <c r="G614" s="6">
        <v>36</v>
      </c>
      <c r="H614" s="6" t="s">
        <v>19</v>
      </c>
      <c r="I614" s="6" t="s">
        <v>41</v>
      </c>
      <c r="J614" s="6" t="s">
        <v>37</v>
      </c>
      <c r="K614" s="6">
        <v>79850</v>
      </c>
      <c r="L614" s="6" t="s">
        <v>29</v>
      </c>
      <c r="M614" s="6">
        <v>0.23</v>
      </c>
      <c r="N614" s="6">
        <v>0.87</v>
      </c>
      <c r="O614" s="6">
        <v>38273.879999999997</v>
      </c>
      <c r="P614" s="6">
        <v>0</v>
      </c>
      <c r="Q614" s="6">
        <f t="shared" ca="1" si="29"/>
        <v>55</v>
      </c>
      <c r="R614" s="6">
        <f t="shared" si="27"/>
        <v>-5810.8799999999974</v>
      </c>
      <c r="S614" s="7" t="str">
        <f t="shared" si="28"/>
        <v>Loss</v>
      </c>
    </row>
    <row r="615" spans="1:19" x14ac:dyDescent="0.3">
      <c r="A615" s="4" t="s">
        <v>1271</v>
      </c>
      <c r="B615" s="5">
        <v>44322</v>
      </c>
      <c r="C615" s="6" t="s">
        <v>1272</v>
      </c>
      <c r="D615" s="6" t="s">
        <v>25</v>
      </c>
      <c r="E615" s="6">
        <v>30259</v>
      </c>
      <c r="F615" s="6">
        <v>5.9</v>
      </c>
      <c r="G615" s="6">
        <v>36</v>
      </c>
      <c r="H615" s="6" t="s">
        <v>26</v>
      </c>
      <c r="I615" s="6" t="s">
        <v>27</v>
      </c>
      <c r="J615" s="6" t="s">
        <v>47</v>
      </c>
      <c r="K615" s="6">
        <v>102779</v>
      </c>
      <c r="L615" s="6" t="s">
        <v>22</v>
      </c>
      <c r="M615" s="6">
        <v>0.37</v>
      </c>
      <c r="N615" s="6">
        <v>0.69</v>
      </c>
      <c r="O615" s="6">
        <v>2968.33</v>
      </c>
      <c r="P615" s="6">
        <v>0</v>
      </c>
      <c r="Q615" s="6">
        <f t="shared" ca="1" si="29"/>
        <v>58</v>
      </c>
      <c r="R615" s="6">
        <f t="shared" si="27"/>
        <v>27290.67</v>
      </c>
      <c r="S615" s="7" t="str">
        <f t="shared" si="28"/>
        <v>Profit</v>
      </c>
    </row>
    <row r="616" spans="1:19" x14ac:dyDescent="0.3">
      <c r="A616" s="4" t="s">
        <v>1273</v>
      </c>
      <c r="B616" s="5">
        <v>44239</v>
      </c>
      <c r="C616" s="6" t="s">
        <v>1274</v>
      </c>
      <c r="D616" s="6" t="s">
        <v>56</v>
      </c>
      <c r="E616" s="6">
        <v>38208</v>
      </c>
      <c r="F616" s="6">
        <v>20.2</v>
      </c>
      <c r="G616" s="6">
        <v>36</v>
      </c>
      <c r="H616" s="6" t="s">
        <v>19</v>
      </c>
      <c r="I616" s="6" t="s">
        <v>57</v>
      </c>
      <c r="J616" s="6" t="s">
        <v>37</v>
      </c>
      <c r="K616" s="6">
        <v>125408</v>
      </c>
      <c r="L616" s="6" t="s">
        <v>22</v>
      </c>
      <c r="M616" s="6">
        <v>0.48</v>
      </c>
      <c r="N616" s="6">
        <v>0.64</v>
      </c>
      <c r="O616" s="6">
        <v>45926.02</v>
      </c>
      <c r="P616" s="6">
        <v>0</v>
      </c>
      <c r="Q616" s="6">
        <f t="shared" ca="1" si="29"/>
        <v>61</v>
      </c>
      <c r="R616" s="6">
        <f t="shared" si="27"/>
        <v>-7718.0199999999968</v>
      </c>
      <c r="S616" s="7" t="str">
        <f t="shared" si="28"/>
        <v>Loss</v>
      </c>
    </row>
    <row r="617" spans="1:19" x14ac:dyDescent="0.3">
      <c r="A617" s="4" t="s">
        <v>1275</v>
      </c>
      <c r="B617" s="5">
        <v>44307</v>
      </c>
      <c r="C617" s="6" t="s">
        <v>1276</v>
      </c>
      <c r="D617" s="6" t="s">
        <v>53</v>
      </c>
      <c r="E617" s="6">
        <v>31659</v>
      </c>
      <c r="F617" s="6">
        <v>23.9</v>
      </c>
      <c r="G617" s="6">
        <v>60</v>
      </c>
      <c r="H617" s="6" t="s">
        <v>26</v>
      </c>
      <c r="I617" s="6" t="s">
        <v>20</v>
      </c>
      <c r="J617" s="6" t="s">
        <v>32</v>
      </c>
      <c r="K617" s="6">
        <v>39018</v>
      </c>
      <c r="L617" s="6" t="s">
        <v>22</v>
      </c>
      <c r="M617" s="6">
        <v>0.39</v>
      </c>
      <c r="N617" s="6">
        <v>0.92</v>
      </c>
      <c r="O617" s="6">
        <v>13280.94</v>
      </c>
      <c r="P617" s="6">
        <v>0</v>
      </c>
      <c r="Q617" s="6">
        <f t="shared" ca="1" si="29"/>
        <v>58</v>
      </c>
      <c r="R617" s="6">
        <f t="shared" si="27"/>
        <v>18378.059999999998</v>
      </c>
      <c r="S617" s="7" t="str">
        <f t="shared" si="28"/>
        <v>Profit</v>
      </c>
    </row>
    <row r="618" spans="1:19" x14ac:dyDescent="0.3">
      <c r="A618" s="4" t="s">
        <v>1277</v>
      </c>
      <c r="B618" s="5">
        <v>44957</v>
      </c>
      <c r="C618" s="6" t="s">
        <v>1278</v>
      </c>
      <c r="D618" s="6" t="s">
        <v>75</v>
      </c>
      <c r="E618" s="6">
        <v>36840</v>
      </c>
      <c r="F618" s="6">
        <v>11.8</v>
      </c>
      <c r="G618" s="6">
        <v>36</v>
      </c>
      <c r="H618" s="6" t="s">
        <v>19</v>
      </c>
      <c r="I618" s="6" t="s">
        <v>57</v>
      </c>
      <c r="J618" s="6" t="s">
        <v>28</v>
      </c>
      <c r="K618" s="6">
        <v>79500</v>
      </c>
      <c r="L618" s="6" t="s">
        <v>22</v>
      </c>
      <c r="M618" s="6">
        <v>0.3</v>
      </c>
      <c r="N618" s="6">
        <v>0.8</v>
      </c>
      <c r="O618" s="6">
        <v>41187.120000000003</v>
      </c>
      <c r="P618" s="6">
        <v>0</v>
      </c>
      <c r="Q618" s="6">
        <f t="shared" ca="1" si="29"/>
        <v>37</v>
      </c>
      <c r="R618" s="6">
        <f t="shared" si="27"/>
        <v>-4347.1200000000026</v>
      </c>
      <c r="S618" s="7" t="str">
        <f t="shared" si="28"/>
        <v>Loss</v>
      </c>
    </row>
    <row r="619" spans="1:19" x14ac:dyDescent="0.3">
      <c r="A619" s="4" t="s">
        <v>1279</v>
      </c>
      <c r="B619" s="5">
        <v>45044</v>
      </c>
      <c r="C619" s="6" t="s">
        <v>1280</v>
      </c>
      <c r="D619" s="6" t="s">
        <v>64</v>
      </c>
      <c r="E619" s="6">
        <v>32890</v>
      </c>
      <c r="F619" s="6">
        <v>15.3</v>
      </c>
      <c r="G619" s="6">
        <v>36</v>
      </c>
      <c r="H619" s="6" t="s">
        <v>26</v>
      </c>
      <c r="I619" s="6" t="s">
        <v>72</v>
      </c>
      <c r="J619" s="6" t="s">
        <v>32</v>
      </c>
      <c r="K619" s="6">
        <v>42100</v>
      </c>
      <c r="L619" s="6" t="s">
        <v>29</v>
      </c>
      <c r="M619" s="6">
        <v>0.35</v>
      </c>
      <c r="N619" s="6">
        <v>0.55000000000000004</v>
      </c>
      <c r="O619" s="6">
        <v>8090.19</v>
      </c>
      <c r="P619" s="6">
        <v>0</v>
      </c>
      <c r="Q619" s="6">
        <f t="shared" ca="1" si="29"/>
        <v>34</v>
      </c>
      <c r="R619" s="6">
        <f t="shared" si="27"/>
        <v>24799.81</v>
      </c>
      <c r="S619" s="7" t="str">
        <f t="shared" si="28"/>
        <v>Profit</v>
      </c>
    </row>
    <row r="620" spans="1:19" x14ac:dyDescent="0.3">
      <c r="A620" s="4" t="s">
        <v>1281</v>
      </c>
      <c r="B620" s="5">
        <v>44291</v>
      </c>
      <c r="C620" s="6" t="s">
        <v>1282</v>
      </c>
      <c r="D620" s="6" t="s">
        <v>64</v>
      </c>
      <c r="E620" s="6">
        <v>14598</v>
      </c>
      <c r="F620" s="6">
        <v>12.6</v>
      </c>
      <c r="G620" s="6">
        <v>36</v>
      </c>
      <c r="H620" s="6" t="s">
        <v>19</v>
      </c>
      <c r="I620" s="6" t="s">
        <v>57</v>
      </c>
      <c r="J620" s="6" t="s">
        <v>28</v>
      </c>
      <c r="K620" s="6">
        <v>87021</v>
      </c>
      <c r="L620" s="6" t="s">
        <v>29</v>
      </c>
      <c r="M620" s="6">
        <v>0.4</v>
      </c>
      <c r="N620" s="6">
        <v>0.53</v>
      </c>
      <c r="O620" s="6">
        <v>16437.349999999999</v>
      </c>
      <c r="P620" s="6">
        <v>0</v>
      </c>
      <c r="Q620" s="6">
        <f t="shared" ca="1" si="29"/>
        <v>59</v>
      </c>
      <c r="R620" s="6">
        <f t="shared" si="27"/>
        <v>-1839.3499999999985</v>
      </c>
      <c r="S620" s="7" t="str">
        <f t="shared" si="28"/>
        <v>Loss</v>
      </c>
    </row>
    <row r="621" spans="1:19" x14ac:dyDescent="0.3">
      <c r="A621" s="4" t="s">
        <v>1283</v>
      </c>
      <c r="B621" s="5">
        <v>45096</v>
      </c>
      <c r="C621" s="6" t="s">
        <v>1284</v>
      </c>
      <c r="D621" s="6" t="s">
        <v>71</v>
      </c>
      <c r="E621" s="6">
        <v>20508</v>
      </c>
      <c r="F621" s="6">
        <v>5.0999999999999996</v>
      </c>
      <c r="G621" s="6">
        <v>60</v>
      </c>
      <c r="H621" s="6" t="s">
        <v>80</v>
      </c>
      <c r="I621" s="6" t="s">
        <v>20</v>
      </c>
      <c r="J621" s="6" t="s">
        <v>21</v>
      </c>
      <c r="K621" s="6">
        <v>144995</v>
      </c>
      <c r="L621" s="6" t="s">
        <v>22</v>
      </c>
      <c r="M621" s="6">
        <v>0.34</v>
      </c>
      <c r="N621" s="6">
        <v>0.72</v>
      </c>
      <c r="O621" s="6">
        <v>2495.92</v>
      </c>
      <c r="P621" s="6">
        <v>3057.79</v>
      </c>
      <c r="Q621" s="6">
        <f t="shared" ca="1" si="29"/>
        <v>33</v>
      </c>
      <c r="R621" s="6">
        <f t="shared" si="27"/>
        <v>18012.080000000002</v>
      </c>
      <c r="S621" s="7" t="str">
        <f t="shared" si="28"/>
        <v>Profit</v>
      </c>
    </row>
    <row r="622" spans="1:19" x14ac:dyDescent="0.3">
      <c r="A622" s="4" t="s">
        <v>1285</v>
      </c>
      <c r="B622" s="5">
        <v>44556</v>
      </c>
      <c r="C622" s="6" t="s">
        <v>1286</v>
      </c>
      <c r="D622" s="6" t="s">
        <v>25</v>
      </c>
      <c r="E622" s="6">
        <v>14380</v>
      </c>
      <c r="F622" s="6">
        <v>12.7</v>
      </c>
      <c r="G622" s="6">
        <v>36</v>
      </c>
      <c r="H622" s="6" t="s">
        <v>19</v>
      </c>
      <c r="I622" s="6" t="s">
        <v>57</v>
      </c>
      <c r="J622" s="6" t="s">
        <v>47</v>
      </c>
      <c r="K622" s="6">
        <v>49800</v>
      </c>
      <c r="L622" s="6" t="s">
        <v>33</v>
      </c>
      <c r="M622" s="6">
        <v>0.11</v>
      </c>
      <c r="N622" s="6">
        <v>0.6</v>
      </c>
      <c r="O622" s="6">
        <v>16206.26</v>
      </c>
      <c r="P622" s="6">
        <v>0</v>
      </c>
      <c r="Q622" s="6">
        <f t="shared" ca="1" si="29"/>
        <v>50</v>
      </c>
      <c r="R622" s="6">
        <f t="shared" si="27"/>
        <v>-1826.2600000000002</v>
      </c>
      <c r="S622" s="7" t="str">
        <f t="shared" si="28"/>
        <v>Loss</v>
      </c>
    </row>
    <row r="623" spans="1:19" x14ac:dyDescent="0.3">
      <c r="A623" s="4" t="s">
        <v>1287</v>
      </c>
      <c r="B623" s="5">
        <v>45096</v>
      </c>
      <c r="C623" s="6" t="s">
        <v>1288</v>
      </c>
      <c r="D623" s="6" t="s">
        <v>50</v>
      </c>
      <c r="E623" s="6">
        <v>27984</v>
      </c>
      <c r="F623" s="6">
        <v>20.8</v>
      </c>
      <c r="G623" s="6">
        <v>36</v>
      </c>
      <c r="H623" s="6" t="s">
        <v>19</v>
      </c>
      <c r="I623" s="6" t="s">
        <v>57</v>
      </c>
      <c r="J623" s="6" t="s">
        <v>47</v>
      </c>
      <c r="K623" s="6">
        <v>93400</v>
      </c>
      <c r="L623" s="6" t="s">
        <v>29</v>
      </c>
      <c r="M623" s="6">
        <v>0.18</v>
      </c>
      <c r="N623" s="6">
        <v>0.61</v>
      </c>
      <c r="O623" s="6">
        <v>33804.67</v>
      </c>
      <c r="P623" s="6">
        <v>0</v>
      </c>
      <c r="Q623" s="6">
        <f t="shared" ca="1" si="29"/>
        <v>33</v>
      </c>
      <c r="R623" s="6">
        <f t="shared" si="27"/>
        <v>-5820.6699999999983</v>
      </c>
      <c r="S623" s="7" t="str">
        <f t="shared" si="28"/>
        <v>Loss</v>
      </c>
    </row>
    <row r="624" spans="1:19" x14ac:dyDescent="0.3">
      <c r="A624" s="4" t="s">
        <v>1289</v>
      </c>
      <c r="B624" s="5">
        <v>44477</v>
      </c>
      <c r="C624" s="6" t="s">
        <v>1290</v>
      </c>
      <c r="D624" s="6" t="s">
        <v>64</v>
      </c>
      <c r="E624" s="6">
        <v>9125</v>
      </c>
      <c r="F624" s="6">
        <v>16.899999999999999</v>
      </c>
      <c r="G624" s="6">
        <v>60</v>
      </c>
      <c r="H624" s="6" t="s">
        <v>26</v>
      </c>
      <c r="I624" s="6" t="s">
        <v>36</v>
      </c>
      <c r="J624" s="6" t="s">
        <v>21</v>
      </c>
      <c r="K624" s="6">
        <v>122446</v>
      </c>
      <c r="L624" s="6" t="s">
        <v>22</v>
      </c>
      <c r="M624" s="6">
        <v>0.42</v>
      </c>
      <c r="N624" s="6">
        <v>0.89</v>
      </c>
      <c r="O624" s="6">
        <v>3684.51</v>
      </c>
      <c r="P624" s="6">
        <v>0</v>
      </c>
      <c r="Q624" s="6">
        <f t="shared" ca="1" si="29"/>
        <v>53</v>
      </c>
      <c r="R624" s="6">
        <f t="shared" si="27"/>
        <v>5440.49</v>
      </c>
      <c r="S624" s="7" t="str">
        <f t="shared" si="28"/>
        <v>Profit</v>
      </c>
    </row>
    <row r="625" spans="1:19" x14ac:dyDescent="0.3">
      <c r="A625" s="4" t="s">
        <v>1291</v>
      </c>
      <c r="B625" s="5">
        <v>44863</v>
      </c>
      <c r="C625" s="6" t="s">
        <v>1292</v>
      </c>
      <c r="D625" s="6" t="s">
        <v>64</v>
      </c>
      <c r="E625" s="6">
        <v>37059</v>
      </c>
      <c r="F625" s="6">
        <v>7</v>
      </c>
      <c r="G625" s="6">
        <v>60</v>
      </c>
      <c r="H625" s="6" t="s">
        <v>19</v>
      </c>
      <c r="I625" s="6" t="s">
        <v>20</v>
      </c>
      <c r="J625" s="6" t="s">
        <v>37</v>
      </c>
      <c r="K625" s="6">
        <v>59437</v>
      </c>
      <c r="L625" s="6" t="s">
        <v>33</v>
      </c>
      <c r="M625" s="6">
        <v>0.21</v>
      </c>
      <c r="N625" s="6">
        <v>0.54</v>
      </c>
      <c r="O625" s="6">
        <v>39653.129999999997</v>
      </c>
      <c r="P625" s="6">
        <v>0</v>
      </c>
      <c r="Q625" s="6">
        <f t="shared" ca="1" si="29"/>
        <v>40</v>
      </c>
      <c r="R625" s="6">
        <f t="shared" si="27"/>
        <v>-2594.1299999999974</v>
      </c>
      <c r="S625" s="7" t="str">
        <f t="shared" si="28"/>
        <v>Loss</v>
      </c>
    </row>
    <row r="626" spans="1:19" x14ac:dyDescent="0.3">
      <c r="A626" s="4" t="s">
        <v>1293</v>
      </c>
      <c r="B626" s="5">
        <v>44289</v>
      </c>
      <c r="C626" s="6" t="s">
        <v>1294</v>
      </c>
      <c r="D626" s="6" t="s">
        <v>56</v>
      </c>
      <c r="E626" s="6">
        <v>5033</v>
      </c>
      <c r="F626" s="6">
        <v>21.9</v>
      </c>
      <c r="G626" s="6">
        <v>36</v>
      </c>
      <c r="H626" s="6" t="s">
        <v>26</v>
      </c>
      <c r="I626" s="6" t="s">
        <v>20</v>
      </c>
      <c r="J626" s="6" t="s">
        <v>21</v>
      </c>
      <c r="K626" s="6">
        <v>133124</v>
      </c>
      <c r="L626" s="6" t="s">
        <v>33</v>
      </c>
      <c r="M626" s="6">
        <v>0.39</v>
      </c>
      <c r="N626" s="6">
        <v>0.82</v>
      </c>
      <c r="O626" s="6">
        <v>1105.3900000000001</v>
      </c>
      <c r="P626" s="6">
        <v>0</v>
      </c>
      <c r="Q626" s="6">
        <f t="shared" ca="1" si="29"/>
        <v>59</v>
      </c>
      <c r="R626" s="6">
        <f t="shared" si="27"/>
        <v>3927.6099999999997</v>
      </c>
      <c r="S626" s="7" t="str">
        <f t="shared" si="28"/>
        <v>Profit</v>
      </c>
    </row>
    <row r="627" spans="1:19" x14ac:dyDescent="0.3">
      <c r="A627" s="4" t="s">
        <v>1295</v>
      </c>
      <c r="B627" s="5">
        <v>44868</v>
      </c>
      <c r="C627" s="6" t="s">
        <v>1296</v>
      </c>
      <c r="D627" s="6" t="s">
        <v>46</v>
      </c>
      <c r="E627" s="6">
        <v>38873</v>
      </c>
      <c r="F627" s="6">
        <v>15.6</v>
      </c>
      <c r="G627" s="6">
        <v>36</v>
      </c>
      <c r="H627" s="6" t="s">
        <v>2045</v>
      </c>
      <c r="I627" s="6" t="s">
        <v>20</v>
      </c>
      <c r="J627" s="6" t="s">
        <v>21</v>
      </c>
      <c r="K627" s="6">
        <v>106537</v>
      </c>
      <c r="L627" s="6" t="s">
        <v>22</v>
      </c>
      <c r="M627" s="6">
        <v>0.25</v>
      </c>
      <c r="N627" s="6">
        <v>0.62</v>
      </c>
      <c r="O627" s="6">
        <v>0</v>
      </c>
      <c r="P627" s="6">
        <v>0</v>
      </c>
      <c r="Q627" s="6">
        <f t="shared" ca="1" si="29"/>
        <v>40</v>
      </c>
      <c r="R627" s="6">
        <f t="shared" si="27"/>
        <v>38873</v>
      </c>
      <c r="S627" s="7" t="str">
        <f t="shared" si="28"/>
        <v>Profit</v>
      </c>
    </row>
    <row r="628" spans="1:19" x14ac:dyDescent="0.3">
      <c r="A628" s="4" t="s">
        <v>1297</v>
      </c>
      <c r="B628" s="5">
        <v>44257</v>
      </c>
      <c r="C628" s="6" t="s">
        <v>1298</v>
      </c>
      <c r="D628" s="6" t="s">
        <v>56</v>
      </c>
      <c r="E628" s="6">
        <v>18087</v>
      </c>
      <c r="F628" s="6">
        <v>21.8</v>
      </c>
      <c r="G628" s="6">
        <v>60</v>
      </c>
      <c r="H628" s="6" t="s">
        <v>26</v>
      </c>
      <c r="I628" s="6" t="s">
        <v>57</v>
      </c>
      <c r="J628" s="6" t="s">
        <v>28</v>
      </c>
      <c r="K628" s="6">
        <v>76675</v>
      </c>
      <c r="L628" s="6" t="s">
        <v>29</v>
      </c>
      <c r="M628" s="6">
        <v>0.31</v>
      </c>
      <c r="N628" s="6">
        <v>0.84</v>
      </c>
      <c r="O628" s="6">
        <v>1721.26</v>
      </c>
      <c r="P628" s="6">
        <v>0</v>
      </c>
      <c r="Q628" s="6">
        <f t="shared" ca="1" si="29"/>
        <v>60</v>
      </c>
      <c r="R628" s="6">
        <f t="shared" si="27"/>
        <v>16365.74</v>
      </c>
      <c r="S628" s="7" t="str">
        <f t="shared" si="28"/>
        <v>Profit</v>
      </c>
    </row>
    <row r="629" spans="1:19" x14ac:dyDescent="0.3">
      <c r="A629" s="4" t="s">
        <v>1299</v>
      </c>
      <c r="B629" s="5">
        <v>44830</v>
      </c>
      <c r="C629" s="6" t="s">
        <v>1300</v>
      </c>
      <c r="D629" s="6" t="s">
        <v>56</v>
      </c>
      <c r="E629" s="6">
        <v>6704</v>
      </c>
      <c r="F629" s="6">
        <v>16.600000000000001</v>
      </c>
      <c r="G629" s="6">
        <v>60</v>
      </c>
      <c r="H629" s="6" t="s">
        <v>19</v>
      </c>
      <c r="I629" s="6" t="s">
        <v>27</v>
      </c>
      <c r="J629" s="6" t="s">
        <v>21</v>
      </c>
      <c r="K629" s="6">
        <v>49942</v>
      </c>
      <c r="L629" s="6" t="s">
        <v>33</v>
      </c>
      <c r="M629" s="6">
        <v>0.13</v>
      </c>
      <c r="N629" s="6">
        <v>0.83</v>
      </c>
      <c r="O629" s="6">
        <v>7816.86</v>
      </c>
      <c r="P629" s="6">
        <v>0</v>
      </c>
      <c r="Q629" s="6">
        <f t="shared" ca="1" si="29"/>
        <v>41</v>
      </c>
      <c r="R629" s="6">
        <f t="shared" si="27"/>
        <v>-1112.8599999999997</v>
      </c>
      <c r="S629" s="7" t="str">
        <f t="shared" si="28"/>
        <v>Loss</v>
      </c>
    </row>
    <row r="630" spans="1:19" x14ac:dyDescent="0.3">
      <c r="A630" s="4" t="s">
        <v>1301</v>
      </c>
      <c r="B630" s="5">
        <v>45271</v>
      </c>
      <c r="C630" s="6" t="s">
        <v>1302</v>
      </c>
      <c r="D630" s="6" t="s">
        <v>46</v>
      </c>
      <c r="E630" s="6">
        <v>8848</v>
      </c>
      <c r="F630" s="6">
        <v>16.2</v>
      </c>
      <c r="G630" s="6">
        <v>60</v>
      </c>
      <c r="H630" s="6" t="s">
        <v>26</v>
      </c>
      <c r="I630" s="6" t="s">
        <v>27</v>
      </c>
      <c r="J630" s="6" t="s">
        <v>47</v>
      </c>
      <c r="K630" s="6">
        <v>50862</v>
      </c>
      <c r="L630" s="6" t="s">
        <v>29</v>
      </c>
      <c r="M630" s="6">
        <v>0.17</v>
      </c>
      <c r="N630" s="6">
        <v>0.5</v>
      </c>
      <c r="O630" s="6">
        <v>2965.85</v>
      </c>
      <c r="P630" s="6">
        <v>0</v>
      </c>
      <c r="Q630" s="6">
        <f t="shared" ca="1" si="29"/>
        <v>27</v>
      </c>
      <c r="R630" s="6">
        <f t="shared" si="27"/>
        <v>5882.15</v>
      </c>
      <c r="S630" s="7" t="str">
        <f t="shared" si="28"/>
        <v>Profit</v>
      </c>
    </row>
    <row r="631" spans="1:19" x14ac:dyDescent="0.3">
      <c r="A631" s="4" t="s">
        <v>1303</v>
      </c>
      <c r="B631" s="5">
        <v>45225</v>
      </c>
      <c r="C631" s="6" t="s">
        <v>1304</v>
      </c>
      <c r="D631" s="6" t="s">
        <v>25</v>
      </c>
      <c r="E631" s="6">
        <v>22592</v>
      </c>
      <c r="F631" s="6">
        <v>7.1</v>
      </c>
      <c r="G631" s="6">
        <v>60</v>
      </c>
      <c r="H631" s="6" t="s">
        <v>26</v>
      </c>
      <c r="I631" s="6" t="s">
        <v>72</v>
      </c>
      <c r="J631" s="6" t="s">
        <v>32</v>
      </c>
      <c r="K631" s="6">
        <v>41669</v>
      </c>
      <c r="L631" s="6" t="s">
        <v>29</v>
      </c>
      <c r="M631" s="6">
        <v>0.48</v>
      </c>
      <c r="N631" s="6">
        <v>0.73</v>
      </c>
      <c r="O631" s="6">
        <v>10077.370000000001</v>
      </c>
      <c r="P631" s="6">
        <v>0</v>
      </c>
      <c r="Q631" s="6">
        <f t="shared" ca="1" si="29"/>
        <v>28</v>
      </c>
      <c r="R631" s="6">
        <f t="shared" si="27"/>
        <v>12514.63</v>
      </c>
      <c r="S631" s="7" t="str">
        <f t="shared" si="28"/>
        <v>Profit</v>
      </c>
    </row>
    <row r="632" spans="1:19" x14ac:dyDescent="0.3">
      <c r="A632" s="4" t="s">
        <v>1305</v>
      </c>
      <c r="B632" s="5">
        <v>44800</v>
      </c>
      <c r="C632" s="6" t="s">
        <v>1306</v>
      </c>
      <c r="D632" s="6" t="s">
        <v>53</v>
      </c>
      <c r="E632" s="6">
        <v>7924</v>
      </c>
      <c r="F632" s="6">
        <v>8.3000000000000007</v>
      </c>
      <c r="G632" s="6">
        <v>60</v>
      </c>
      <c r="H632" s="6" t="s">
        <v>26</v>
      </c>
      <c r="I632" s="6" t="s">
        <v>27</v>
      </c>
      <c r="J632" s="6" t="s">
        <v>28</v>
      </c>
      <c r="K632" s="6">
        <v>83772</v>
      </c>
      <c r="L632" s="6" t="s">
        <v>33</v>
      </c>
      <c r="M632" s="6">
        <v>0.46</v>
      </c>
      <c r="N632" s="6">
        <v>0.56000000000000005</v>
      </c>
      <c r="O632" s="6">
        <v>3561.75</v>
      </c>
      <c r="P632" s="6">
        <v>0</v>
      </c>
      <c r="Q632" s="6">
        <f t="shared" ca="1" si="29"/>
        <v>42</v>
      </c>
      <c r="R632" s="6">
        <f t="shared" si="27"/>
        <v>4362.25</v>
      </c>
      <c r="S632" s="7" t="str">
        <f t="shared" si="28"/>
        <v>Profit</v>
      </c>
    </row>
    <row r="633" spans="1:19" x14ac:dyDescent="0.3">
      <c r="A633" s="4" t="s">
        <v>1307</v>
      </c>
      <c r="B633" s="5">
        <v>44878</v>
      </c>
      <c r="C633" s="6" t="s">
        <v>1308</v>
      </c>
      <c r="D633" s="6" t="s">
        <v>40</v>
      </c>
      <c r="E633" s="6">
        <v>28208</v>
      </c>
      <c r="F633" s="6">
        <v>24.4</v>
      </c>
      <c r="G633" s="6">
        <v>60</v>
      </c>
      <c r="H633" s="6" t="s">
        <v>19</v>
      </c>
      <c r="I633" s="6" t="s">
        <v>57</v>
      </c>
      <c r="J633" s="6" t="s">
        <v>28</v>
      </c>
      <c r="K633" s="6">
        <v>45916</v>
      </c>
      <c r="L633" s="6" t="s">
        <v>22</v>
      </c>
      <c r="M633" s="6">
        <v>0.36</v>
      </c>
      <c r="N633" s="6">
        <v>0.89</v>
      </c>
      <c r="O633" s="6">
        <v>35090.75</v>
      </c>
      <c r="P633" s="6">
        <v>0</v>
      </c>
      <c r="Q633" s="6">
        <f t="shared" ca="1" si="29"/>
        <v>40</v>
      </c>
      <c r="R633" s="6">
        <f t="shared" si="27"/>
        <v>-6882.75</v>
      </c>
      <c r="S633" s="7" t="str">
        <f t="shared" si="28"/>
        <v>Loss</v>
      </c>
    </row>
    <row r="634" spans="1:19" x14ac:dyDescent="0.3">
      <c r="A634" s="4" t="s">
        <v>1309</v>
      </c>
      <c r="B634" s="5">
        <v>44730</v>
      </c>
      <c r="C634" s="6" t="s">
        <v>1310</v>
      </c>
      <c r="D634" s="6" t="s">
        <v>50</v>
      </c>
      <c r="E634" s="6">
        <v>20614</v>
      </c>
      <c r="F634" s="6">
        <v>9.6</v>
      </c>
      <c r="G634" s="6">
        <v>60</v>
      </c>
      <c r="H634" s="6" t="s">
        <v>19</v>
      </c>
      <c r="I634" s="6" t="s">
        <v>27</v>
      </c>
      <c r="J634" s="6" t="s">
        <v>37</v>
      </c>
      <c r="K634" s="6">
        <v>40878</v>
      </c>
      <c r="L634" s="6" t="s">
        <v>33</v>
      </c>
      <c r="M634" s="6">
        <v>0.28000000000000003</v>
      </c>
      <c r="N634" s="6">
        <v>0.89</v>
      </c>
      <c r="O634" s="6">
        <v>22592.94</v>
      </c>
      <c r="P634" s="6">
        <v>0</v>
      </c>
      <c r="Q634" s="6">
        <f t="shared" ca="1" si="29"/>
        <v>45</v>
      </c>
      <c r="R634" s="6">
        <f t="shared" si="27"/>
        <v>-1978.9399999999987</v>
      </c>
      <c r="S634" s="7" t="str">
        <f t="shared" si="28"/>
        <v>Loss</v>
      </c>
    </row>
    <row r="635" spans="1:19" x14ac:dyDescent="0.3">
      <c r="A635" s="4" t="s">
        <v>1311</v>
      </c>
      <c r="B635" s="5">
        <v>45034</v>
      </c>
      <c r="C635" s="6" t="s">
        <v>1312</v>
      </c>
      <c r="D635" s="6" t="s">
        <v>64</v>
      </c>
      <c r="E635" s="6">
        <v>1488</v>
      </c>
      <c r="F635" s="6">
        <v>24.5</v>
      </c>
      <c r="G635" s="6">
        <v>36</v>
      </c>
      <c r="H635" s="6" t="s">
        <v>19</v>
      </c>
      <c r="I635" s="6" t="s">
        <v>20</v>
      </c>
      <c r="J635" s="6" t="s">
        <v>32</v>
      </c>
      <c r="K635" s="6">
        <v>32985</v>
      </c>
      <c r="L635" s="6" t="s">
        <v>33</v>
      </c>
      <c r="M635" s="6">
        <v>0.37</v>
      </c>
      <c r="N635" s="6">
        <v>0.69</v>
      </c>
      <c r="O635" s="6">
        <v>1852.56</v>
      </c>
      <c r="P635" s="6">
        <v>0</v>
      </c>
      <c r="Q635" s="6">
        <f t="shared" ca="1" si="29"/>
        <v>35</v>
      </c>
      <c r="R635" s="6">
        <f t="shared" si="27"/>
        <v>-364.55999999999995</v>
      </c>
      <c r="S635" s="7" t="str">
        <f t="shared" si="28"/>
        <v>Loss</v>
      </c>
    </row>
    <row r="636" spans="1:19" x14ac:dyDescent="0.3">
      <c r="A636" s="4" t="s">
        <v>1313</v>
      </c>
      <c r="B636" s="5">
        <v>44841</v>
      </c>
      <c r="C636" s="6" t="s">
        <v>1314</v>
      </c>
      <c r="D636" s="6" t="s">
        <v>71</v>
      </c>
      <c r="E636" s="6">
        <v>26923</v>
      </c>
      <c r="F636" s="6">
        <v>15.6</v>
      </c>
      <c r="G636" s="6">
        <v>60</v>
      </c>
      <c r="H636" s="6" t="s">
        <v>19</v>
      </c>
      <c r="I636" s="6" t="s">
        <v>57</v>
      </c>
      <c r="J636" s="6" t="s">
        <v>28</v>
      </c>
      <c r="K636" s="6">
        <v>127905</v>
      </c>
      <c r="L636" s="6" t="s">
        <v>29</v>
      </c>
      <c r="M636" s="6">
        <v>0.35</v>
      </c>
      <c r="N636" s="6">
        <v>0.7</v>
      </c>
      <c r="O636" s="6">
        <v>31122.99</v>
      </c>
      <c r="P636" s="6">
        <v>0</v>
      </c>
      <c r="Q636" s="6">
        <f t="shared" ca="1" si="29"/>
        <v>41</v>
      </c>
      <c r="R636" s="6">
        <f t="shared" si="27"/>
        <v>-4199.9900000000016</v>
      </c>
      <c r="S636" s="7" t="str">
        <f t="shared" si="28"/>
        <v>Loss</v>
      </c>
    </row>
    <row r="637" spans="1:19" x14ac:dyDescent="0.3">
      <c r="A637" s="4" t="s">
        <v>1315</v>
      </c>
      <c r="B637" s="5">
        <v>44429</v>
      </c>
      <c r="C637" s="6" t="s">
        <v>1316</v>
      </c>
      <c r="D637" s="6" t="s">
        <v>50</v>
      </c>
      <c r="E637" s="6">
        <v>36941</v>
      </c>
      <c r="F637" s="6">
        <v>7.7</v>
      </c>
      <c r="G637" s="6">
        <v>60</v>
      </c>
      <c r="H637" s="6" t="s">
        <v>19</v>
      </c>
      <c r="I637" s="6" t="s">
        <v>83</v>
      </c>
      <c r="J637" s="6" t="s">
        <v>21</v>
      </c>
      <c r="K637" s="6">
        <v>103648</v>
      </c>
      <c r="L637" s="6" t="s">
        <v>22</v>
      </c>
      <c r="M637" s="6">
        <v>0.33</v>
      </c>
      <c r="N637" s="6">
        <v>0.64</v>
      </c>
      <c r="O637" s="6">
        <v>39785.46</v>
      </c>
      <c r="P637" s="6">
        <v>0</v>
      </c>
      <c r="Q637" s="6">
        <f t="shared" ca="1" si="29"/>
        <v>54</v>
      </c>
      <c r="R637" s="6">
        <f t="shared" si="27"/>
        <v>-2844.4599999999991</v>
      </c>
      <c r="S637" s="7" t="str">
        <f t="shared" si="28"/>
        <v>Loss</v>
      </c>
    </row>
    <row r="638" spans="1:19" x14ac:dyDescent="0.3">
      <c r="A638" s="4" t="s">
        <v>1317</v>
      </c>
      <c r="B638" s="5">
        <v>44720</v>
      </c>
      <c r="C638" s="6" t="s">
        <v>1318</v>
      </c>
      <c r="D638" s="6" t="s">
        <v>53</v>
      </c>
      <c r="E638" s="6">
        <v>30165</v>
      </c>
      <c r="F638" s="6">
        <v>7</v>
      </c>
      <c r="G638" s="6">
        <v>36</v>
      </c>
      <c r="H638" s="6" t="s">
        <v>19</v>
      </c>
      <c r="I638" s="6" t="s">
        <v>83</v>
      </c>
      <c r="J638" s="6" t="s">
        <v>28</v>
      </c>
      <c r="K638" s="6">
        <v>71235</v>
      </c>
      <c r="L638" s="6" t="s">
        <v>29</v>
      </c>
      <c r="M638" s="6">
        <v>0.12</v>
      </c>
      <c r="N638" s="6">
        <v>0.82</v>
      </c>
      <c r="O638" s="6">
        <v>32276.55</v>
      </c>
      <c r="P638" s="6">
        <v>0</v>
      </c>
      <c r="Q638" s="6">
        <f t="shared" ca="1" si="29"/>
        <v>45</v>
      </c>
      <c r="R638" s="6">
        <f t="shared" si="27"/>
        <v>-2111.5499999999993</v>
      </c>
      <c r="S638" s="7" t="str">
        <f t="shared" si="28"/>
        <v>Loss</v>
      </c>
    </row>
    <row r="639" spans="1:19" x14ac:dyDescent="0.3">
      <c r="A639" s="4" t="s">
        <v>1319</v>
      </c>
      <c r="B639" s="5">
        <v>44542</v>
      </c>
      <c r="C639" s="6" t="s">
        <v>1320</v>
      </c>
      <c r="D639" s="6" t="s">
        <v>46</v>
      </c>
      <c r="E639" s="6">
        <v>2667</v>
      </c>
      <c r="F639" s="6">
        <v>9.1999999999999993</v>
      </c>
      <c r="G639" s="6">
        <v>60</v>
      </c>
      <c r="H639" s="6" t="s">
        <v>26</v>
      </c>
      <c r="I639" s="6" t="s">
        <v>27</v>
      </c>
      <c r="J639" s="6" t="s">
        <v>28</v>
      </c>
      <c r="K639" s="6">
        <v>48931</v>
      </c>
      <c r="L639" s="6" t="s">
        <v>33</v>
      </c>
      <c r="M639" s="6">
        <v>0.35</v>
      </c>
      <c r="N639" s="6">
        <v>0.66</v>
      </c>
      <c r="O639" s="6">
        <v>1282.69</v>
      </c>
      <c r="P639" s="6">
        <v>0</v>
      </c>
      <c r="Q639" s="6">
        <f t="shared" ca="1" si="29"/>
        <v>51</v>
      </c>
      <c r="R639" s="6">
        <f t="shared" si="27"/>
        <v>1384.31</v>
      </c>
      <c r="S639" s="7" t="str">
        <f t="shared" si="28"/>
        <v>Profit</v>
      </c>
    </row>
    <row r="640" spans="1:19" x14ac:dyDescent="0.3">
      <c r="A640" s="4" t="s">
        <v>1321</v>
      </c>
      <c r="B640" s="5">
        <v>45266</v>
      </c>
      <c r="C640" s="6" t="s">
        <v>1322</v>
      </c>
      <c r="D640" s="6" t="s">
        <v>50</v>
      </c>
      <c r="E640" s="6">
        <v>27213</v>
      </c>
      <c r="F640" s="6">
        <v>23.5</v>
      </c>
      <c r="G640" s="6">
        <v>60</v>
      </c>
      <c r="H640" s="6" t="s">
        <v>80</v>
      </c>
      <c r="I640" s="6" t="s">
        <v>20</v>
      </c>
      <c r="J640" s="6" t="s">
        <v>28</v>
      </c>
      <c r="K640" s="6">
        <v>122876</v>
      </c>
      <c r="L640" s="6" t="s">
        <v>22</v>
      </c>
      <c r="M640" s="6">
        <v>0.41</v>
      </c>
      <c r="N640" s="6">
        <v>0.62</v>
      </c>
      <c r="O640" s="6">
        <v>9805.16</v>
      </c>
      <c r="P640" s="6">
        <v>8501.7099999999991</v>
      </c>
      <c r="Q640" s="6">
        <f t="shared" ca="1" si="29"/>
        <v>27</v>
      </c>
      <c r="R640" s="6">
        <f t="shared" si="27"/>
        <v>17407.84</v>
      </c>
      <c r="S640" s="7" t="str">
        <f t="shared" si="28"/>
        <v>Profit</v>
      </c>
    </row>
    <row r="641" spans="1:19" x14ac:dyDescent="0.3">
      <c r="A641" s="4" t="s">
        <v>1323</v>
      </c>
      <c r="B641" s="5">
        <v>44742</v>
      </c>
      <c r="C641" s="6" t="s">
        <v>1324</v>
      </c>
      <c r="D641" s="6" t="s">
        <v>64</v>
      </c>
      <c r="E641" s="6">
        <v>5114</v>
      </c>
      <c r="F641" s="6">
        <v>13.3</v>
      </c>
      <c r="G641" s="6">
        <v>36</v>
      </c>
      <c r="H641" s="6" t="s">
        <v>26</v>
      </c>
      <c r="I641" s="6" t="s">
        <v>20</v>
      </c>
      <c r="J641" s="6" t="s">
        <v>37</v>
      </c>
      <c r="K641" s="6">
        <v>30336</v>
      </c>
      <c r="L641" s="6" t="s">
        <v>22</v>
      </c>
      <c r="M641" s="6">
        <v>0.5</v>
      </c>
      <c r="N641" s="6">
        <v>0.69</v>
      </c>
      <c r="O641" s="6">
        <v>260.63</v>
      </c>
      <c r="P641" s="6">
        <v>0</v>
      </c>
      <c r="Q641" s="6">
        <f t="shared" ca="1" si="29"/>
        <v>44</v>
      </c>
      <c r="R641" s="6">
        <f t="shared" si="27"/>
        <v>4853.37</v>
      </c>
      <c r="S641" s="7" t="str">
        <f t="shared" si="28"/>
        <v>Profit</v>
      </c>
    </row>
    <row r="642" spans="1:19" x14ac:dyDescent="0.3">
      <c r="A642" s="4" t="s">
        <v>1325</v>
      </c>
      <c r="B642" s="5">
        <v>44990</v>
      </c>
      <c r="C642" s="6" t="s">
        <v>1326</v>
      </c>
      <c r="D642" s="6" t="s">
        <v>50</v>
      </c>
      <c r="E642" s="6">
        <v>37321</v>
      </c>
      <c r="F642" s="6">
        <v>12.9</v>
      </c>
      <c r="G642" s="6">
        <v>60</v>
      </c>
      <c r="H642" s="6" t="s">
        <v>19</v>
      </c>
      <c r="I642" s="6" t="s">
        <v>41</v>
      </c>
      <c r="J642" s="6" t="s">
        <v>28</v>
      </c>
      <c r="K642" s="6">
        <v>72933</v>
      </c>
      <c r="L642" s="6" t="s">
        <v>22</v>
      </c>
      <c r="M642" s="6">
        <v>0.1</v>
      </c>
      <c r="N642" s="6">
        <v>0.54</v>
      </c>
      <c r="O642" s="6">
        <v>42135.41</v>
      </c>
      <c r="P642" s="6">
        <v>0</v>
      </c>
      <c r="Q642" s="6">
        <f t="shared" ca="1" si="29"/>
        <v>36</v>
      </c>
      <c r="R642" s="6">
        <f t="shared" ref="R642:R705" si="30">E642-O642</f>
        <v>-4814.4100000000035</v>
      </c>
      <c r="S642" s="7" t="str">
        <f t="shared" ref="S642:S705" si="31">IF(R642&gt;=0, "Profit","Loss")</f>
        <v>Loss</v>
      </c>
    </row>
    <row r="643" spans="1:19" x14ac:dyDescent="0.3">
      <c r="A643" s="4" t="s">
        <v>1327</v>
      </c>
      <c r="B643" s="5">
        <v>44445</v>
      </c>
      <c r="C643" s="6" t="s">
        <v>1328</v>
      </c>
      <c r="D643" s="6" t="s">
        <v>40</v>
      </c>
      <c r="E643" s="6">
        <v>8761</v>
      </c>
      <c r="F643" s="6">
        <v>11.3</v>
      </c>
      <c r="G643" s="6">
        <v>36</v>
      </c>
      <c r="H643" s="6" t="s">
        <v>19</v>
      </c>
      <c r="I643" s="6" t="s">
        <v>20</v>
      </c>
      <c r="J643" s="6" t="s">
        <v>28</v>
      </c>
      <c r="K643" s="6">
        <v>114899</v>
      </c>
      <c r="L643" s="6" t="s">
        <v>22</v>
      </c>
      <c r="M643" s="6">
        <v>0.39</v>
      </c>
      <c r="N643" s="6">
        <v>0.84</v>
      </c>
      <c r="O643" s="6">
        <v>9750.99</v>
      </c>
      <c r="P643" s="6">
        <v>0</v>
      </c>
      <c r="Q643" s="6">
        <f t="shared" ref="Q643:Q706" ca="1" si="32">DATEDIF(B643,TODAY(),"M")</f>
        <v>54</v>
      </c>
      <c r="R643" s="6">
        <f t="shared" si="30"/>
        <v>-989.98999999999978</v>
      </c>
      <c r="S643" s="7" t="str">
        <f t="shared" si="31"/>
        <v>Loss</v>
      </c>
    </row>
    <row r="644" spans="1:19" x14ac:dyDescent="0.3">
      <c r="A644" s="4" t="s">
        <v>1329</v>
      </c>
      <c r="B644" s="5">
        <v>44243</v>
      </c>
      <c r="C644" s="6" t="s">
        <v>1330</v>
      </c>
      <c r="D644" s="6" t="s">
        <v>46</v>
      </c>
      <c r="E644" s="6">
        <v>32116</v>
      </c>
      <c r="F644" s="6">
        <v>7.9</v>
      </c>
      <c r="G644" s="6">
        <v>36</v>
      </c>
      <c r="H644" s="6" t="s">
        <v>2045</v>
      </c>
      <c r="I644" s="6" t="s">
        <v>20</v>
      </c>
      <c r="J644" s="6" t="s">
        <v>37</v>
      </c>
      <c r="K644" s="6">
        <v>75536</v>
      </c>
      <c r="L644" s="6" t="s">
        <v>22</v>
      </c>
      <c r="M644" s="6">
        <v>0.33</v>
      </c>
      <c r="N644" s="6">
        <v>0.51</v>
      </c>
      <c r="O644" s="6">
        <v>0</v>
      </c>
      <c r="P644" s="6">
        <v>0</v>
      </c>
      <c r="Q644" s="6">
        <f t="shared" ca="1" si="32"/>
        <v>61</v>
      </c>
      <c r="R644" s="6">
        <f t="shared" si="30"/>
        <v>32116</v>
      </c>
      <c r="S644" s="7" t="str">
        <f t="shared" si="31"/>
        <v>Profit</v>
      </c>
    </row>
    <row r="645" spans="1:19" x14ac:dyDescent="0.3">
      <c r="A645" s="4" t="s">
        <v>1331</v>
      </c>
      <c r="B645" s="5">
        <v>44410</v>
      </c>
      <c r="C645" s="6" t="s">
        <v>1332</v>
      </c>
      <c r="D645" s="6" t="s">
        <v>50</v>
      </c>
      <c r="E645" s="6">
        <v>34768</v>
      </c>
      <c r="F645" s="6">
        <v>14.8</v>
      </c>
      <c r="G645" s="6">
        <v>36</v>
      </c>
      <c r="H645" s="6" t="s">
        <v>2045</v>
      </c>
      <c r="I645" s="6" t="s">
        <v>20</v>
      </c>
      <c r="J645" s="6" t="s">
        <v>32</v>
      </c>
      <c r="K645" s="6">
        <v>99504</v>
      </c>
      <c r="L645" s="6" t="s">
        <v>33</v>
      </c>
      <c r="M645" s="6">
        <v>0.27</v>
      </c>
      <c r="N645" s="6">
        <v>0.79</v>
      </c>
      <c r="O645" s="6">
        <v>0</v>
      </c>
      <c r="P645" s="6">
        <v>0</v>
      </c>
      <c r="Q645" s="6">
        <f t="shared" ca="1" si="32"/>
        <v>55</v>
      </c>
      <c r="R645" s="6">
        <f t="shared" si="30"/>
        <v>34768</v>
      </c>
      <c r="S645" s="7" t="str">
        <f t="shared" si="31"/>
        <v>Profit</v>
      </c>
    </row>
    <row r="646" spans="1:19" x14ac:dyDescent="0.3">
      <c r="A646" s="4" t="s">
        <v>1333</v>
      </c>
      <c r="B646" s="5">
        <v>44435</v>
      </c>
      <c r="C646" s="6" t="s">
        <v>1334</v>
      </c>
      <c r="D646" s="6" t="s">
        <v>64</v>
      </c>
      <c r="E646" s="6">
        <v>26426</v>
      </c>
      <c r="F646" s="6">
        <v>7.6</v>
      </c>
      <c r="G646" s="6">
        <v>36</v>
      </c>
      <c r="H646" s="6" t="s">
        <v>80</v>
      </c>
      <c r="I646" s="6" t="s">
        <v>57</v>
      </c>
      <c r="J646" s="6" t="s">
        <v>47</v>
      </c>
      <c r="K646" s="6">
        <v>129214</v>
      </c>
      <c r="L646" s="6" t="s">
        <v>33</v>
      </c>
      <c r="M646" s="6">
        <v>0.15</v>
      </c>
      <c r="N646" s="6">
        <v>0.57999999999999996</v>
      </c>
      <c r="O646" s="6">
        <v>5657.08</v>
      </c>
      <c r="P646" s="6">
        <v>8575.9699999999993</v>
      </c>
      <c r="Q646" s="6">
        <f t="shared" ca="1" si="32"/>
        <v>54</v>
      </c>
      <c r="R646" s="6">
        <f t="shared" si="30"/>
        <v>20768.919999999998</v>
      </c>
      <c r="S646" s="7" t="str">
        <f t="shared" si="31"/>
        <v>Profit</v>
      </c>
    </row>
    <row r="647" spans="1:19" x14ac:dyDescent="0.3">
      <c r="A647" s="4" t="s">
        <v>1335</v>
      </c>
      <c r="B647" s="5">
        <v>45276</v>
      </c>
      <c r="C647" s="6" t="s">
        <v>1336</v>
      </c>
      <c r="D647" s="6" t="s">
        <v>64</v>
      </c>
      <c r="E647" s="6">
        <v>18772</v>
      </c>
      <c r="F647" s="6">
        <v>21.7</v>
      </c>
      <c r="G647" s="6">
        <v>60</v>
      </c>
      <c r="H647" s="6" t="s">
        <v>26</v>
      </c>
      <c r="I647" s="6" t="s">
        <v>20</v>
      </c>
      <c r="J647" s="6" t="s">
        <v>37</v>
      </c>
      <c r="K647" s="6">
        <v>81148</v>
      </c>
      <c r="L647" s="6" t="s">
        <v>33</v>
      </c>
      <c r="M647" s="6">
        <v>0.26</v>
      </c>
      <c r="N647" s="6">
        <v>0.6</v>
      </c>
      <c r="O647" s="6">
        <v>7853.16</v>
      </c>
      <c r="P647" s="6">
        <v>0</v>
      </c>
      <c r="Q647" s="6">
        <f t="shared" ca="1" si="32"/>
        <v>27</v>
      </c>
      <c r="R647" s="6">
        <f t="shared" si="30"/>
        <v>10918.84</v>
      </c>
      <c r="S647" s="7" t="str">
        <f t="shared" si="31"/>
        <v>Profit</v>
      </c>
    </row>
    <row r="648" spans="1:19" x14ac:dyDescent="0.3">
      <c r="A648" s="4" t="s">
        <v>1337</v>
      </c>
      <c r="B648" s="5">
        <v>44546</v>
      </c>
      <c r="C648" s="6" t="s">
        <v>1338</v>
      </c>
      <c r="D648" s="6" t="s">
        <v>50</v>
      </c>
      <c r="E648" s="6">
        <v>39218</v>
      </c>
      <c r="F648" s="6">
        <v>12.4</v>
      </c>
      <c r="G648" s="6">
        <v>36</v>
      </c>
      <c r="H648" s="6" t="s">
        <v>19</v>
      </c>
      <c r="I648" s="6" t="s">
        <v>72</v>
      </c>
      <c r="J648" s="6" t="s">
        <v>37</v>
      </c>
      <c r="K648" s="6">
        <v>143936</v>
      </c>
      <c r="L648" s="6" t="s">
        <v>29</v>
      </c>
      <c r="M648" s="6">
        <v>0.24</v>
      </c>
      <c r="N648" s="6">
        <v>0.79</v>
      </c>
      <c r="O648" s="6">
        <v>44081.03</v>
      </c>
      <c r="P648" s="6">
        <v>0</v>
      </c>
      <c r="Q648" s="6">
        <f t="shared" ca="1" si="32"/>
        <v>51</v>
      </c>
      <c r="R648" s="6">
        <f t="shared" si="30"/>
        <v>-4863.0299999999988</v>
      </c>
      <c r="S648" s="7" t="str">
        <f t="shared" si="31"/>
        <v>Loss</v>
      </c>
    </row>
    <row r="649" spans="1:19" x14ac:dyDescent="0.3">
      <c r="A649" s="4" t="s">
        <v>1339</v>
      </c>
      <c r="B649" s="5">
        <v>44303</v>
      </c>
      <c r="C649" s="6" t="s">
        <v>1340</v>
      </c>
      <c r="D649" s="6" t="s">
        <v>25</v>
      </c>
      <c r="E649" s="6">
        <v>4712</v>
      </c>
      <c r="F649" s="6">
        <v>12.5</v>
      </c>
      <c r="G649" s="6">
        <v>36</v>
      </c>
      <c r="H649" s="6" t="s">
        <v>26</v>
      </c>
      <c r="I649" s="6" t="s">
        <v>72</v>
      </c>
      <c r="J649" s="6" t="s">
        <v>28</v>
      </c>
      <c r="K649" s="6">
        <v>46279</v>
      </c>
      <c r="L649" s="6" t="s">
        <v>22</v>
      </c>
      <c r="M649" s="6">
        <v>0.22</v>
      </c>
      <c r="N649" s="6">
        <v>0.95</v>
      </c>
      <c r="O649" s="6">
        <v>1012.2</v>
      </c>
      <c r="P649" s="6">
        <v>0</v>
      </c>
      <c r="Q649" s="6">
        <f t="shared" ca="1" si="32"/>
        <v>59</v>
      </c>
      <c r="R649" s="6">
        <f t="shared" si="30"/>
        <v>3699.8</v>
      </c>
      <c r="S649" s="7" t="str">
        <f t="shared" si="31"/>
        <v>Profit</v>
      </c>
    </row>
    <row r="650" spans="1:19" x14ac:dyDescent="0.3">
      <c r="A650" s="4" t="s">
        <v>1341</v>
      </c>
      <c r="B650" s="5">
        <v>45027</v>
      </c>
      <c r="C650" s="6" t="s">
        <v>1342</v>
      </c>
      <c r="D650" s="6" t="s">
        <v>71</v>
      </c>
      <c r="E650" s="6">
        <v>2367</v>
      </c>
      <c r="F650" s="6">
        <v>14.5</v>
      </c>
      <c r="G650" s="6">
        <v>60</v>
      </c>
      <c r="H650" s="6" t="s">
        <v>19</v>
      </c>
      <c r="I650" s="6" t="s">
        <v>36</v>
      </c>
      <c r="J650" s="6" t="s">
        <v>28</v>
      </c>
      <c r="K650" s="6">
        <v>98665</v>
      </c>
      <c r="L650" s="6" t="s">
        <v>22</v>
      </c>
      <c r="M650" s="6">
        <v>0.39</v>
      </c>
      <c r="N650" s="6">
        <v>0.85</v>
      </c>
      <c r="O650" s="6">
        <v>2710.22</v>
      </c>
      <c r="P650" s="6">
        <v>0</v>
      </c>
      <c r="Q650" s="6">
        <f t="shared" ca="1" si="32"/>
        <v>35</v>
      </c>
      <c r="R650" s="6">
        <f t="shared" si="30"/>
        <v>-343.2199999999998</v>
      </c>
      <c r="S650" s="7" t="str">
        <f t="shared" si="31"/>
        <v>Loss</v>
      </c>
    </row>
    <row r="651" spans="1:19" x14ac:dyDescent="0.3">
      <c r="A651" s="4" t="s">
        <v>1343</v>
      </c>
      <c r="B651" s="5">
        <v>44244</v>
      </c>
      <c r="C651" s="6" t="s">
        <v>1344</v>
      </c>
      <c r="D651" s="6" t="s">
        <v>18</v>
      </c>
      <c r="E651" s="6">
        <v>27200</v>
      </c>
      <c r="F651" s="6">
        <v>13.9</v>
      </c>
      <c r="G651" s="6">
        <v>36</v>
      </c>
      <c r="H651" s="6" t="s">
        <v>19</v>
      </c>
      <c r="I651" s="6" t="s">
        <v>20</v>
      </c>
      <c r="J651" s="6" t="s">
        <v>47</v>
      </c>
      <c r="K651" s="6">
        <v>133751</v>
      </c>
      <c r="L651" s="6" t="s">
        <v>33</v>
      </c>
      <c r="M651" s="6">
        <v>0.38</v>
      </c>
      <c r="N651" s="6">
        <v>0.6</v>
      </c>
      <c r="O651" s="6">
        <v>30980.799999999999</v>
      </c>
      <c r="P651" s="6">
        <v>0</v>
      </c>
      <c r="Q651" s="6">
        <f t="shared" ca="1" si="32"/>
        <v>61</v>
      </c>
      <c r="R651" s="6">
        <f t="shared" si="30"/>
        <v>-3780.7999999999993</v>
      </c>
      <c r="S651" s="7" t="str">
        <f t="shared" si="31"/>
        <v>Loss</v>
      </c>
    </row>
    <row r="652" spans="1:19" x14ac:dyDescent="0.3">
      <c r="A652" s="4" t="s">
        <v>1345</v>
      </c>
      <c r="B652" s="5">
        <v>44533</v>
      </c>
      <c r="C652" s="6" t="s">
        <v>1346</v>
      </c>
      <c r="D652" s="6" t="s">
        <v>56</v>
      </c>
      <c r="E652" s="6">
        <v>4726</v>
      </c>
      <c r="F652" s="6">
        <v>24.9</v>
      </c>
      <c r="G652" s="6">
        <v>36</v>
      </c>
      <c r="H652" s="6" t="s">
        <v>26</v>
      </c>
      <c r="I652" s="6" t="s">
        <v>57</v>
      </c>
      <c r="J652" s="6" t="s">
        <v>28</v>
      </c>
      <c r="K652" s="6">
        <v>134433</v>
      </c>
      <c r="L652" s="6" t="s">
        <v>22</v>
      </c>
      <c r="M652" s="6">
        <v>0.34</v>
      </c>
      <c r="N652" s="6">
        <v>0.57999999999999996</v>
      </c>
      <c r="O652" s="6">
        <v>1515.61</v>
      </c>
      <c r="P652" s="6">
        <v>0</v>
      </c>
      <c r="Q652" s="6">
        <f t="shared" ca="1" si="32"/>
        <v>51</v>
      </c>
      <c r="R652" s="6">
        <f t="shared" si="30"/>
        <v>3210.3900000000003</v>
      </c>
      <c r="S652" s="7" t="str">
        <f t="shared" si="31"/>
        <v>Profit</v>
      </c>
    </row>
    <row r="653" spans="1:19" x14ac:dyDescent="0.3">
      <c r="A653" s="4" t="s">
        <v>1347</v>
      </c>
      <c r="B653" s="5">
        <v>45246</v>
      </c>
      <c r="C653" s="6" t="s">
        <v>1348</v>
      </c>
      <c r="D653" s="6" t="s">
        <v>46</v>
      </c>
      <c r="E653" s="6">
        <v>24616</v>
      </c>
      <c r="F653" s="6">
        <v>15.9</v>
      </c>
      <c r="G653" s="6">
        <v>36</v>
      </c>
      <c r="H653" s="6" t="s">
        <v>19</v>
      </c>
      <c r="I653" s="6" t="s">
        <v>72</v>
      </c>
      <c r="J653" s="6" t="s">
        <v>21</v>
      </c>
      <c r="K653" s="6">
        <v>101386</v>
      </c>
      <c r="L653" s="6" t="s">
        <v>29</v>
      </c>
      <c r="M653" s="6">
        <v>0.48</v>
      </c>
      <c r="N653" s="6">
        <v>0.89</v>
      </c>
      <c r="O653" s="6">
        <v>28529.94</v>
      </c>
      <c r="P653" s="6">
        <v>0</v>
      </c>
      <c r="Q653" s="6">
        <f t="shared" ca="1" si="32"/>
        <v>28</v>
      </c>
      <c r="R653" s="6">
        <f t="shared" si="30"/>
        <v>-3913.9399999999987</v>
      </c>
      <c r="S653" s="7" t="str">
        <f t="shared" si="31"/>
        <v>Loss</v>
      </c>
    </row>
    <row r="654" spans="1:19" x14ac:dyDescent="0.3">
      <c r="A654" s="4" t="s">
        <v>1349</v>
      </c>
      <c r="B654" s="5">
        <v>45000</v>
      </c>
      <c r="C654" s="6" t="s">
        <v>1350</v>
      </c>
      <c r="D654" s="6" t="s">
        <v>18</v>
      </c>
      <c r="E654" s="6">
        <v>28723</v>
      </c>
      <c r="F654" s="6">
        <v>6.8</v>
      </c>
      <c r="G654" s="6">
        <v>36</v>
      </c>
      <c r="H654" s="6" t="s">
        <v>19</v>
      </c>
      <c r="I654" s="6" t="s">
        <v>72</v>
      </c>
      <c r="J654" s="6" t="s">
        <v>28</v>
      </c>
      <c r="K654" s="6">
        <v>116124</v>
      </c>
      <c r="L654" s="6" t="s">
        <v>22</v>
      </c>
      <c r="M654" s="6">
        <v>0.24</v>
      </c>
      <c r="N654" s="6">
        <v>0.7</v>
      </c>
      <c r="O654" s="6">
        <v>30676.16</v>
      </c>
      <c r="P654" s="6">
        <v>0</v>
      </c>
      <c r="Q654" s="6">
        <f t="shared" ca="1" si="32"/>
        <v>36</v>
      </c>
      <c r="R654" s="6">
        <f t="shared" si="30"/>
        <v>-1953.1599999999999</v>
      </c>
      <c r="S654" s="7" t="str">
        <f t="shared" si="31"/>
        <v>Loss</v>
      </c>
    </row>
    <row r="655" spans="1:19" x14ac:dyDescent="0.3">
      <c r="A655" s="4" t="s">
        <v>1351</v>
      </c>
      <c r="B655" s="5">
        <v>44204</v>
      </c>
      <c r="C655" s="6" t="s">
        <v>1352</v>
      </c>
      <c r="D655" s="6" t="s">
        <v>53</v>
      </c>
      <c r="E655" s="6">
        <v>38574</v>
      </c>
      <c r="F655" s="6">
        <v>17.100000000000001</v>
      </c>
      <c r="G655" s="6">
        <v>60</v>
      </c>
      <c r="H655" s="6" t="s">
        <v>19</v>
      </c>
      <c r="I655" s="6" t="s">
        <v>72</v>
      </c>
      <c r="J655" s="6" t="s">
        <v>28</v>
      </c>
      <c r="K655" s="6">
        <v>135750</v>
      </c>
      <c r="L655" s="6" t="s">
        <v>22</v>
      </c>
      <c r="M655" s="6">
        <v>0.2</v>
      </c>
      <c r="N655" s="6">
        <v>0.56000000000000005</v>
      </c>
      <c r="O655" s="6">
        <v>45170.15</v>
      </c>
      <c r="P655" s="6">
        <v>0</v>
      </c>
      <c r="Q655" s="6">
        <f t="shared" ca="1" si="32"/>
        <v>62</v>
      </c>
      <c r="R655" s="6">
        <f t="shared" si="30"/>
        <v>-6596.1500000000015</v>
      </c>
      <c r="S655" s="7" t="str">
        <f t="shared" si="31"/>
        <v>Loss</v>
      </c>
    </row>
    <row r="656" spans="1:19" x14ac:dyDescent="0.3">
      <c r="A656" s="4" t="s">
        <v>1353</v>
      </c>
      <c r="B656" s="5">
        <v>44821</v>
      </c>
      <c r="C656" s="6" t="s">
        <v>1354</v>
      </c>
      <c r="D656" s="6" t="s">
        <v>53</v>
      </c>
      <c r="E656" s="6">
        <v>35958</v>
      </c>
      <c r="F656" s="6">
        <v>8</v>
      </c>
      <c r="G656" s="6">
        <v>36</v>
      </c>
      <c r="H656" s="6" t="s">
        <v>19</v>
      </c>
      <c r="I656" s="6" t="s">
        <v>83</v>
      </c>
      <c r="J656" s="6" t="s">
        <v>21</v>
      </c>
      <c r="K656" s="6">
        <v>107485</v>
      </c>
      <c r="L656" s="6" t="s">
        <v>29</v>
      </c>
      <c r="M656" s="6">
        <v>0.36</v>
      </c>
      <c r="N656" s="6">
        <v>0.89</v>
      </c>
      <c r="O656" s="6">
        <v>38834.639999999999</v>
      </c>
      <c r="P656" s="6">
        <v>0</v>
      </c>
      <c r="Q656" s="6">
        <f t="shared" ca="1" si="32"/>
        <v>42</v>
      </c>
      <c r="R656" s="6">
        <f t="shared" si="30"/>
        <v>-2876.6399999999994</v>
      </c>
      <c r="S656" s="7" t="str">
        <f t="shared" si="31"/>
        <v>Loss</v>
      </c>
    </row>
    <row r="657" spans="1:19" x14ac:dyDescent="0.3">
      <c r="A657" s="4" t="s">
        <v>1355</v>
      </c>
      <c r="B657" s="5">
        <v>44915</v>
      </c>
      <c r="C657" s="6" t="s">
        <v>1356</v>
      </c>
      <c r="D657" s="6" t="s">
        <v>64</v>
      </c>
      <c r="E657" s="6">
        <v>10108</v>
      </c>
      <c r="F657" s="6">
        <v>5.6</v>
      </c>
      <c r="G657" s="6">
        <v>60</v>
      </c>
      <c r="H657" s="6" t="s">
        <v>80</v>
      </c>
      <c r="I657" s="6" t="s">
        <v>20</v>
      </c>
      <c r="J657" s="6" t="s">
        <v>47</v>
      </c>
      <c r="K657" s="6">
        <v>104055</v>
      </c>
      <c r="L657" s="6" t="s">
        <v>33</v>
      </c>
      <c r="M657" s="6">
        <v>0.18</v>
      </c>
      <c r="N657" s="6">
        <v>0.87</v>
      </c>
      <c r="O657" s="6">
        <v>2849.4</v>
      </c>
      <c r="P657" s="6">
        <v>2210.77</v>
      </c>
      <c r="Q657" s="6">
        <f t="shared" ca="1" si="32"/>
        <v>39</v>
      </c>
      <c r="R657" s="6">
        <f t="shared" si="30"/>
        <v>7258.6</v>
      </c>
      <c r="S657" s="7" t="str">
        <f t="shared" si="31"/>
        <v>Profit</v>
      </c>
    </row>
    <row r="658" spans="1:19" x14ac:dyDescent="0.3">
      <c r="A658" s="4" t="s">
        <v>1357</v>
      </c>
      <c r="B658" s="5">
        <v>44499</v>
      </c>
      <c r="C658" s="6" t="s">
        <v>1358</v>
      </c>
      <c r="D658" s="6" t="s">
        <v>53</v>
      </c>
      <c r="E658" s="6">
        <v>13178</v>
      </c>
      <c r="F658" s="6">
        <v>24.4</v>
      </c>
      <c r="G658" s="6">
        <v>60</v>
      </c>
      <c r="H658" s="6" t="s">
        <v>19</v>
      </c>
      <c r="I658" s="6" t="s">
        <v>83</v>
      </c>
      <c r="J658" s="6" t="s">
        <v>21</v>
      </c>
      <c r="K658" s="6">
        <v>121911</v>
      </c>
      <c r="L658" s="6" t="s">
        <v>33</v>
      </c>
      <c r="M658" s="6">
        <v>0.23</v>
      </c>
      <c r="N658" s="6">
        <v>0.94</v>
      </c>
      <c r="O658" s="6">
        <v>16393.43</v>
      </c>
      <c r="P658" s="6">
        <v>0</v>
      </c>
      <c r="Q658" s="6">
        <f t="shared" ca="1" si="32"/>
        <v>52</v>
      </c>
      <c r="R658" s="6">
        <f t="shared" si="30"/>
        <v>-3215.4300000000003</v>
      </c>
      <c r="S658" s="7" t="str">
        <f t="shared" si="31"/>
        <v>Loss</v>
      </c>
    </row>
    <row r="659" spans="1:19" x14ac:dyDescent="0.3">
      <c r="A659" s="4" t="s">
        <v>1359</v>
      </c>
      <c r="B659" s="5">
        <v>44835</v>
      </c>
      <c r="C659" s="6" t="s">
        <v>1360</v>
      </c>
      <c r="D659" s="6" t="s">
        <v>25</v>
      </c>
      <c r="E659" s="6">
        <v>36643</v>
      </c>
      <c r="F659" s="6">
        <v>20.5</v>
      </c>
      <c r="G659" s="6">
        <v>36</v>
      </c>
      <c r="H659" s="6" t="s">
        <v>19</v>
      </c>
      <c r="I659" s="6" t="s">
        <v>72</v>
      </c>
      <c r="J659" s="6" t="s">
        <v>37</v>
      </c>
      <c r="K659" s="6">
        <v>128618</v>
      </c>
      <c r="L659" s="6" t="s">
        <v>22</v>
      </c>
      <c r="M659" s="6">
        <v>0.19</v>
      </c>
      <c r="N659" s="6">
        <v>0.91</v>
      </c>
      <c r="O659" s="6">
        <v>44154.82</v>
      </c>
      <c r="P659" s="6">
        <v>0</v>
      </c>
      <c r="Q659" s="6">
        <f t="shared" ca="1" si="32"/>
        <v>41</v>
      </c>
      <c r="R659" s="6">
        <f t="shared" si="30"/>
        <v>-7511.82</v>
      </c>
      <c r="S659" s="7" t="str">
        <f t="shared" si="31"/>
        <v>Loss</v>
      </c>
    </row>
    <row r="660" spans="1:19" x14ac:dyDescent="0.3">
      <c r="A660" s="4" t="s">
        <v>1361</v>
      </c>
      <c r="B660" s="5">
        <v>44252</v>
      </c>
      <c r="C660" s="6" t="s">
        <v>1362</v>
      </c>
      <c r="D660" s="6" t="s">
        <v>71</v>
      </c>
      <c r="E660" s="6">
        <v>32324</v>
      </c>
      <c r="F660" s="6">
        <v>24.6</v>
      </c>
      <c r="G660" s="6">
        <v>36</v>
      </c>
      <c r="H660" s="6" t="s">
        <v>19</v>
      </c>
      <c r="I660" s="6" t="s">
        <v>20</v>
      </c>
      <c r="J660" s="6" t="s">
        <v>21</v>
      </c>
      <c r="K660" s="6">
        <v>107273</v>
      </c>
      <c r="L660" s="6" t="s">
        <v>29</v>
      </c>
      <c r="M660" s="6">
        <v>0.13</v>
      </c>
      <c r="N660" s="6">
        <v>0.88</v>
      </c>
      <c r="O660" s="6">
        <v>40275.699999999997</v>
      </c>
      <c r="P660" s="6">
        <v>0</v>
      </c>
      <c r="Q660" s="6">
        <f t="shared" ca="1" si="32"/>
        <v>60</v>
      </c>
      <c r="R660" s="6">
        <f t="shared" si="30"/>
        <v>-7951.6999999999971</v>
      </c>
      <c r="S660" s="7" t="str">
        <f t="shared" si="31"/>
        <v>Loss</v>
      </c>
    </row>
    <row r="661" spans="1:19" x14ac:dyDescent="0.3">
      <c r="A661" s="4" t="s">
        <v>1363</v>
      </c>
      <c r="B661" s="5">
        <v>44922</v>
      </c>
      <c r="C661" s="6" t="s">
        <v>1364</v>
      </c>
      <c r="D661" s="6" t="s">
        <v>53</v>
      </c>
      <c r="E661" s="6">
        <v>39360</v>
      </c>
      <c r="F661" s="6">
        <v>14.6</v>
      </c>
      <c r="G661" s="6">
        <v>36</v>
      </c>
      <c r="H661" s="6" t="s">
        <v>19</v>
      </c>
      <c r="I661" s="6" t="s">
        <v>36</v>
      </c>
      <c r="J661" s="6" t="s">
        <v>32</v>
      </c>
      <c r="K661" s="6">
        <v>96670</v>
      </c>
      <c r="L661" s="6" t="s">
        <v>33</v>
      </c>
      <c r="M661" s="6">
        <v>0.43</v>
      </c>
      <c r="N661" s="6">
        <v>0.52</v>
      </c>
      <c r="O661" s="6">
        <v>45106.559999999998</v>
      </c>
      <c r="P661" s="6">
        <v>0</v>
      </c>
      <c r="Q661" s="6">
        <f t="shared" ca="1" si="32"/>
        <v>38</v>
      </c>
      <c r="R661" s="6">
        <f t="shared" si="30"/>
        <v>-5746.5599999999977</v>
      </c>
      <c r="S661" s="7" t="str">
        <f t="shared" si="31"/>
        <v>Loss</v>
      </c>
    </row>
    <row r="662" spans="1:19" x14ac:dyDescent="0.3">
      <c r="A662" s="4" t="s">
        <v>1365</v>
      </c>
      <c r="B662" s="5">
        <v>44722</v>
      </c>
      <c r="C662" s="6" t="s">
        <v>1366</v>
      </c>
      <c r="D662" s="6" t="s">
        <v>40</v>
      </c>
      <c r="E662" s="6">
        <v>18824</v>
      </c>
      <c r="F662" s="6">
        <v>15.6</v>
      </c>
      <c r="G662" s="6">
        <v>36</v>
      </c>
      <c r="H662" s="6" t="s">
        <v>19</v>
      </c>
      <c r="I662" s="6" t="s">
        <v>27</v>
      </c>
      <c r="J662" s="6" t="s">
        <v>37</v>
      </c>
      <c r="K662" s="6">
        <v>106474</v>
      </c>
      <c r="L662" s="6" t="s">
        <v>33</v>
      </c>
      <c r="M662" s="6">
        <v>0.2</v>
      </c>
      <c r="N662" s="6">
        <v>0.55000000000000004</v>
      </c>
      <c r="O662" s="6">
        <v>21760.54</v>
      </c>
      <c r="P662" s="6">
        <v>0</v>
      </c>
      <c r="Q662" s="6">
        <f t="shared" ca="1" si="32"/>
        <v>45</v>
      </c>
      <c r="R662" s="6">
        <f t="shared" si="30"/>
        <v>-2936.5400000000009</v>
      </c>
      <c r="S662" s="7" t="str">
        <f t="shared" si="31"/>
        <v>Loss</v>
      </c>
    </row>
    <row r="663" spans="1:19" x14ac:dyDescent="0.3">
      <c r="A663" s="4" t="s">
        <v>1367</v>
      </c>
      <c r="B663" s="5">
        <v>44670</v>
      </c>
      <c r="C663" s="6" t="s">
        <v>1368</v>
      </c>
      <c r="D663" s="6" t="s">
        <v>71</v>
      </c>
      <c r="E663" s="6">
        <v>9927</v>
      </c>
      <c r="F663" s="6">
        <v>8.4</v>
      </c>
      <c r="G663" s="6">
        <v>60</v>
      </c>
      <c r="H663" s="6" t="s">
        <v>26</v>
      </c>
      <c r="I663" s="6" t="s">
        <v>20</v>
      </c>
      <c r="J663" s="6" t="s">
        <v>28</v>
      </c>
      <c r="K663" s="6">
        <v>84028</v>
      </c>
      <c r="L663" s="6" t="s">
        <v>33</v>
      </c>
      <c r="M663" s="6">
        <v>0.28999999999999998</v>
      </c>
      <c r="N663" s="6">
        <v>0.76</v>
      </c>
      <c r="O663" s="6">
        <v>2126.9699999999998</v>
      </c>
      <c r="P663" s="6">
        <v>0</v>
      </c>
      <c r="Q663" s="6">
        <f t="shared" ca="1" si="32"/>
        <v>47</v>
      </c>
      <c r="R663" s="6">
        <f t="shared" si="30"/>
        <v>7800.0300000000007</v>
      </c>
      <c r="S663" s="7" t="str">
        <f t="shared" si="31"/>
        <v>Profit</v>
      </c>
    </row>
    <row r="664" spans="1:19" x14ac:dyDescent="0.3">
      <c r="A664" s="4" t="s">
        <v>1369</v>
      </c>
      <c r="B664" s="5">
        <v>44224</v>
      </c>
      <c r="C664" s="6" t="s">
        <v>1370</v>
      </c>
      <c r="D664" s="6" t="s">
        <v>25</v>
      </c>
      <c r="E664" s="6">
        <v>29144</v>
      </c>
      <c r="F664" s="6">
        <v>9.9</v>
      </c>
      <c r="G664" s="6">
        <v>60</v>
      </c>
      <c r="H664" s="6" t="s">
        <v>19</v>
      </c>
      <c r="I664" s="6" t="s">
        <v>20</v>
      </c>
      <c r="J664" s="6" t="s">
        <v>37</v>
      </c>
      <c r="K664" s="6">
        <v>120022</v>
      </c>
      <c r="L664" s="6" t="s">
        <v>22</v>
      </c>
      <c r="M664" s="6">
        <v>0.12</v>
      </c>
      <c r="N664" s="6">
        <v>0.74</v>
      </c>
      <c r="O664" s="6">
        <v>32029.26</v>
      </c>
      <c r="P664" s="6">
        <v>0</v>
      </c>
      <c r="Q664" s="6">
        <f t="shared" ca="1" si="32"/>
        <v>61</v>
      </c>
      <c r="R664" s="6">
        <f t="shared" si="30"/>
        <v>-2885.2599999999984</v>
      </c>
      <c r="S664" s="7" t="str">
        <f t="shared" si="31"/>
        <v>Loss</v>
      </c>
    </row>
    <row r="665" spans="1:19" x14ac:dyDescent="0.3">
      <c r="A665" s="4" t="s">
        <v>1371</v>
      </c>
      <c r="B665" s="5">
        <v>44274</v>
      </c>
      <c r="C665" s="6" t="s">
        <v>1372</v>
      </c>
      <c r="D665" s="6" t="s">
        <v>18</v>
      </c>
      <c r="E665" s="6">
        <v>32010</v>
      </c>
      <c r="F665" s="6">
        <v>21.8</v>
      </c>
      <c r="G665" s="6">
        <v>60</v>
      </c>
      <c r="H665" s="6" t="s">
        <v>26</v>
      </c>
      <c r="I665" s="6" t="s">
        <v>20</v>
      </c>
      <c r="J665" s="6" t="s">
        <v>47</v>
      </c>
      <c r="K665" s="6">
        <v>143892</v>
      </c>
      <c r="L665" s="6" t="s">
        <v>29</v>
      </c>
      <c r="M665" s="6">
        <v>0.38</v>
      </c>
      <c r="N665" s="6">
        <v>0.71</v>
      </c>
      <c r="O665" s="6">
        <v>14628.99</v>
      </c>
      <c r="P665" s="6">
        <v>0</v>
      </c>
      <c r="Q665" s="6">
        <f t="shared" ca="1" si="32"/>
        <v>60</v>
      </c>
      <c r="R665" s="6">
        <f t="shared" si="30"/>
        <v>17381.010000000002</v>
      </c>
      <c r="S665" s="7" t="str">
        <f t="shared" si="31"/>
        <v>Profit</v>
      </c>
    </row>
    <row r="666" spans="1:19" x14ac:dyDescent="0.3">
      <c r="A666" s="4" t="s">
        <v>1373</v>
      </c>
      <c r="B666" s="5">
        <v>44561</v>
      </c>
      <c r="C666" s="6" t="s">
        <v>1374</v>
      </c>
      <c r="D666" s="6" t="s">
        <v>71</v>
      </c>
      <c r="E666" s="6">
        <v>23443</v>
      </c>
      <c r="F666" s="6">
        <v>12.1</v>
      </c>
      <c r="G666" s="6">
        <v>36</v>
      </c>
      <c r="H666" s="6" t="s">
        <v>314</v>
      </c>
      <c r="I666" s="6" t="s">
        <v>72</v>
      </c>
      <c r="J666" s="6" t="s">
        <v>47</v>
      </c>
      <c r="K666" s="6">
        <v>121632</v>
      </c>
      <c r="L666" s="6" t="s">
        <v>22</v>
      </c>
      <c r="M666" s="6">
        <v>0.23</v>
      </c>
      <c r="N666" s="6">
        <v>0.68</v>
      </c>
      <c r="O666" s="6">
        <v>0</v>
      </c>
      <c r="P666" s="6">
        <v>0</v>
      </c>
      <c r="Q666" s="6">
        <f t="shared" ca="1" si="32"/>
        <v>50</v>
      </c>
      <c r="R666" s="6">
        <f t="shared" si="30"/>
        <v>23443</v>
      </c>
      <c r="S666" s="7" t="str">
        <f t="shared" si="31"/>
        <v>Profit</v>
      </c>
    </row>
    <row r="667" spans="1:19" x14ac:dyDescent="0.3">
      <c r="A667" s="4" t="s">
        <v>1375</v>
      </c>
      <c r="B667" s="5">
        <v>44862</v>
      </c>
      <c r="C667" s="6" t="s">
        <v>1376</v>
      </c>
      <c r="D667" s="6" t="s">
        <v>71</v>
      </c>
      <c r="E667" s="6">
        <v>15437</v>
      </c>
      <c r="F667" s="6">
        <v>21.5</v>
      </c>
      <c r="G667" s="6">
        <v>60</v>
      </c>
      <c r="H667" s="6" t="s">
        <v>26</v>
      </c>
      <c r="I667" s="6" t="s">
        <v>20</v>
      </c>
      <c r="J667" s="6" t="s">
        <v>21</v>
      </c>
      <c r="K667" s="6">
        <v>136651</v>
      </c>
      <c r="L667" s="6" t="s">
        <v>33</v>
      </c>
      <c r="M667" s="6">
        <v>0.4</v>
      </c>
      <c r="N667" s="6">
        <v>0.69</v>
      </c>
      <c r="O667" s="6">
        <v>4267.6000000000004</v>
      </c>
      <c r="P667" s="6">
        <v>0</v>
      </c>
      <c r="Q667" s="6">
        <f t="shared" ca="1" si="32"/>
        <v>40</v>
      </c>
      <c r="R667" s="6">
        <f t="shared" si="30"/>
        <v>11169.4</v>
      </c>
      <c r="S667" s="7" t="str">
        <f t="shared" si="31"/>
        <v>Profit</v>
      </c>
    </row>
    <row r="668" spans="1:19" x14ac:dyDescent="0.3">
      <c r="A668" s="4" t="s">
        <v>1377</v>
      </c>
      <c r="B668" s="5">
        <v>44722</v>
      </c>
      <c r="C668" s="6" t="s">
        <v>1378</v>
      </c>
      <c r="D668" s="6" t="s">
        <v>18</v>
      </c>
      <c r="E668" s="6">
        <v>12207</v>
      </c>
      <c r="F668" s="6">
        <v>19.2</v>
      </c>
      <c r="G668" s="6">
        <v>36</v>
      </c>
      <c r="H668" s="6" t="s">
        <v>19</v>
      </c>
      <c r="I668" s="6" t="s">
        <v>20</v>
      </c>
      <c r="J668" s="6" t="s">
        <v>37</v>
      </c>
      <c r="K668" s="6">
        <v>101128</v>
      </c>
      <c r="L668" s="6" t="s">
        <v>29</v>
      </c>
      <c r="M668" s="6">
        <v>0.26</v>
      </c>
      <c r="N668" s="6">
        <v>0.76</v>
      </c>
      <c r="O668" s="6">
        <v>14550.74</v>
      </c>
      <c r="P668" s="6">
        <v>0</v>
      </c>
      <c r="Q668" s="6">
        <f t="shared" ca="1" si="32"/>
        <v>45</v>
      </c>
      <c r="R668" s="6">
        <f t="shared" si="30"/>
        <v>-2343.7399999999998</v>
      </c>
      <c r="S668" s="7" t="str">
        <f t="shared" si="31"/>
        <v>Loss</v>
      </c>
    </row>
    <row r="669" spans="1:19" x14ac:dyDescent="0.3">
      <c r="A669" s="4" t="s">
        <v>1379</v>
      </c>
      <c r="B669" s="5">
        <v>44895</v>
      </c>
      <c r="C669" s="6" t="s">
        <v>1380</v>
      </c>
      <c r="D669" s="6" t="s">
        <v>25</v>
      </c>
      <c r="E669" s="6">
        <v>26537</v>
      </c>
      <c r="F669" s="6">
        <v>8.5</v>
      </c>
      <c r="G669" s="6">
        <v>36</v>
      </c>
      <c r="H669" s="6" t="s">
        <v>19</v>
      </c>
      <c r="I669" s="6" t="s">
        <v>20</v>
      </c>
      <c r="J669" s="6" t="s">
        <v>28</v>
      </c>
      <c r="K669" s="6">
        <v>48108</v>
      </c>
      <c r="L669" s="6" t="s">
        <v>22</v>
      </c>
      <c r="M669" s="6">
        <v>0.18</v>
      </c>
      <c r="N669" s="6">
        <v>0.5</v>
      </c>
      <c r="O669" s="6">
        <v>28792.639999999999</v>
      </c>
      <c r="P669" s="6">
        <v>0</v>
      </c>
      <c r="Q669" s="6">
        <f t="shared" ca="1" si="32"/>
        <v>39</v>
      </c>
      <c r="R669" s="6">
        <f t="shared" si="30"/>
        <v>-2255.6399999999994</v>
      </c>
      <c r="S669" s="7" t="str">
        <f t="shared" si="31"/>
        <v>Loss</v>
      </c>
    </row>
    <row r="670" spans="1:19" x14ac:dyDescent="0.3">
      <c r="A670" s="4" t="s">
        <v>1381</v>
      </c>
      <c r="B670" s="5">
        <v>45079</v>
      </c>
      <c r="C670" s="6" t="s">
        <v>1382</v>
      </c>
      <c r="D670" s="6" t="s">
        <v>53</v>
      </c>
      <c r="E670" s="6">
        <v>36757</v>
      </c>
      <c r="F670" s="6">
        <v>15.1</v>
      </c>
      <c r="G670" s="6">
        <v>36</v>
      </c>
      <c r="H670" s="6" t="s">
        <v>80</v>
      </c>
      <c r="I670" s="6" t="s">
        <v>27</v>
      </c>
      <c r="J670" s="6" t="s">
        <v>47</v>
      </c>
      <c r="K670" s="6">
        <v>82495</v>
      </c>
      <c r="L670" s="6" t="s">
        <v>33</v>
      </c>
      <c r="M670" s="6">
        <v>0.31</v>
      </c>
      <c r="N670" s="6">
        <v>0.62</v>
      </c>
      <c r="O670" s="6">
        <v>8800.92</v>
      </c>
      <c r="P670" s="6">
        <v>6346.33</v>
      </c>
      <c r="Q670" s="6">
        <f t="shared" ca="1" si="32"/>
        <v>33</v>
      </c>
      <c r="R670" s="6">
        <f t="shared" si="30"/>
        <v>27956.080000000002</v>
      </c>
      <c r="S670" s="7" t="str">
        <f t="shared" si="31"/>
        <v>Profit</v>
      </c>
    </row>
    <row r="671" spans="1:19" x14ac:dyDescent="0.3">
      <c r="A671" s="4" t="s">
        <v>1383</v>
      </c>
      <c r="B671" s="5">
        <v>45227</v>
      </c>
      <c r="C671" s="6" t="s">
        <v>1384</v>
      </c>
      <c r="D671" s="6" t="s">
        <v>64</v>
      </c>
      <c r="E671" s="6">
        <v>13040</v>
      </c>
      <c r="F671" s="6">
        <v>18.5</v>
      </c>
      <c r="G671" s="6">
        <v>36</v>
      </c>
      <c r="H671" s="6" t="s">
        <v>19</v>
      </c>
      <c r="I671" s="6" t="s">
        <v>83</v>
      </c>
      <c r="J671" s="6" t="s">
        <v>28</v>
      </c>
      <c r="K671" s="6">
        <v>112806</v>
      </c>
      <c r="L671" s="6" t="s">
        <v>33</v>
      </c>
      <c r="M671" s="6">
        <v>0.15</v>
      </c>
      <c r="N671" s="6">
        <v>0.73</v>
      </c>
      <c r="O671" s="6">
        <v>15452.4</v>
      </c>
      <c r="P671" s="6">
        <v>0</v>
      </c>
      <c r="Q671" s="6">
        <f t="shared" ca="1" si="32"/>
        <v>28</v>
      </c>
      <c r="R671" s="6">
        <f t="shared" si="30"/>
        <v>-2412.3999999999996</v>
      </c>
      <c r="S671" s="7" t="str">
        <f t="shared" si="31"/>
        <v>Loss</v>
      </c>
    </row>
    <row r="672" spans="1:19" x14ac:dyDescent="0.3">
      <c r="A672" s="4" t="s">
        <v>1385</v>
      </c>
      <c r="B672" s="5">
        <v>45223</v>
      </c>
      <c r="C672" s="6" t="s">
        <v>1386</v>
      </c>
      <c r="D672" s="6" t="s">
        <v>46</v>
      </c>
      <c r="E672" s="6">
        <v>23612</v>
      </c>
      <c r="F672" s="6">
        <v>9.6999999999999993</v>
      </c>
      <c r="G672" s="6">
        <v>36</v>
      </c>
      <c r="H672" s="6" t="s">
        <v>26</v>
      </c>
      <c r="I672" s="6" t="s">
        <v>83</v>
      </c>
      <c r="J672" s="6" t="s">
        <v>32</v>
      </c>
      <c r="K672" s="6">
        <v>123185</v>
      </c>
      <c r="L672" s="6" t="s">
        <v>22</v>
      </c>
      <c r="M672" s="6">
        <v>0.28000000000000003</v>
      </c>
      <c r="N672" s="6">
        <v>0.82</v>
      </c>
      <c r="O672" s="6">
        <v>11779.58</v>
      </c>
      <c r="P672" s="6">
        <v>0</v>
      </c>
      <c r="Q672" s="6">
        <f t="shared" ca="1" si="32"/>
        <v>28</v>
      </c>
      <c r="R672" s="6">
        <f t="shared" si="30"/>
        <v>11832.42</v>
      </c>
      <c r="S672" s="7" t="str">
        <f t="shared" si="31"/>
        <v>Profit</v>
      </c>
    </row>
    <row r="673" spans="1:19" x14ac:dyDescent="0.3">
      <c r="A673" s="4" t="s">
        <v>1387</v>
      </c>
      <c r="B673" s="5">
        <v>45115</v>
      </c>
      <c r="C673" s="6" t="s">
        <v>1388</v>
      </c>
      <c r="D673" s="6" t="s">
        <v>18</v>
      </c>
      <c r="E673" s="6">
        <v>29441</v>
      </c>
      <c r="F673" s="6">
        <v>21.6</v>
      </c>
      <c r="G673" s="6">
        <v>60</v>
      </c>
      <c r="H673" s="6" t="s">
        <v>80</v>
      </c>
      <c r="I673" s="6" t="s">
        <v>20</v>
      </c>
      <c r="J673" s="6" t="s">
        <v>47</v>
      </c>
      <c r="K673" s="6">
        <v>106533</v>
      </c>
      <c r="L673" s="6" t="s">
        <v>33</v>
      </c>
      <c r="M673" s="6">
        <v>0.23</v>
      </c>
      <c r="N673" s="6">
        <v>0.57999999999999996</v>
      </c>
      <c r="O673" s="6">
        <v>7302.84</v>
      </c>
      <c r="P673" s="6">
        <v>11730.22</v>
      </c>
      <c r="Q673" s="6">
        <f t="shared" ca="1" si="32"/>
        <v>32</v>
      </c>
      <c r="R673" s="6">
        <f t="shared" si="30"/>
        <v>22138.16</v>
      </c>
      <c r="S673" s="7" t="str">
        <f t="shared" si="31"/>
        <v>Profit</v>
      </c>
    </row>
    <row r="674" spans="1:19" x14ac:dyDescent="0.3">
      <c r="A674" s="4" t="s">
        <v>1389</v>
      </c>
      <c r="B674" s="5">
        <v>44946</v>
      </c>
      <c r="C674" s="6" t="s">
        <v>1390</v>
      </c>
      <c r="D674" s="6" t="s">
        <v>18</v>
      </c>
      <c r="E674" s="6">
        <v>7471</v>
      </c>
      <c r="F674" s="6">
        <v>15.9</v>
      </c>
      <c r="G674" s="6">
        <v>60</v>
      </c>
      <c r="H674" s="6" t="s">
        <v>80</v>
      </c>
      <c r="I674" s="6" t="s">
        <v>36</v>
      </c>
      <c r="J674" s="6" t="s">
        <v>21</v>
      </c>
      <c r="K674" s="6">
        <v>129025</v>
      </c>
      <c r="L674" s="6" t="s">
        <v>33</v>
      </c>
      <c r="M674" s="6">
        <v>0.46</v>
      </c>
      <c r="N674" s="6">
        <v>0.75</v>
      </c>
      <c r="O674" s="6">
        <v>1146.94</v>
      </c>
      <c r="P674" s="6">
        <v>2846.42</v>
      </c>
      <c r="Q674" s="6">
        <f t="shared" ca="1" si="32"/>
        <v>38</v>
      </c>
      <c r="R674" s="6">
        <f t="shared" si="30"/>
        <v>6324.0599999999995</v>
      </c>
      <c r="S674" s="7" t="str">
        <f t="shared" si="31"/>
        <v>Profit</v>
      </c>
    </row>
    <row r="675" spans="1:19" x14ac:dyDescent="0.3">
      <c r="A675" s="4" t="s">
        <v>1391</v>
      </c>
      <c r="B675" s="5">
        <v>44559</v>
      </c>
      <c r="C675" s="6" t="s">
        <v>1392</v>
      </c>
      <c r="D675" s="6" t="s">
        <v>18</v>
      </c>
      <c r="E675" s="6">
        <v>36631</v>
      </c>
      <c r="F675" s="6">
        <v>8.3000000000000007</v>
      </c>
      <c r="G675" s="6">
        <v>36</v>
      </c>
      <c r="H675" s="6" t="s">
        <v>80</v>
      </c>
      <c r="I675" s="6" t="s">
        <v>27</v>
      </c>
      <c r="J675" s="6" t="s">
        <v>32</v>
      </c>
      <c r="K675" s="6">
        <v>86830</v>
      </c>
      <c r="L675" s="6" t="s">
        <v>29</v>
      </c>
      <c r="M675" s="6">
        <v>0.12</v>
      </c>
      <c r="N675" s="6">
        <v>0.82</v>
      </c>
      <c r="O675" s="6">
        <v>9301.3700000000008</v>
      </c>
      <c r="P675" s="6">
        <v>10217.73</v>
      </c>
      <c r="Q675" s="6">
        <f t="shared" ca="1" si="32"/>
        <v>50</v>
      </c>
      <c r="R675" s="6">
        <f t="shared" si="30"/>
        <v>27329.629999999997</v>
      </c>
      <c r="S675" s="7" t="str">
        <f t="shared" si="31"/>
        <v>Profit</v>
      </c>
    </row>
    <row r="676" spans="1:19" x14ac:dyDescent="0.3">
      <c r="A676" s="4" t="s">
        <v>1393</v>
      </c>
      <c r="B676" s="5">
        <v>45002</v>
      </c>
      <c r="C676" s="6" t="s">
        <v>1394</v>
      </c>
      <c r="D676" s="6" t="s">
        <v>18</v>
      </c>
      <c r="E676" s="6">
        <v>27523</v>
      </c>
      <c r="F676" s="6">
        <v>16.7</v>
      </c>
      <c r="G676" s="6">
        <v>60</v>
      </c>
      <c r="H676" s="6" t="s">
        <v>26</v>
      </c>
      <c r="I676" s="6" t="s">
        <v>36</v>
      </c>
      <c r="J676" s="6" t="s">
        <v>37</v>
      </c>
      <c r="K676" s="6">
        <v>104640</v>
      </c>
      <c r="L676" s="6" t="s">
        <v>33</v>
      </c>
      <c r="M676" s="6">
        <v>0.38</v>
      </c>
      <c r="N676" s="6">
        <v>0.7</v>
      </c>
      <c r="O676" s="6">
        <v>11458.03</v>
      </c>
      <c r="P676" s="6">
        <v>0</v>
      </c>
      <c r="Q676" s="6">
        <f t="shared" ca="1" si="32"/>
        <v>36</v>
      </c>
      <c r="R676" s="6">
        <f t="shared" si="30"/>
        <v>16064.97</v>
      </c>
      <c r="S676" s="7" t="str">
        <f t="shared" si="31"/>
        <v>Profit</v>
      </c>
    </row>
    <row r="677" spans="1:19" x14ac:dyDescent="0.3">
      <c r="A677" s="4" t="s">
        <v>1395</v>
      </c>
      <c r="B677" s="5">
        <v>44935</v>
      </c>
      <c r="C677" s="6" t="s">
        <v>1396</v>
      </c>
      <c r="D677" s="6" t="s">
        <v>46</v>
      </c>
      <c r="E677" s="6">
        <v>32348</v>
      </c>
      <c r="F677" s="6">
        <v>25</v>
      </c>
      <c r="G677" s="6">
        <v>36</v>
      </c>
      <c r="H677" s="6" t="s">
        <v>19</v>
      </c>
      <c r="I677" s="6" t="s">
        <v>57</v>
      </c>
      <c r="J677" s="6" t="s">
        <v>28</v>
      </c>
      <c r="K677" s="6">
        <v>82509</v>
      </c>
      <c r="L677" s="6" t="s">
        <v>22</v>
      </c>
      <c r="M677" s="6">
        <v>0.17</v>
      </c>
      <c r="N677" s="6">
        <v>0.51</v>
      </c>
      <c r="O677" s="6">
        <v>40435</v>
      </c>
      <c r="P677" s="6">
        <v>0</v>
      </c>
      <c r="Q677" s="6">
        <f t="shared" ca="1" si="32"/>
        <v>38</v>
      </c>
      <c r="R677" s="6">
        <f t="shared" si="30"/>
        <v>-8087</v>
      </c>
      <c r="S677" s="7" t="str">
        <f t="shared" si="31"/>
        <v>Loss</v>
      </c>
    </row>
    <row r="678" spans="1:19" x14ac:dyDescent="0.3">
      <c r="A678" s="4" t="s">
        <v>1397</v>
      </c>
      <c r="B678" s="5">
        <v>45235</v>
      </c>
      <c r="C678" s="6" t="s">
        <v>1398</v>
      </c>
      <c r="D678" s="6" t="s">
        <v>46</v>
      </c>
      <c r="E678" s="6">
        <v>2177</v>
      </c>
      <c r="F678" s="6">
        <v>8</v>
      </c>
      <c r="G678" s="6">
        <v>36</v>
      </c>
      <c r="H678" s="6" t="s">
        <v>2045</v>
      </c>
      <c r="I678" s="6" t="s">
        <v>57</v>
      </c>
      <c r="J678" s="6" t="s">
        <v>47</v>
      </c>
      <c r="K678" s="6">
        <v>96406</v>
      </c>
      <c r="L678" s="6" t="s">
        <v>29</v>
      </c>
      <c r="M678" s="6">
        <v>0.23</v>
      </c>
      <c r="N678" s="6">
        <v>0.7</v>
      </c>
      <c r="O678" s="6">
        <v>0</v>
      </c>
      <c r="P678" s="6">
        <v>0</v>
      </c>
      <c r="Q678" s="6">
        <f t="shared" ca="1" si="32"/>
        <v>28</v>
      </c>
      <c r="R678" s="6">
        <f t="shared" si="30"/>
        <v>2177</v>
      </c>
      <c r="S678" s="7" t="str">
        <f t="shared" si="31"/>
        <v>Profit</v>
      </c>
    </row>
    <row r="679" spans="1:19" x14ac:dyDescent="0.3">
      <c r="A679" s="4" t="s">
        <v>1399</v>
      </c>
      <c r="B679" s="5">
        <v>44681</v>
      </c>
      <c r="C679" s="6" t="s">
        <v>1400</v>
      </c>
      <c r="D679" s="6" t="s">
        <v>53</v>
      </c>
      <c r="E679" s="6">
        <v>5760</v>
      </c>
      <c r="F679" s="6">
        <v>21.3</v>
      </c>
      <c r="G679" s="6">
        <v>36</v>
      </c>
      <c r="H679" s="6" t="s">
        <v>19</v>
      </c>
      <c r="I679" s="6" t="s">
        <v>83</v>
      </c>
      <c r="J679" s="6" t="s">
        <v>32</v>
      </c>
      <c r="K679" s="6">
        <v>124220</v>
      </c>
      <c r="L679" s="6" t="s">
        <v>22</v>
      </c>
      <c r="M679" s="6">
        <v>0.27</v>
      </c>
      <c r="N679" s="6">
        <v>0.63</v>
      </c>
      <c r="O679" s="6">
        <v>6986.88</v>
      </c>
      <c r="P679" s="6">
        <v>0</v>
      </c>
      <c r="Q679" s="6">
        <f t="shared" ca="1" si="32"/>
        <v>46</v>
      </c>
      <c r="R679" s="6">
        <f t="shared" si="30"/>
        <v>-1226.8800000000001</v>
      </c>
      <c r="S679" s="7" t="str">
        <f t="shared" si="31"/>
        <v>Loss</v>
      </c>
    </row>
    <row r="680" spans="1:19" x14ac:dyDescent="0.3">
      <c r="A680" s="4" t="s">
        <v>1401</v>
      </c>
      <c r="B680" s="5">
        <v>44224</v>
      </c>
      <c r="C680" s="6" t="s">
        <v>1402</v>
      </c>
      <c r="D680" s="6" t="s">
        <v>50</v>
      </c>
      <c r="E680" s="6">
        <v>33779</v>
      </c>
      <c r="F680" s="6">
        <v>9.1</v>
      </c>
      <c r="G680" s="6">
        <v>60</v>
      </c>
      <c r="H680" s="6" t="s">
        <v>19</v>
      </c>
      <c r="I680" s="6" t="s">
        <v>20</v>
      </c>
      <c r="J680" s="6" t="s">
        <v>32</v>
      </c>
      <c r="K680" s="6">
        <v>69519</v>
      </c>
      <c r="L680" s="6" t="s">
        <v>33</v>
      </c>
      <c r="M680" s="6">
        <v>0.46</v>
      </c>
      <c r="N680" s="6">
        <v>0.92</v>
      </c>
      <c r="O680" s="6">
        <v>36852.89</v>
      </c>
      <c r="P680" s="6">
        <v>0</v>
      </c>
      <c r="Q680" s="6">
        <f t="shared" ca="1" si="32"/>
        <v>61</v>
      </c>
      <c r="R680" s="6">
        <f t="shared" si="30"/>
        <v>-3073.8899999999994</v>
      </c>
      <c r="S680" s="7" t="str">
        <f t="shared" si="31"/>
        <v>Loss</v>
      </c>
    </row>
    <row r="681" spans="1:19" x14ac:dyDescent="0.3">
      <c r="A681" s="4" t="s">
        <v>1403</v>
      </c>
      <c r="B681" s="5">
        <v>44910</v>
      </c>
      <c r="C681" s="6" t="s">
        <v>1404</v>
      </c>
      <c r="D681" s="6" t="s">
        <v>50</v>
      </c>
      <c r="E681" s="6">
        <v>22636</v>
      </c>
      <c r="F681" s="6">
        <v>20.6</v>
      </c>
      <c r="G681" s="6">
        <v>36</v>
      </c>
      <c r="H681" s="6" t="s">
        <v>26</v>
      </c>
      <c r="I681" s="6" t="s">
        <v>72</v>
      </c>
      <c r="J681" s="6" t="s">
        <v>47</v>
      </c>
      <c r="K681" s="6">
        <v>79649</v>
      </c>
      <c r="L681" s="6" t="s">
        <v>29</v>
      </c>
      <c r="M681" s="6">
        <v>0.2</v>
      </c>
      <c r="N681" s="6">
        <v>0.56000000000000005</v>
      </c>
      <c r="O681" s="6">
        <v>9045.0499999999993</v>
      </c>
      <c r="P681" s="6">
        <v>0</v>
      </c>
      <c r="Q681" s="6">
        <f t="shared" ca="1" si="32"/>
        <v>39</v>
      </c>
      <c r="R681" s="6">
        <f t="shared" si="30"/>
        <v>13590.95</v>
      </c>
      <c r="S681" s="7" t="str">
        <f t="shared" si="31"/>
        <v>Profit</v>
      </c>
    </row>
    <row r="682" spans="1:19" x14ac:dyDescent="0.3">
      <c r="A682" s="4" t="s">
        <v>1405</v>
      </c>
      <c r="B682" s="5">
        <v>45259</v>
      </c>
      <c r="C682" s="6" t="s">
        <v>1406</v>
      </c>
      <c r="D682" s="6" t="s">
        <v>75</v>
      </c>
      <c r="E682" s="6">
        <v>17353</v>
      </c>
      <c r="F682" s="6">
        <v>19.7</v>
      </c>
      <c r="G682" s="6">
        <v>36</v>
      </c>
      <c r="H682" s="6" t="s">
        <v>26</v>
      </c>
      <c r="I682" s="6" t="s">
        <v>83</v>
      </c>
      <c r="J682" s="6" t="s">
        <v>37</v>
      </c>
      <c r="K682" s="6">
        <v>64524</v>
      </c>
      <c r="L682" s="6" t="s">
        <v>29</v>
      </c>
      <c r="M682" s="6">
        <v>0.14000000000000001</v>
      </c>
      <c r="N682" s="6">
        <v>0.79</v>
      </c>
      <c r="O682" s="6">
        <v>7025.57</v>
      </c>
      <c r="P682" s="6">
        <v>0</v>
      </c>
      <c r="Q682" s="6">
        <f t="shared" ca="1" si="32"/>
        <v>27</v>
      </c>
      <c r="R682" s="6">
        <f t="shared" si="30"/>
        <v>10327.43</v>
      </c>
      <c r="S682" s="7" t="str">
        <f t="shared" si="31"/>
        <v>Profit</v>
      </c>
    </row>
    <row r="683" spans="1:19" x14ac:dyDescent="0.3">
      <c r="A683" s="4" t="s">
        <v>1407</v>
      </c>
      <c r="B683" s="5">
        <v>44282</v>
      </c>
      <c r="C683" s="6" t="s">
        <v>1408</v>
      </c>
      <c r="D683" s="6" t="s">
        <v>18</v>
      </c>
      <c r="E683" s="6">
        <v>12556</v>
      </c>
      <c r="F683" s="6">
        <v>11</v>
      </c>
      <c r="G683" s="6">
        <v>60</v>
      </c>
      <c r="H683" s="6" t="s">
        <v>80</v>
      </c>
      <c r="I683" s="6" t="s">
        <v>83</v>
      </c>
      <c r="J683" s="6" t="s">
        <v>37</v>
      </c>
      <c r="K683" s="6">
        <v>126493</v>
      </c>
      <c r="L683" s="6" t="s">
        <v>29</v>
      </c>
      <c r="M683" s="6">
        <v>0.23</v>
      </c>
      <c r="N683" s="6">
        <v>0.52</v>
      </c>
      <c r="O683" s="6">
        <v>3922.58</v>
      </c>
      <c r="P683" s="6">
        <v>3494.67</v>
      </c>
      <c r="Q683" s="6">
        <f t="shared" ca="1" si="32"/>
        <v>59</v>
      </c>
      <c r="R683" s="6">
        <f t="shared" si="30"/>
        <v>8633.42</v>
      </c>
      <c r="S683" s="7" t="str">
        <f t="shared" si="31"/>
        <v>Profit</v>
      </c>
    </row>
    <row r="684" spans="1:19" x14ac:dyDescent="0.3">
      <c r="A684" s="4" t="s">
        <v>1409</v>
      </c>
      <c r="B684" s="5">
        <v>44322</v>
      </c>
      <c r="C684" s="6" t="s">
        <v>1410</v>
      </c>
      <c r="D684" s="6" t="s">
        <v>18</v>
      </c>
      <c r="E684" s="6">
        <v>28598</v>
      </c>
      <c r="F684" s="6">
        <v>11.5</v>
      </c>
      <c r="G684" s="6">
        <v>60</v>
      </c>
      <c r="H684" s="6" t="s">
        <v>26</v>
      </c>
      <c r="I684" s="6" t="s">
        <v>36</v>
      </c>
      <c r="J684" s="6" t="s">
        <v>21</v>
      </c>
      <c r="K684" s="6">
        <v>63885</v>
      </c>
      <c r="L684" s="6" t="s">
        <v>29</v>
      </c>
      <c r="M684" s="6">
        <v>0.14000000000000001</v>
      </c>
      <c r="N684" s="6">
        <v>0.7</v>
      </c>
      <c r="O684" s="6">
        <v>4701.45</v>
      </c>
      <c r="P684" s="6">
        <v>0</v>
      </c>
      <c r="Q684" s="6">
        <f t="shared" ca="1" si="32"/>
        <v>58</v>
      </c>
      <c r="R684" s="6">
        <f t="shared" si="30"/>
        <v>23896.55</v>
      </c>
      <c r="S684" s="7" t="str">
        <f t="shared" si="31"/>
        <v>Profit</v>
      </c>
    </row>
    <row r="685" spans="1:19" x14ac:dyDescent="0.3">
      <c r="A685" s="4" t="s">
        <v>1411</v>
      </c>
      <c r="B685" s="5">
        <v>45008</v>
      </c>
      <c r="C685" s="6" t="s">
        <v>1412</v>
      </c>
      <c r="D685" s="6" t="s">
        <v>71</v>
      </c>
      <c r="E685" s="6">
        <v>12563</v>
      </c>
      <c r="F685" s="6">
        <v>20.9</v>
      </c>
      <c r="G685" s="6">
        <v>60</v>
      </c>
      <c r="H685" s="6" t="s">
        <v>19</v>
      </c>
      <c r="I685" s="6" t="s">
        <v>27</v>
      </c>
      <c r="J685" s="6" t="s">
        <v>37</v>
      </c>
      <c r="K685" s="6">
        <v>74369</v>
      </c>
      <c r="L685" s="6" t="s">
        <v>22</v>
      </c>
      <c r="M685" s="6">
        <v>0.15</v>
      </c>
      <c r="N685" s="6">
        <v>0.75</v>
      </c>
      <c r="O685" s="6">
        <v>15188.67</v>
      </c>
      <c r="P685" s="6">
        <v>0</v>
      </c>
      <c r="Q685" s="6">
        <f t="shared" ca="1" si="32"/>
        <v>35</v>
      </c>
      <c r="R685" s="6">
        <f t="shared" si="30"/>
        <v>-2625.67</v>
      </c>
      <c r="S685" s="7" t="str">
        <f t="shared" si="31"/>
        <v>Loss</v>
      </c>
    </row>
    <row r="686" spans="1:19" x14ac:dyDescent="0.3">
      <c r="A686" s="4" t="s">
        <v>1413</v>
      </c>
      <c r="B686" s="5">
        <v>44733</v>
      </c>
      <c r="C686" s="6" t="s">
        <v>1414</v>
      </c>
      <c r="D686" s="6" t="s">
        <v>50</v>
      </c>
      <c r="E686" s="6">
        <v>9234</v>
      </c>
      <c r="F686" s="6">
        <v>14.2</v>
      </c>
      <c r="G686" s="6">
        <v>36</v>
      </c>
      <c r="H686" s="6" t="s">
        <v>2045</v>
      </c>
      <c r="I686" s="6" t="s">
        <v>20</v>
      </c>
      <c r="J686" s="6" t="s">
        <v>21</v>
      </c>
      <c r="K686" s="6">
        <v>131132</v>
      </c>
      <c r="L686" s="6" t="s">
        <v>33</v>
      </c>
      <c r="M686" s="6">
        <v>0.33</v>
      </c>
      <c r="N686" s="6">
        <v>0.63</v>
      </c>
      <c r="O686" s="6">
        <v>0</v>
      </c>
      <c r="P686" s="6">
        <v>0</v>
      </c>
      <c r="Q686" s="6">
        <f t="shared" ca="1" si="32"/>
        <v>44</v>
      </c>
      <c r="R686" s="6">
        <f t="shared" si="30"/>
        <v>9234</v>
      </c>
      <c r="S686" s="7" t="str">
        <f t="shared" si="31"/>
        <v>Profit</v>
      </c>
    </row>
    <row r="687" spans="1:19" x14ac:dyDescent="0.3">
      <c r="A687" s="4" t="s">
        <v>1415</v>
      </c>
      <c r="B687" s="5">
        <v>44341</v>
      </c>
      <c r="C687" s="6" t="s">
        <v>1416</v>
      </c>
      <c r="D687" s="6" t="s">
        <v>53</v>
      </c>
      <c r="E687" s="6">
        <v>26519</v>
      </c>
      <c r="F687" s="6">
        <v>19.600000000000001</v>
      </c>
      <c r="G687" s="6">
        <v>36</v>
      </c>
      <c r="H687" s="6" t="s">
        <v>26</v>
      </c>
      <c r="I687" s="6" t="s">
        <v>20</v>
      </c>
      <c r="J687" s="6" t="s">
        <v>32</v>
      </c>
      <c r="K687" s="6">
        <v>125402</v>
      </c>
      <c r="L687" s="6" t="s">
        <v>33</v>
      </c>
      <c r="M687" s="6">
        <v>0.12</v>
      </c>
      <c r="N687" s="6">
        <v>0.7</v>
      </c>
      <c r="O687" s="6">
        <v>11613.67</v>
      </c>
      <c r="P687" s="6">
        <v>0</v>
      </c>
      <c r="Q687" s="6">
        <f t="shared" ca="1" si="32"/>
        <v>57</v>
      </c>
      <c r="R687" s="6">
        <f t="shared" si="30"/>
        <v>14905.33</v>
      </c>
      <c r="S687" s="7" t="str">
        <f t="shared" si="31"/>
        <v>Profit</v>
      </c>
    </row>
    <row r="688" spans="1:19" x14ac:dyDescent="0.3">
      <c r="A688" s="4" t="s">
        <v>1417</v>
      </c>
      <c r="B688" s="5">
        <v>44221</v>
      </c>
      <c r="C688" s="6" t="s">
        <v>1418</v>
      </c>
      <c r="D688" s="6" t="s">
        <v>64</v>
      </c>
      <c r="E688" s="6">
        <v>27966</v>
      </c>
      <c r="F688" s="6">
        <v>8</v>
      </c>
      <c r="G688" s="6">
        <v>60</v>
      </c>
      <c r="H688" s="6" t="s">
        <v>26</v>
      </c>
      <c r="I688" s="6" t="s">
        <v>72</v>
      </c>
      <c r="J688" s="6" t="s">
        <v>47</v>
      </c>
      <c r="K688" s="6">
        <v>60676</v>
      </c>
      <c r="L688" s="6" t="s">
        <v>29</v>
      </c>
      <c r="M688" s="6">
        <v>0.11</v>
      </c>
      <c r="N688" s="6">
        <v>0.56999999999999995</v>
      </c>
      <c r="O688" s="6">
        <v>12642.02</v>
      </c>
      <c r="P688" s="6">
        <v>0</v>
      </c>
      <c r="Q688" s="6">
        <f t="shared" ca="1" si="32"/>
        <v>61</v>
      </c>
      <c r="R688" s="6">
        <f t="shared" si="30"/>
        <v>15323.98</v>
      </c>
      <c r="S688" s="7" t="str">
        <f t="shared" si="31"/>
        <v>Profit</v>
      </c>
    </row>
    <row r="689" spans="1:19" x14ac:dyDescent="0.3">
      <c r="A689" s="4" t="s">
        <v>1419</v>
      </c>
      <c r="B689" s="5">
        <v>44263</v>
      </c>
      <c r="C689" s="6" t="s">
        <v>1420</v>
      </c>
      <c r="D689" s="6" t="s">
        <v>75</v>
      </c>
      <c r="E689" s="6">
        <v>17173</v>
      </c>
      <c r="F689" s="6">
        <v>22.1</v>
      </c>
      <c r="G689" s="6">
        <v>36</v>
      </c>
      <c r="H689" s="6" t="s">
        <v>19</v>
      </c>
      <c r="I689" s="6" t="s">
        <v>72</v>
      </c>
      <c r="J689" s="6" t="s">
        <v>37</v>
      </c>
      <c r="K689" s="6">
        <v>94093</v>
      </c>
      <c r="L689" s="6" t="s">
        <v>33</v>
      </c>
      <c r="M689" s="6">
        <v>0.39</v>
      </c>
      <c r="N689" s="6">
        <v>0.64</v>
      </c>
      <c r="O689" s="6">
        <v>20968.23</v>
      </c>
      <c r="P689" s="6">
        <v>0</v>
      </c>
      <c r="Q689" s="6">
        <f t="shared" ca="1" si="32"/>
        <v>60</v>
      </c>
      <c r="R689" s="6">
        <f t="shared" si="30"/>
        <v>-3795.2299999999996</v>
      </c>
      <c r="S689" s="7" t="str">
        <f t="shared" si="31"/>
        <v>Loss</v>
      </c>
    </row>
    <row r="690" spans="1:19" x14ac:dyDescent="0.3">
      <c r="A690" s="4" t="s">
        <v>1421</v>
      </c>
      <c r="B690" s="5">
        <v>44429</v>
      </c>
      <c r="C690" s="6" t="s">
        <v>1422</v>
      </c>
      <c r="D690" s="6" t="s">
        <v>75</v>
      </c>
      <c r="E690" s="6">
        <v>27987</v>
      </c>
      <c r="F690" s="6">
        <v>19.2</v>
      </c>
      <c r="G690" s="6">
        <v>60</v>
      </c>
      <c r="H690" s="6" t="s">
        <v>19</v>
      </c>
      <c r="I690" s="6" t="s">
        <v>20</v>
      </c>
      <c r="J690" s="6" t="s">
        <v>21</v>
      </c>
      <c r="K690" s="6">
        <v>77764</v>
      </c>
      <c r="L690" s="6" t="s">
        <v>22</v>
      </c>
      <c r="M690" s="6">
        <v>0.24</v>
      </c>
      <c r="N690" s="6">
        <v>0.78</v>
      </c>
      <c r="O690" s="6">
        <v>33360.5</v>
      </c>
      <c r="P690" s="6">
        <v>0</v>
      </c>
      <c r="Q690" s="6">
        <f t="shared" ca="1" si="32"/>
        <v>54</v>
      </c>
      <c r="R690" s="6">
        <f t="shared" si="30"/>
        <v>-5373.5</v>
      </c>
      <c r="S690" s="7" t="str">
        <f t="shared" si="31"/>
        <v>Loss</v>
      </c>
    </row>
    <row r="691" spans="1:19" x14ac:dyDescent="0.3">
      <c r="A691" s="4" t="s">
        <v>1423</v>
      </c>
      <c r="B691" s="5">
        <v>44305</v>
      </c>
      <c r="C691" s="6" t="s">
        <v>1424</v>
      </c>
      <c r="D691" s="6" t="s">
        <v>53</v>
      </c>
      <c r="E691" s="6">
        <v>14178</v>
      </c>
      <c r="F691" s="6">
        <v>23.1</v>
      </c>
      <c r="G691" s="6">
        <v>60</v>
      </c>
      <c r="H691" s="6" t="s">
        <v>26</v>
      </c>
      <c r="I691" s="6" t="s">
        <v>20</v>
      </c>
      <c r="J691" s="6" t="s">
        <v>32</v>
      </c>
      <c r="K691" s="6">
        <v>80799</v>
      </c>
      <c r="L691" s="6" t="s">
        <v>33</v>
      </c>
      <c r="M691" s="6">
        <v>0.15</v>
      </c>
      <c r="N691" s="6">
        <v>0.64</v>
      </c>
      <c r="O691" s="6">
        <v>1947.61</v>
      </c>
      <c r="P691" s="6">
        <v>0</v>
      </c>
      <c r="Q691" s="6">
        <f t="shared" ca="1" si="32"/>
        <v>59</v>
      </c>
      <c r="R691" s="6">
        <f t="shared" si="30"/>
        <v>12230.39</v>
      </c>
      <c r="S691" s="7" t="str">
        <f t="shared" si="31"/>
        <v>Profit</v>
      </c>
    </row>
    <row r="692" spans="1:19" x14ac:dyDescent="0.3">
      <c r="A692" s="4" t="s">
        <v>1425</v>
      </c>
      <c r="B692" s="5">
        <v>44307</v>
      </c>
      <c r="C692" s="6" t="s">
        <v>1426</v>
      </c>
      <c r="D692" s="6" t="s">
        <v>64</v>
      </c>
      <c r="E692" s="6">
        <v>25596</v>
      </c>
      <c r="F692" s="6">
        <v>7.6</v>
      </c>
      <c r="G692" s="6">
        <v>36</v>
      </c>
      <c r="H692" s="6" t="s">
        <v>19</v>
      </c>
      <c r="I692" s="6" t="s">
        <v>72</v>
      </c>
      <c r="J692" s="6" t="s">
        <v>37</v>
      </c>
      <c r="K692" s="6">
        <v>109414</v>
      </c>
      <c r="L692" s="6" t="s">
        <v>22</v>
      </c>
      <c r="M692" s="6">
        <v>0.2</v>
      </c>
      <c r="N692" s="6">
        <v>0.9</v>
      </c>
      <c r="O692" s="6">
        <v>27541.3</v>
      </c>
      <c r="P692" s="6">
        <v>0</v>
      </c>
      <c r="Q692" s="6">
        <f t="shared" ca="1" si="32"/>
        <v>58</v>
      </c>
      <c r="R692" s="6">
        <f t="shared" si="30"/>
        <v>-1945.2999999999993</v>
      </c>
      <c r="S692" s="7" t="str">
        <f t="shared" si="31"/>
        <v>Loss</v>
      </c>
    </row>
    <row r="693" spans="1:19" x14ac:dyDescent="0.3">
      <c r="A693" s="4" t="s">
        <v>1427</v>
      </c>
      <c r="B693" s="5">
        <v>44424</v>
      </c>
      <c r="C693" s="6" t="s">
        <v>1428</v>
      </c>
      <c r="D693" s="6" t="s">
        <v>71</v>
      </c>
      <c r="E693" s="6">
        <v>34174</v>
      </c>
      <c r="F693" s="6">
        <v>16.899999999999999</v>
      </c>
      <c r="G693" s="6">
        <v>36</v>
      </c>
      <c r="H693" s="6" t="s">
        <v>19</v>
      </c>
      <c r="I693" s="6" t="s">
        <v>27</v>
      </c>
      <c r="J693" s="6" t="s">
        <v>28</v>
      </c>
      <c r="K693" s="6">
        <v>135296</v>
      </c>
      <c r="L693" s="6" t="s">
        <v>22</v>
      </c>
      <c r="M693" s="6">
        <v>0.36</v>
      </c>
      <c r="N693" s="6">
        <v>0.78</v>
      </c>
      <c r="O693" s="6">
        <v>39949.410000000003</v>
      </c>
      <c r="P693" s="6">
        <v>0</v>
      </c>
      <c r="Q693" s="6">
        <f t="shared" ca="1" si="32"/>
        <v>55</v>
      </c>
      <c r="R693" s="6">
        <f t="shared" si="30"/>
        <v>-5775.4100000000035</v>
      </c>
      <c r="S693" s="7" t="str">
        <f t="shared" si="31"/>
        <v>Loss</v>
      </c>
    </row>
    <row r="694" spans="1:19" x14ac:dyDescent="0.3">
      <c r="A694" s="4" t="s">
        <v>1429</v>
      </c>
      <c r="B694" s="5">
        <v>44307</v>
      </c>
      <c r="C694" s="6" t="s">
        <v>1430</v>
      </c>
      <c r="D694" s="6" t="s">
        <v>46</v>
      </c>
      <c r="E694" s="6">
        <v>5431</v>
      </c>
      <c r="F694" s="6">
        <v>17</v>
      </c>
      <c r="G694" s="6">
        <v>60</v>
      </c>
      <c r="H694" s="6" t="s">
        <v>26</v>
      </c>
      <c r="I694" s="6" t="s">
        <v>41</v>
      </c>
      <c r="J694" s="6" t="s">
        <v>32</v>
      </c>
      <c r="K694" s="6">
        <v>123095</v>
      </c>
      <c r="L694" s="6" t="s">
        <v>33</v>
      </c>
      <c r="M694" s="6">
        <v>0.21</v>
      </c>
      <c r="N694" s="6">
        <v>0.7</v>
      </c>
      <c r="O694" s="6">
        <v>590.38</v>
      </c>
      <c r="P694" s="6">
        <v>0</v>
      </c>
      <c r="Q694" s="6">
        <f t="shared" ca="1" si="32"/>
        <v>58</v>
      </c>
      <c r="R694" s="6">
        <f t="shared" si="30"/>
        <v>4840.62</v>
      </c>
      <c r="S694" s="7" t="str">
        <f t="shared" si="31"/>
        <v>Profit</v>
      </c>
    </row>
    <row r="695" spans="1:19" x14ac:dyDescent="0.3">
      <c r="A695" s="4" t="s">
        <v>1431</v>
      </c>
      <c r="B695" s="5">
        <v>44230</v>
      </c>
      <c r="C695" s="6" t="s">
        <v>1432</v>
      </c>
      <c r="D695" s="6" t="s">
        <v>56</v>
      </c>
      <c r="E695" s="6">
        <v>28764</v>
      </c>
      <c r="F695" s="6">
        <v>12.1</v>
      </c>
      <c r="G695" s="6">
        <v>60</v>
      </c>
      <c r="H695" s="6" t="s">
        <v>19</v>
      </c>
      <c r="I695" s="6" t="s">
        <v>27</v>
      </c>
      <c r="J695" s="6" t="s">
        <v>37</v>
      </c>
      <c r="K695" s="6">
        <v>142082</v>
      </c>
      <c r="L695" s="6" t="s">
        <v>22</v>
      </c>
      <c r="M695" s="6">
        <v>0.3</v>
      </c>
      <c r="N695" s="6">
        <v>0.52</v>
      </c>
      <c r="O695" s="6">
        <v>32244.44</v>
      </c>
      <c r="P695" s="6">
        <v>0</v>
      </c>
      <c r="Q695" s="6">
        <f t="shared" ca="1" si="32"/>
        <v>61</v>
      </c>
      <c r="R695" s="6">
        <f t="shared" si="30"/>
        <v>-3480.4399999999987</v>
      </c>
      <c r="S695" s="7" t="str">
        <f t="shared" si="31"/>
        <v>Loss</v>
      </c>
    </row>
    <row r="696" spans="1:19" x14ac:dyDescent="0.3">
      <c r="A696" s="4" t="s">
        <v>1433</v>
      </c>
      <c r="B696" s="5">
        <v>44819</v>
      </c>
      <c r="C696" s="6" t="s">
        <v>1434</v>
      </c>
      <c r="D696" s="6" t="s">
        <v>50</v>
      </c>
      <c r="E696" s="6">
        <v>22627</v>
      </c>
      <c r="F696" s="6">
        <v>14.2</v>
      </c>
      <c r="G696" s="6">
        <v>60</v>
      </c>
      <c r="H696" s="6" t="s">
        <v>19</v>
      </c>
      <c r="I696" s="6" t="s">
        <v>83</v>
      </c>
      <c r="J696" s="6" t="s">
        <v>32</v>
      </c>
      <c r="K696" s="6">
        <v>102307</v>
      </c>
      <c r="L696" s="6" t="s">
        <v>22</v>
      </c>
      <c r="M696" s="6">
        <v>0.15</v>
      </c>
      <c r="N696" s="6">
        <v>0.72</v>
      </c>
      <c r="O696" s="6">
        <v>25840.03</v>
      </c>
      <c r="P696" s="6">
        <v>0</v>
      </c>
      <c r="Q696" s="6">
        <f t="shared" ca="1" si="32"/>
        <v>42</v>
      </c>
      <c r="R696" s="6">
        <f t="shared" si="30"/>
        <v>-3213.0299999999988</v>
      </c>
      <c r="S696" s="7" t="str">
        <f t="shared" si="31"/>
        <v>Loss</v>
      </c>
    </row>
    <row r="697" spans="1:19" x14ac:dyDescent="0.3">
      <c r="A697" s="4" t="s">
        <v>1435</v>
      </c>
      <c r="B697" s="5">
        <v>44944</v>
      </c>
      <c r="C697" s="6" t="s">
        <v>1436</v>
      </c>
      <c r="D697" s="6" t="s">
        <v>18</v>
      </c>
      <c r="E697" s="6">
        <v>9906</v>
      </c>
      <c r="F697" s="6">
        <v>5.8</v>
      </c>
      <c r="G697" s="6">
        <v>60</v>
      </c>
      <c r="H697" s="6" t="s">
        <v>19</v>
      </c>
      <c r="I697" s="6" t="s">
        <v>72</v>
      </c>
      <c r="J697" s="6" t="s">
        <v>47</v>
      </c>
      <c r="K697" s="6">
        <v>112062</v>
      </c>
      <c r="L697" s="6" t="s">
        <v>22</v>
      </c>
      <c r="M697" s="6">
        <v>0.34</v>
      </c>
      <c r="N697" s="6">
        <v>0.84</v>
      </c>
      <c r="O697" s="6">
        <v>10480.549999999999</v>
      </c>
      <c r="P697" s="6">
        <v>0</v>
      </c>
      <c r="Q697" s="6">
        <f t="shared" ca="1" si="32"/>
        <v>38</v>
      </c>
      <c r="R697" s="6">
        <f t="shared" si="30"/>
        <v>-574.54999999999927</v>
      </c>
      <c r="S697" s="7" t="str">
        <f t="shared" si="31"/>
        <v>Loss</v>
      </c>
    </row>
    <row r="698" spans="1:19" x14ac:dyDescent="0.3">
      <c r="A698" s="4" t="s">
        <v>1437</v>
      </c>
      <c r="B698" s="5">
        <v>44791</v>
      </c>
      <c r="C698" s="6" t="s">
        <v>1438</v>
      </c>
      <c r="D698" s="6" t="s">
        <v>53</v>
      </c>
      <c r="E698" s="6">
        <v>37914</v>
      </c>
      <c r="F698" s="6">
        <v>19.899999999999999</v>
      </c>
      <c r="G698" s="6">
        <v>36</v>
      </c>
      <c r="H698" s="6" t="s">
        <v>19</v>
      </c>
      <c r="I698" s="6" t="s">
        <v>41</v>
      </c>
      <c r="J698" s="6" t="s">
        <v>47</v>
      </c>
      <c r="K698" s="6">
        <v>125432</v>
      </c>
      <c r="L698" s="6" t="s">
        <v>22</v>
      </c>
      <c r="M698" s="6">
        <v>0.23</v>
      </c>
      <c r="N698" s="6">
        <v>0.62</v>
      </c>
      <c r="O698" s="6">
        <v>45458.89</v>
      </c>
      <c r="P698" s="6">
        <v>0</v>
      </c>
      <c r="Q698" s="6">
        <f t="shared" ca="1" si="32"/>
        <v>43</v>
      </c>
      <c r="R698" s="6">
        <f t="shared" si="30"/>
        <v>-7544.8899999999994</v>
      </c>
      <c r="S698" s="7" t="str">
        <f t="shared" si="31"/>
        <v>Loss</v>
      </c>
    </row>
    <row r="699" spans="1:19" x14ac:dyDescent="0.3">
      <c r="A699" s="4" t="s">
        <v>1439</v>
      </c>
      <c r="B699" s="5">
        <v>44621</v>
      </c>
      <c r="C699" s="6" t="s">
        <v>1440</v>
      </c>
      <c r="D699" s="6" t="s">
        <v>50</v>
      </c>
      <c r="E699" s="6">
        <v>14076</v>
      </c>
      <c r="F699" s="6">
        <v>16</v>
      </c>
      <c r="G699" s="6">
        <v>60</v>
      </c>
      <c r="H699" s="6" t="s">
        <v>26</v>
      </c>
      <c r="I699" s="6" t="s">
        <v>27</v>
      </c>
      <c r="J699" s="6" t="s">
        <v>47</v>
      </c>
      <c r="K699" s="6">
        <v>61923</v>
      </c>
      <c r="L699" s="6" t="s">
        <v>29</v>
      </c>
      <c r="M699" s="6">
        <v>0.35</v>
      </c>
      <c r="N699" s="6">
        <v>0.86</v>
      </c>
      <c r="O699" s="6">
        <v>6883.48</v>
      </c>
      <c r="P699" s="6">
        <v>0</v>
      </c>
      <c r="Q699" s="6">
        <f t="shared" ca="1" si="32"/>
        <v>48</v>
      </c>
      <c r="R699" s="6">
        <f t="shared" si="30"/>
        <v>7192.52</v>
      </c>
      <c r="S699" s="7" t="str">
        <f t="shared" si="31"/>
        <v>Profit</v>
      </c>
    </row>
    <row r="700" spans="1:19" x14ac:dyDescent="0.3">
      <c r="A700" s="4" t="s">
        <v>1441</v>
      </c>
      <c r="B700" s="5">
        <v>44809</v>
      </c>
      <c r="C700" s="6" t="s">
        <v>1442</v>
      </c>
      <c r="D700" s="6" t="s">
        <v>18</v>
      </c>
      <c r="E700" s="6">
        <v>38650</v>
      </c>
      <c r="F700" s="6">
        <v>6.2</v>
      </c>
      <c r="G700" s="6">
        <v>60</v>
      </c>
      <c r="H700" s="6" t="s">
        <v>19</v>
      </c>
      <c r="I700" s="6" t="s">
        <v>83</v>
      </c>
      <c r="J700" s="6" t="s">
        <v>28</v>
      </c>
      <c r="K700" s="6">
        <v>147449</v>
      </c>
      <c r="L700" s="6" t="s">
        <v>33</v>
      </c>
      <c r="M700" s="6">
        <v>0.42</v>
      </c>
      <c r="N700" s="6">
        <v>0.61</v>
      </c>
      <c r="O700" s="6">
        <v>41046.300000000003</v>
      </c>
      <c r="P700" s="6">
        <v>0</v>
      </c>
      <c r="Q700" s="6">
        <f t="shared" ca="1" si="32"/>
        <v>42</v>
      </c>
      <c r="R700" s="6">
        <f t="shared" si="30"/>
        <v>-2396.3000000000029</v>
      </c>
      <c r="S700" s="7" t="str">
        <f t="shared" si="31"/>
        <v>Loss</v>
      </c>
    </row>
    <row r="701" spans="1:19" x14ac:dyDescent="0.3">
      <c r="A701" s="4" t="s">
        <v>1443</v>
      </c>
      <c r="B701" s="5">
        <v>44888</v>
      </c>
      <c r="C701" s="6" t="s">
        <v>1444</v>
      </c>
      <c r="D701" s="6" t="s">
        <v>56</v>
      </c>
      <c r="E701" s="6">
        <v>7012</v>
      </c>
      <c r="F701" s="6">
        <v>18.600000000000001</v>
      </c>
      <c r="G701" s="6">
        <v>60</v>
      </c>
      <c r="H701" s="6" t="s">
        <v>19</v>
      </c>
      <c r="I701" s="6" t="s">
        <v>36</v>
      </c>
      <c r="J701" s="6" t="s">
        <v>47</v>
      </c>
      <c r="K701" s="6">
        <v>131739</v>
      </c>
      <c r="L701" s="6" t="s">
        <v>29</v>
      </c>
      <c r="M701" s="6">
        <v>0.34</v>
      </c>
      <c r="N701" s="6">
        <v>0.87</v>
      </c>
      <c r="O701" s="6">
        <v>8316.23</v>
      </c>
      <c r="P701" s="6">
        <v>0</v>
      </c>
      <c r="Q701" s="6">
        <f t="shared" ca="1" si="32"/>
        <v>39</v>
      </c>
      <c r="R701" s="6">
        <f t="shared" si="30"/>
        <v>-1304.2299999999996</v>
      </c>
      <c r="S701" s="7" t="str">
        <f t="shared" si="31"/>
        <v>Loss</v>
      </c>
    </row>
    <row r="702" spans="1:19" x14ac:dyDescent="0.3">
      <c r="A702" s="4" t="s">
        <v>1445</v>
      </c>
      <c r="B702" s="5">
        <v>44511</v>
      </c>
      <c r="C702" s="6" t="s">
        <v>1446</v>
      </c>
      <c r="D702" s="6" t="s">
        <v>56</v>
      </c>
      <c r="E702" s="6">
        <v>8151</v>
      </c>
      <c r="F702" s="6">
        <v>14.3</v>
      </c>
      <c r="G702" s="6">
        <v>36</v>
      </c>
      <c r="H702" s="6" t="s">
        <v>26</v>
      </c>
      <c r="I702" s="6" t="s">
        <v>36</v>
      </c>
      <c r="J702" s="6" t="s">
        <v>28</v>
      </c>
      <c r="K702" s="6">
        <v>134926</v>
      </c>
      <c r="L702" s="6" t="s">
        <v>22</v>
      </c>
      <c r="M702" s="6">
        <v>0.22</v>
      </c>
      <c r="N702" s="6">
        <v>0.54</v>
      </c>
      <c r="O702" s="6">
        <v>3592.52</v>
      </c>
      <c r="P702" s="6">
        <v>0</v>
      </c>
      <c r="Q702" s="6">
        <f t="shared" ca="1" si="32"/>
        <v>52</v>
      </c>
      <c r="R702" s="6">
        <f t="shared" si="30"/>
        <v>4558.4799999999996</v>
      </c>
      <c r="S702" s="7" t="str">
        <f t="shared" si="31"/>
        <v>Profit</v>
      </c>
    </row>
    <row r="703" spans="1:19" x14ac:dyDescent="0.3">
      <c r="A703" s="4" t="s">
        <v>1447</v>
      </c>
      <c r="B703" s="5">
        <v>45073</v>
      </c>
      <c r="C703" s="6" t="s">
        <v>1448</v>
      </c>
      <c r="D703" s="6" t="s">
        <v>46</v>
      </c>
      <c r="E703" s="6">
        <v>29211</v>
      </c>
      <c r="F703" s="6">
        <v>5.7</v>
      </c>
      <c r="G703" s="6">
        <v>36</v>
      </c>
      <c r="H703" s="6" t="s">
        <v>2045</v>
      </c>
      <c r="I703" s="6" t="s">
        <v>57</v>
      </c>
      <c r="J703" s="6" t="s">
        <v>47</v>
      </c>
      <c r="K703" s="6">
        <v>108388</v>
      </c>
      <c r="L703" s="6" t="s">
        <v>33</v>
      </c>
      <c r="M703" s="6">
        <v>0.2</v>
      </c>
      <c r="N703" s="6">
        <v>0.89</v>
      </c>
      <c r="O703" s="6">
        <v>0</v>
      </c>
      <c r="P703" s="6">
        <v>0</v>
      </c>
      <c r="Q703" s="6">
        <f t="shared" ca="1" si="32"/>
        <v>33</v>
      </c>
      <c r="R703" s="6">
        <f t="shared" si="30"/>
        <v>29211</v>
      </c>
      <c r="S703" s="7" t="str">
        <f t="shared" si="31"/>
        <v>Profit</v>
      </c>
    </row>
    <row r="704" spans="1:19" x14ac:dyDescent="0.3">
      <c r="A704" s="4" t="s">
        <v>1449</v>
      </c>
      <c r="B704" s="5">
        <v>44858</v>
      </c>
      <c r="C704" s="6" t="s">
        <v>1450</v>
      </c>
      <c r="D704" s="6" t="s">
        <v>25</v>
      </c>
      <c r="E704" s="6">
        <v>28117</v>
      </c>
      <c r="F704" s="6">
        <v>24.4</v>
      </c>
      <c r="G704" s="6">
        <v>60</v>
      </c>
      <c r="H704" s="6" t="s">
        <v>26</v>
      </c>
      <c r="I704" s="6" t="s">
        <v>20</v>
      </c>
      <c r="J704" s="6" t="s">
        <v>32</v>
      </c>
      <c r="K704" s="6">
        <v>77574</v>
      </c>
      <c r="L704" s="6" t="s">
        <v>22</v>
      </c>
      <c r="M704" s="6">
        <v>0.23</v>
      </c>
      <c r="N704" s="6">
        <v>0.72</v>
      </c>
      <c r="O704" s="6">
        <v>12707.65</v>
      </c>
      <c r="P704" s="6">
        <v>0</v>
      </c>
      <c r="Q704" s="6">
        <f t="shared" ca="1" si="32"/>
        <v>40</v>
      </c>
      <c r="R704" s="6">
        <f t="shared" si="30"/>
        <v>15409.35</v>
      </c>
      <c r="S704" s="7" t="str">
        <f t="shared" si="31"/>
        <v>Profit</v>
      </c>
    </row>
    <row r="705" spans="1:19" x14ac:dyDescent="0.3">
      <c r="A705" s="4" t="s">
        <v>1451</v>
      </c>
      <c r="B705" s="5">
        <v>44473</v>
      </c>
      <c r="C705" s="6" t="s">
        <v>1452</v>
      </c>
      <c r="D705" s="6" t="s">
        <v>56</v>
      </c>
      <c r="E705" s="6">
        <v>37378</v>
      </c>
      <c r="F705" s="6">
        <v>24</v>
      </c>
      <c r="G705" s="6">
        <v>36</v>
      </c>
      <c r="H705" s="6" t="s">
        <v>19</v>
      </c>
      <c r="I705" s="6" t="s">
        <v>20</v>
      </c>
      <c r="J705" s="6" t="s">
        <v>37</v>
      </c>
      <c r="K705" s="6">
        <v>73391</v>
      </c>
      <c r="L705" s="6" t="s">
        <v>33</v>
      </c>
      <c r="M705" s="6">
        <v>0.17</v>
      </c>
      <c r="N705" s="6">
        <v>0.63</v>
      </c>
      <c r="O705" s="6">
        <v>46348.72</v>
      </c>
      <c r="P705" s="6">
        <v>0</v>
      </c>
      <c r="Q705" s="6">
        <f t="shared" ca="1" si="32"/>
        <v>53</v>
      </c>
      <c r="R705" s="6">
        <f t="shared" si="30"/>
        <v>-8970.7200000000012</v>
      </c>
      <c r="S705" s="7" t="str">
        <f t="shared" si="31"/>
        <v>Loss</v>
      </c>
    </row>
    <row r="706" spans="1:19" x14ac:dyDescent="0.3">
      <c r="A706" s="4" t="s">
        <v>1453</v>
      </c>
      <c r="B706" s="5">
        <v>44820</v>
      </c>
      <c r="C706" s="6" t="s">
        <v>1454</v>
      </c>
      <c r="D706" s="6" t="s">
        <v>50</v>
      </c>
      <c r="E706" s="6">
        <v>7894</v>
      </c>
      <c r="F706" s="6">
        <v>15.3</v>
      </c>
      <c r="G706" s="6">
        <v>36</v>
      </c>
      <c r="H706" s="6" t="s">
        <v>19</v>
      </c>
      <c r="I706" s="6" t="s">
        <v>20</v>
      </c>
      <c r="J706" s="6" t="s">
        <v>37</v>
      </c>
      <c r="K706" s="6">
        <v>83664</v>
      </c>
      <c r="L706" s="6" t="s">
        <v>29</v>
      </c>
      <c r="M706" s="6">
        <v>0.17</v>
      </c>
      <c r="N706" s="6">
        <v>0.62</v>
      </c>
      <c r="O706" s="6">
        <v>9101.7800000000007</v>
      </c>
      <c r="P706" s="6">
        <v>0</v>
      </c>
      <c r="Q706" s="6">
        <f t="shared" ca="1" si="32"/>
        <v>42</v>
      </c>
      <c r="R706" s="6">
        <f t="shared" ref="R706:R769" si="33">E706-O706</f>
        <v>-1207.7800000000007</v>
      </c>
      <c r="S706" s="7" t="str">
        <f t="shared" ref="S706:S769" si="34">IF(R706&gt;=0, "Profit","Loss")</f>
        <v>Loss</v>
      </c>
    </row>
    <row r="707" spans="1:19" x14ac:dyDescent="0.3">
      <c r="A707" s="4" t="s">
        <v>1455</v>
      </c>
      <c r="B707" s="5">
        <v>44712</v>
      </c>
      <c r="C707" s="6" t="s">
        <v>1456</v>
      </c>
      <c r="D707" s="6" t="s">
        <v>40</v>
      </c>
      <c r="E707" s="6">
        <v>14467</v>
      </c>
      <c r="F707" s="6">
        <v>6.9</v>
      </c>
      <c r="G707" s="6">
        <v>36</v>
      </c>
      <c r="H707" s="6" t="s">
        <v>80</v>
      </c>
      <c r="I707" s="6" t="s">
        <v>20</v>
      </c>
      <c r="J707" s="6" t="s">
        <v>47</v>
      </c>
      <c r="K707" s="6">
        <v>97384</v>
      </c>
      <c r="L707" s="6" t="s">
        <v>33</v>
      </c>
      <c r="M707" s="6">
        <v>0.42</v>
      </c>
      <c r="N707" s="6">
        <v>0.69</v>
      </c>
      <c r="O707" s="6">
        <v>5293.66</v>
      </c>
      <c r="P707" s="6">
        <v>1335.02</v>
      </c>
      <c r="Q707" s="6">
        <f t="shared" ref="Q707:Q770" ca="1" si="35">DATEDIF(B707,TODAY(),"M")</f>
        <v>45</v>
      </c>
      <c r="R707" s="6">
        <f t="shared" si="33"/>
        <v>9173.34</v>
      </c>
      <c r="S707" s="7" t="str">
        <f t="shared" si="34"/>
        <v>Profit</v>
      </c>
    </row>
    <row r="708" spans="1:19" x14ac:dyDescent="0.3">
      <c r="A708" s="4" t="s">
        <v>1457</v>
      </c>
      <c r="B708" s="5">
        <v>45039</v>
      </c>
      <c r="C708" s="6" t="s">
        <v>1458</v>
      </c>
      <c r="D708" s="6" t="s">
        <v>40</v>
      </c>
      <c r="E708" s="6">
        <v>32010</v>
      </c>
      <c r="F708" s="6">
        <v>20.100000000000001</v>
      </c>
      <c r="G708" s="6">
        <v>60</v>
      </c>
      <c r="H708" s="6" t="s">
        <v>19</v>
      </c>
      <c r="I708" s="6" t="s">
        <v>20</v>
      </c>
      <c r="J708" s="6" t="s">
        <v>37</v>
      </c>
      <c r="K708" s="6">
        <v>61027</v>
      </c>
      <c r="L708" s="6" t="s">
        <v>22</v>
      </c>
      <c r="M708" s="6">
        <v>0.25</v>
      </c>
      <c r="N708" s="6">
        <v>0.95</v>
      </c>
      <c r="O708" s="6">
        <v>38444.01</v>
      </c>
      <c r="P708" s="6">
        <v>0</v>
      </c>
      <c r="Q708" s="6">
        <f t="shared" ca="1" si="35"/>
        <v>34</v>
      </c>
      <c r="R708" s="6">
        <f t="shared" si="33"/>
        <v>-6434.010000000002</v>
      </c>
      <c r="S708" s="7" t="str">
        <f t="shared" si="34"/>
        <v>Loss</v>
      </c>
    </row>
    <row r="709" spans="1:19" x14ac:dyDescent="0.3">
      <c r="A709" s="4" t="s">
        <v>1459</v>
      </c>
      <c r="B709" s="5">
        <v>44546</v>
      </c>
      <c r="C709" s="6" t="s">
        <v>1460</v>
      </c>
      <c r="D709" s="6" t="s">
        <v>18</v>
      </c>
      <c r="E709" s="6">
        <v>13289</v>
      </c>
      <c r="F709" s="6">
        <v>14.8</v>
      </c>
      <c r="G709" s="6">
        <v>60</v>
      </c>
      <c r="H709" s="6" t="s">
        <v>26</v>
      </c>
      <c r="I709" s="6" t="s">
        <v>57</v>
      </c>
      <c r="J709" s="6" t="s">
        <v>47</v>
      </c>
      <c r="K709" s="6">
        <v>65464</v>
      </c>
      <c r="L709" s="6" t="s">
        <v>33</v>
      </c>
      <c r="M709" s="6">
        <v>0.27</v>
      </c>
      <c r="N709" s="6">
        <v>0.6</v>
      </c>
      <c r="O709" s="6">
        <v>3903.76</v>
      </c>
      <c r="P709" s="6">
        <v>0</v>
      </c>
      <c r="Q709" s="6">
        <f t="shared" ca="1" si="35"/>
        <v>51</v>
      </c>
      <c r="R709" s="6">
        <f t="shared" si="33"/>
        <v>9385.24</v>
      </c>
      <c r="S709" s="7" t="str">
        <f t="shared" si="34"/>
        <v>Profit</v>
      </c>
    </row>
    <row r="710" spans="1:19" x14ac:dyDescent="0.3">
      <c r="A710" s="4" t="s">
        <v>1461</v>
      </c>
      <c r="B710" s="5">
        <v>45019</v>
      </c>
      <c r="C710" s="6" t="s">
        <v>1462</v>
      </c>
      <c r="D710" s="6" t="s">
        <v>18</v>
      </c>
      <c r="E710" s="6">
        <v>24171</v>
      </c>
      <c r="F710" s="6">
        <v>11</v>
      </c>
      <c r="G710" s="6">
        <v>36</v>
      </c>
      <c r="H710" s="6" t="s">
        <v>19</v>
      </c>
      <c r="I710" s="6" t="s">
        <v>72</v>
      </c>
      <c r="J710" s="6" t="s">
        <v>47</v>
      </c>
      <c r="K710" s="6">
        <v>64485</v>
      </c>
      <c r="L710" s="6" t="s">
        <v>33</v>
      </c>
      <c r="M710" s="6">
        <v>0.34</v>
      </c>
      <c r="N710" s="6">
        <v>0.55000000000000004</v>
      </c>
      <c r="O710" s="6">
        <v>26829.81</v>
      </c>
      <c r="P710" s="6">
        <v>0</v>
      </c>
      <c r="Q710" s="6">
        <f t="shared" ca="1" si="35"/>
        <v>35</v>
      </c>
      <c r="R710" s="6">
        <f t="shared" si="33"/>
        <v>-2658.8100000000013</v>
      </c>
      <c r="S710" s="7" t="str">
        <f t="shared" si="34"/>
        <v>Loss</v>
      </c>
    </row>
    <row r="711" spans="1:19" x14ac:dyDescent="0.3">
      <c r="A711" s="4" t="s">
        <v>1463</v>
      </c>
      <c r="B711" s="5">
        <v>44955</v>
      </c>
      <c r="C711" s="6" t="s">
        <v>1464</v>
      </c>
      <c r="D711" s="6" t="s">
        <v>25</v>
      </c>
      <c r="E711" s="6">
        <v>35905</v>
      </c>
      <c r="F711" s="6">
        <v>14.8</v>
      </c>
      <c r="G711" s="6">
        <v>60</v>
      </c>
      <c r="H711" s="6" t="s">
        <v>19</v>
      </c>
      <c r="I711" s="6" t="s">
        <v>27</v>
      </c>
      <c r="J711" s="6" t="s">
        <v>21</v>
      </c>
      <c r="K711" s="6">
        <v>49456</v>
      </c>
      <c r="L711" s="6" t="s">
        <v>29</v>
      </c>
      <c r="M711" s="6">
        <v>0.34</v>
      </c>
      <c r="N711" s="6">
        <v>0.76</v>
      </c>
      <c r="O711" s="6">
        <v>41218.94</v>
      </c>
      <c r="P711" s="6">
        <v>0</v>
      </c>
      <c r="Q711" s="6">
        <f t="shared" ca="1" si="35"/>
        <v>37</v>
      </c>
      <c r="R711" s="6">
        <f t="shared" si="33"/>
        <v>-5313.9400000000023</v>
      </c>
      <c r="S711" s="7" t="str">
        <f t="shared" si="34"/>
        <v>Loss</v>
      </c>
    </row>
    <row r="712" spans="1:19" x14ac:dyDescent="0.3">
      <c r="A712" s="4" t="s">
        <v>1465</v>
      </c>
      <c r="B712" s="5">
        <v>45095</v>
      </c>
      <c r="C712" s="6" t="s">
        <v>1466</v>
      </c>
      <c r="D712" s="6" t="s">
        <v>40</v>
      </c>
      <c r="E712" s="6">
        <v>21829</v>
      </c>
      <c r="F712" s="6">
        <v>15.4</v>
      </c>
      <c r="G712" s="6">
        <v>60</v>
      </c>
      <c r="H712" s="6" t="s">
        <v>26</v>
      </c>
      <c r="I712" s="6" t="s">
        <v>20</v>
      </c>
      <c r="J712" s="6" t="s">
        <v>21</v>
      </c>
      <c r="K712" s="6">
        <v>104795</v>
      </c>
      <c r="L712" s="6" t="s">
        <v>22</v>
      </c>
      <c r="M712" s="6">
        <v>0.13</v>
      </c>
      <c r="N712" s="6">
        <v>0.72</v>
      </c>
      <c r="O712" s="6">
        <v>7441.09</v>
      </c>
      <c r="P712" s="6">
        <v>0</v>
      </c>
      <c r="Q712" s="6">
        <f t="shared" ca="1" si="35"/>
        <v>33</v>
      </c>
      <c r="R712" s="6">
        <f t="shared" si="33"/>
        <v>14387.91</v>
      </c>
      <c r="S712" s="7" t="str">
        <f t="shared" si="34"/>
        <v>Profit</v>
      </c>
    </row>
    <row r="713" spans="1:19" x14ac:dyDescent="0.3">
      <c r="A713" s="4" t="s">
        <v>1467</v>
      </c>
      <c r="B713" s="5">
        <v>44439</v>
      </c>
      <c r="C713" s="6" t="s">
        <v>1468</v>
      </c>
      <c r="D713" s="6" t="s">
        <v>18</v>
      </c>
      <c r="E713" s="6">
        <v>35054</v>
      </c>
      <c r="F713" s="6">
        <v>16.3</v>
      </c>
      <c r="G713" s="6">
        <v>36</v>
      </c>
      <c r="H713" s="6" t="s">
        <v>26</v>
      </c>
      <c r="I713" s="6" t="s">
        <v>27</v>
      </c>
      <c r="J713" s="6" t="s">
        <v>21</v>
      </c>
      <c r="K713" s="6">
        <v>65554</v>
      </c>
      <c r="L713" s="6" t="s">
        <v>33</v>
      </c>
      <c r="M713" s="6">
        <v>0.43</v>
      </c>
      <c r="N713" s="6">
        <v>0.74</v>
      </c>
      <c r="O713" s="6">
        <v>10355.42</v>
      </c>
      <c r="P713" s="6">
        <v>0</v>
      </c>
      <c r="Q713" s="6">
        <f t="shared" ca="1" si="35"/>
        <v>54</v>
      </c>
      <c r="R713" s="6">
        <f t="shared" si="33"/>
        <v>24698.58</v>
      </c>
      <c r="S713" s="7" t="str">
        <f t="shared" si="34"/>
        <v>Profit</v>
      </c>
    </row>
    <row r="714" spans="1:19" x14ac:dyDescent="0.3">
      <c r="A714" s="4" t="s">
        <v>1469</v>
      </c>
      <c r="B714" s="5">
        <v>44739</v>
      </c>
      <c r="C714" s="6" t="s">
        <v>1470</v>
      </c>
      <c r="D714" s="6" t="s">
        <v>56</v>
      </c>
      <c r="E714" s="6">
        <v>30734</v>
      </c>
      <c r="F714" s="6">
        <v>13.8</v>
      </c>
      <c r="G714" s="6">
        <v>36</v>
      </c>
      <c r="H714" s="6" t="s">
        <v>26</v>
      </c>
      <c r="I714" s="6" t="s">
        <v>27</v>
      </c>
      <c r="J714" s="6" t="s">
        <v>28</v>
      </c>
      <c r="K714" s="6">
        <v>76922</v>
      </c>
      <c r="L714" s="6" t="s">
        <v>29</v>
      </c>
      <c r="M714" s="6">
        <v>0.17</v>
      </c>
      <c r="N714" s="6">
        <v>0.8</v>
      </c>
      <c r="O714" s="6">
        <v>2244.9</v>
      </c>
      <c r="P714" s="6">
        <v>0</v>
      </c>
      <c r="Q714" s="6">
        <f t="shared" ca="1" si="35"/>
        <v>44</v>
      </c>
      <c r="R714" s="6">
        <f t="shared" si="33"/>
        <v>28489.1</v>
      </c>
      <c r="S714" s="7" t="str">
        <f t="shared" si="34"/>
        <v>Profit</v>
      </c>
    </row>
    <row r="715" spans="1:19" x14ac:dyDescent="0.3">
      <c r="A715" s="4" t="s">
        <v>1471</v>
      </c>
      <c r="B715" s="5">
        <v>45260</v>
      </c>
      <c r="C715" s="6" t="s">
        <v>1472</v>
      </c>
      <c r="D715" s="6" t="s">
        <v>18</v>
      </c>
      <c r="E715" s="6">
        <v>8052</v>
      </c>
      <c r="F715" s="6">
        <v>17.100000000000001</v>
      </c>
      <c r="G715" s="6">
        <v>60</v>
      </c>
      <c r="H715" s="6" t="s">
        <v>19</v>
      </c>
      <c r="I715" s="6" t="s">
        <v>72</v>
      </c>
      <c r="J715" s="6" t="s">
        <v>21</v>
      </c>
      <c r="K715" s="6">
        <v>43409</v>
      </c>
      <c r="L715" s="6" t="s">
        <v>33</v>
      </c>
      <c r="M715" s="6">
        <v>0.39</v>
      </c>
      <c r="N715" s="6">
        <v>0.62</v>
      </c>
      <c r="O715" s="6">
        <v>9428.89</v>
      </c>
      <c r="P715" s="6">
        <v>0</v>
      </c>
      <c r="Q715" s="6">
        <f t="shared" ca="1" si="35"/>
        <v>27</v>
      </c>
      <c r="R715" s="6">
        <f t="shared" si="33"/>
        <v>-1376.8899999999994</v>
      </c>
      <c r="S715" s="7" t="str">
        <f t="shared" si="34"/>
        <v>Loss</v>
      </c>
    </row>
    <row r="716" spans="1:19" x14ac:dyDescent="0.3">
      <c r="A716" s="4" t="s">
        <v>1473</v>
      </c>
      <c r="B716" s="5">
        <v>44425</v>
      </c>
      <c r="C716" s="6" t="s">
        <v>1474</v>
      </c>
      <c r="D716" s="6" t="s">
        <v>75</v>
      </c>
      <c r="E716" s="6">
        <v>4654</v>
      </c>
      <c r="F716" s="6">
        <v>23.4</v>
      </c>
      <c r="G716" s="6">
        <v>36</v>
      </c>
      <c r="H716" s="6" t="s">
        <v>19</v>
      </c>
      <c r="I716" s="6" t="s">
        <v>36</v>
      </c>
      <c r="J716" s="6" t="s">
        <v>47</v>
      </c>
      <c r="K716" s="6">
        <v>99327</v>
      </c>
      <c r="L716" s="6" t="s">
        <v>22</v>
      </c>
      <c r="M716" s="6">
        <v>0.41</v>
      </c>
      <c r="N716" s="6">
        <v>0.91</v>
      </c>
      <c r="O716" s="6">
        <v>5743.04</v>
      </c>
      <c r="P716" s="6">
        <v>0</v>
      </c>
      <c r="Q716" s="6">
        <f t="shared" ca="1" si="35"/>
        <v>55</v>
      </c>
      <c r="R716" s="6">
        <f t="shared" si="33"/>
        <v>-1089.04</v>
      </c>
      <c r="S716" s="7" t="str">
        <f t="shared" si="34"/>
        <v>Loss</v>
      </c>
    </row>
    <row r="717" spans="1:19" x14ac:dyDescent="0.3">
      <c r="A717" s="4" t="s">
        <v>1475</v>
      </c>
      <c r="B717" s="5">
        <v>44744</v>
      </c>
      <c r="C717" s="6" t="s">
        <v>1476</v>
      </c>
      <c r="D717" s="6" t="s">
        <v>25</v>
      </c>
      <c r="E717" s="6">
        <v>24486</v>
      </c>
      <c r="F717" s="6">
        <v>12.2</v>
      </c>
      <c r="G717" s="6">
        <v>60</v>
      </c>
      <c r="H717" s="6" t="s">
        <v>26</v>
      </c>
      <c r="I717" s="6" t="s">
        <v>20</v>
      </c>
      <c r="J717" s="6" t="s">
        <v>32</v>
      </c>
      <c r="K717" s="6">
        <v>121400</v>
      </c>
      <c r="L717" s="6" t="s">
        <v>33</v>
      </c>
      <c r="M717" s="6">
        <v>0.39</v>
      </c>
      <c r="N717" s="6">
        <v>0.7</v>
      </c>
      <c r="O717" s="6">
        <v>9438.77</v>
      </c>
      <c r="P717" s="6">
        <v>0</v>
      </c>
      <c r="Q717" s="6">
        <f t="shared" ca="1" si="35"/>
        <v>44</v>
      </c>
      <c r="R717" s="6">
        <f t="shared" si="33"/>
        <v>15047.23</v>
      </c>
      <c r="S717" s="7" t="str">
        <f t="shared" si="34"/>
        <v>Profit</v>
      </c>
    </row>
    <row r="718" spans="1:19" x14ac:dyDescent="0.3">
      <c r="A718" s="4" t="s">
        <v>1477</v>
      </c>
      <c r="B718" s="5">
        <v>45116</v>
      </c>
      <c r="C718" s="6" t="s">
        <v>1478</v>
      </c>
      <c r="D718" s="6" t="s">
        <v>53</v>
      </c>
      <c r="E718" s="6">
        <v>19743</v>
      </c>
      <c r="F718" s="6">
        <v>19.5</v>
      </c>
      <c r="G718" s="6">
        <v>60</v>
      </c>
      <c r="H718" s="6" t="s">
        <v>26</v>
      </c>
      <c r="I718" s="6" t="s">
        <v>20</v>
      </c>
      <c r="J718" s="6" t="s">
        <v>21</v>
      </c>
      <c r="K718" s="6">
        <v>66639</v>
      </c>
      <c r="L718" s="6" t="s">
        <v>33</v>
      </c>
      <c r="M718" s="6">
        <v>0.33</v>
      </c>
      <c r="N718" s="6">
        <v>0.56000000000000005</v>
      </c>
      <c r="O718" s="6">
        <v>5476.7</v>
      </c>
      <c r="P718" s="6">
        <v>0</v>
      </c>
      <c r="Q718" s="6">
        <f t="shared" ca="1" si="35"/>
        <v>32</v>
      </c>
      <c r="R718" s="6">
        <f t="shared" si="33"/>
        <v>14266.3</v>
      </c>
      <c r="S718" s="7" t="str">
        <f t="shared" si="34"/>
        <v>Profit</v>
      </c>
    </row>
    <row r="719" spans="1:19" x14ac:dyDescent="0.3">
      <c r="A719" s="4" t="s">
        <v>1479</v>
      </c>
      <c r="B719" s="5">
        <v>44202</v>
      </c>
      <c r="C719" s="6" t="s">
        <v>1480</v>
      </c>
      <c r="D719" s="6" t="s">
        <v>64</v>
      </c>
      <c r="E719" s="6">
        <v>25489</v>
      </c>
      <c r="F719" s="6">
        <v>22.9</v>
      </c>
      <c r="G719" s="6">
        <v>36</v>
      </c>
      <c r="H719" s="6" t="s">
        <v>19</v>
      </c>
      <c r="I719" s="6" t="s">
        <v>57</v>
      </c>
      <c r="J719" s="6" t="s">
        <v>21</v>
      </c>
      <c r="K719" s="6">
        <v>130110</v>
      </c>
      <c r="L719" s="6" t="s">
        <v>33</v>
      </c>
      <c r="M719" s="6">
        <v>0.11</v>
      </c>
      <c r="N719" s="6">
        <v>0.83</v>
      </c>
      <c r="O719" s="6">
        <v>31325.98</v>
      </c>
      <c r="P719" s="6">
        <v>0</v>
      </c>
      <c r="Q719" s="6">
        <f t="shared" ca="1" si="35"/>
        <v>62</v>
      </c>
      <c r="R719" s="6">
        <f t="shared" si="33"/>
        <v>-5836.98</v>
      </c>
      <c r="S719" s="7" t="str">
        <f t="shared" si="34"/>
        <v>Loss</v>
      </c>
    </row>
    <row r="720" spans="1:19" x14ac:dyDescent="0.3">
      <c r="A720" s="4" t="s">
        <v>1481</v>
      </c>
      <c r="B720" s="5">
        <v>44664</v>
      </c>
      <c r="C720" s="6" t="s">
        <v>1482</v>
      </c>
      <c r="D720" s="6" t="s">
        <v>71</v>
      </c>
      <c r="E720" s="6">
        <v>9636</v>
      </c>
      <c r="F720" s="6">
        <v>14.1</v>
      </c>
      <c r="G720" s="6">
        <v>60</v>
      </c>
      <c r="H720" s="6" t="s">
        <v>19</v>
      </c>
      <c r="I720" s="6" t="s">
        <v>20</v>
      </c>
      <c r="J720" s="6" t="s">
        <v>32</v>
      </c>
      <c r="K720" s="6">
        <v>93627</v>
      </c>
      <c r="L720" s="6" t="s">
        <v>33</v>
      </c>
      <c r="M720" s="6">
        <v>0.24</v>
      </c>
      <c r="N720" s="6">
        <v>0.79</v>
      </c>
      <c r="O720" s="6">
        <v>10994.68</v>
      </c>
      <c r="P720" s="6">
        <v>0</v>
      </c>
      <c r="Q720" s="6">
        <f t="shared" ca="1" si="35"/>
        <v>47</v>
      </c>
      <c r="R720" s="6">
        <f t="shared" si="33"/>
        <v>-1358.6800000000003</v>
      </c>
      <c r="S720" s="7" t="str">
        <f t="shared" si="34"/>
        <v>Loss</v>
      </c>
    </row>
    <row r="721" spans="1:19" x14ac:dyDescent="0.3">
      <c r="A721" s="4" t="s">
        <v>1483</v>
      </c>
      <c r="B721" s="5">
        <v>44271</v>
      </c>
      <c r="C721" s="6" t="s">
        <v>1484</v>
      </c>
      <c r="D721" s="6" t="s">
        <v>64</v>
      </c>
      <c r="E721" s="6">
        <v>7441</v>
      </c>
      <c r="F721" s="6">
        <v>13.9</v>
      </c>
      <c r="G721" s="6">
        <v>60</v>
      </c>
      <c r="H721" s="6" t="s">
        <v>19</v>
      </c>
      <c r="I721" s="6" t="s">
        <v>72</v>
      </c>
      <c r="J721" s="6" t="s">
        <v>47</v>
      </c>
      <c r="K721" s="6">
        <v>113424</v>
      </c>
      <c r="L721" s="6" t="s">
        <v>22</v>
      </c>
      <c r="M721" s="6">
        <v>0.34</v>
      </c>
      <c r="N721" s="6">
        <v>0.64</v>
      </c>
      <c r="O721" s="6">
        <v>8475.2999999999993</v>
      </c>
      <c r="P721" s="6">
        <v>0</v>
      </c>
      <c r="Q721" s="6">
        <f t="shared" ca="1" si="35"/>
        <v>60</v>
      </c>
      <c r="R721" s="6">
        <f t="shared" si="33"/>
        <v>-1034.2999999999993</v>
      </c>
      <c r="S721" s="7" t="str">
        <f t="shared" si="34"/>
        <v>Loss</v>
      </c>
    </row>
    <row r="722" spans="1:19" x14ac:dyDescent="0.3">
      <c r="A722" s="4" t="s">
        <v>1485</v>
      </c>
      <c r="B722" s="5">
        <v>44200</v>
      </c>
      <c r="C722" s="6" t="s">
        <v>1486</v>
      </c>
      <c r="D722" s="6" t="s">
        <v>64</v>
      </c>
      <c r="E722" s="6">
        <v>25611</v>
      </c>
      <c r="F722" s="6">
        <v>17</v>
      </c>
      <c r="G722" s="6">
        <v>36</v>
      </c>
      <c r="H722" s="6" t="s">
        <v>314</v>
      </c>
      <c r="I722" s="6" t="s">
        <v>57</v>
      </c>
      <c r="J722" s="6" t="s">
        <v>28</v>
      </c>
      <c r="K722" s="6">
        <v>49692</v>
      </c>
      <c r="L722" s="6" t="s">
        <v>29</v>
      </c>
      <c r="M722" s="6">
        <v>0.25</v>
      </c>
      <c r="N722" s="6">
        <v>0.78</v>
      </c>
      <c r="O722" s="6">
        <v>0</v>
      </c>
      <c r="P722" s="6">
        <v>0</v>
      </c>
      <c r="Q722" s="6">
        <f t="shared" ca="1" si="35"/>
        <v>62</v>
      </c>
      <c r="R722" s="6">
        <f t="shared" si="33"/>
        <v>25611</v>
      </c>
      <c r="S722" s="7" t="str">
        <f t="shared" si="34"/>
        <v>Profit</v>
      </c>
    </row>
    <row r="723" spans="1:19" x14ac:dyDescent="0.3">
      <c r="A723" s="4" t="s">
        <v>1487</v>
      </c>
      <c r="B723" s="5">
        <v>44842</v>
      </c>
      <c r="C723" s="6" t="s">
        <v>1488</v>
      </c>
      <c r="D723" s="6" t="s">
        <v>46</v>
      </c>
      <c r="E723" s="6">
        <v>13149</v>
      </c>
      <c r="F723" s="6">
        <v>16.8</v>
      </c>
      <c r="G723" s="6">
        <v>36</v>
      </c>
      <c r="H723" s="6" t="s">
        <v>26</v>
      </c>
      <c r="I723" s="6" t="s">
        <v>57</v>
      </c>
      <c r="J723" s="6" t="s">
        <v>21</v>
      </c>
      <c r="K723" s="6">
        <v>119037</v>
      </c>
      <c r="L723" s="6" t="s">
        <v>29</v>
      </c>
      <c r="M723" s="6">
        <v>0.45</v>
      </c>
      <c r="N723" s="6">
        <v>0.6</v>
      </c>
      <c r="O723" s="6">
        <v>4489.9799999999996</v>
      </c>
      <c r="P723" s="6">
        <v>0</v>
      </c>
      <c r="Q723" s="6">
        <f t="shared" ca="1" si="35"/>
        <v>41</v>
      </c>
      <c r="R723" s="6">
        <f t="shared" si="33"/>
        <v>8659.02</v>
      </c>
      <c r="S723" s="7" t="str">
        <f t="shared" si="34"/>
        <v>Profit</v>
      </c>
    </row>
    <row r="724" spans="1:19" x14ac:dyDescent="0.3">
      <c r="A724" s="4" t="s">
        <v>1489</v>
      </c>
      <c r="B724" s="5">
        <v>44314</v>
      </c>
      <c r="C724" s="6" t="s">
        <v>1490</v>
      </c>
      <c r="D724" s="6" t="s">
        <v>53</v>
      </c>
      <c r="E724" s="6">
        <v>35566</v>
      </c>
      <c r="F724" s="6">
        <v>21.1</v>
      </c>
      <c r="G724" s="6">
        <v>36</v>
      </c>
      <c r="H724" s="6" t="s">
        <v>80</v>
      </c>
      <c r="I724" s="6" t="s">
        <v>20</v>
      </c>
      <c r="J724" s="6" t="s">
        <v>32</v>
      </c>
      <c r="K724" s="6">
        <v>108840</v>
      </c>
      <c r="L724" s="6" t="s">
        <v>33</v>
      </c>
      <c r="M724" s="6">
        <v>0.22</v>
      </c>
      <c r="N724" s="6">
        <v>0.7</v>
      </c>
      <c r="O724" s="6">
        <v>8919.67</v>
      </c>
      <c r="P724" s="6">
        <v>8978.74</v>
      </c>
      <c r="Q724" s="6">
        <f t="shared" ca="1" si="35"/>
        <v>58</v>
      </c>
      <c r="R724" s="6">
        <f t="shared" si="33"/>
        <v>26646.33</v>
      </c>
      <c r="S724" s="7" t="str">
        <f t="shared" si="34"/>
        <v>Profit</v>
      </c>
    </row>
    <row r="725" spans="1:19" x14ac:dyDescent="0.3">
      <c r="A725" s="4" t="s">
        <v>1491</v>
      </c>
      <c r="B725" s="5">
        <v>45077</v>
      </c>
      <c r="C725" s="6" t="s">
        <v>1492</v>
      </c>
      <c r="D725" s="6" t="s">
        <v>18</v>
      </c>
      <c r="E725" s="6">
        <v>22675</v>
      </c>
      <c r="F725" s="6">
        <v>14.5</v>
      </c>
      <c r="G725" s="6">
        <v>60</v>
      </c>
      <c r="H725" s="6" t="s">
        <v>19</v>
      </c>
      <c r="I725" s="6" t="s">
        <v>57</v>
      </c>
      <c r="J725" s="6" t="s">
        <v>47</v>
      </c>
      <c r="K725" s="6">
        <v>84200</v>
      </c>
      <c r="L725" s="6" t="s">
        <v>22</v>
      </c>
      <c r="M725" s="6">
        <v>0.22</v>
      </c>
      <c r="N725" s="6">
        <v>0.9</v>
      </c>
      <c r="O725" s="6">
        <v>25962.880000000001</v>
      </c>
      <c r="P725" s="6">
        <v>0</v>
      </c>
      <c r="Q725" s="6">
        <f t="shared" ca="1" si="35"/>
        <v>33</v>
      </c>
      <c r="R725" s="6">
        <f t="shared" si="33"/>
        <v>-3287.880000000001</v>
      </c>
      <c r="S725" s="7" t="str">
        <f t="shared" si="34"/>
        <v>Loss</v>
      </c>
    </row>
    <row r="726" spans="1:19" x14ac:dyDescent="0.3">
      <c r="A726" s="4" t="s">
        <v>1493</v>
      </c>
      <c r="B726" s="5">
        <v>44700</v>
      </c>
      <c r="C726" s="6" t="s">
        <v>1494</v>
      </c>
      <c r="D726" s="6" t="s">
        <v>46</v>
      </c>
      <c r="E726" s="6">
        <v>6495</v>
      </c>
      <c r="F726" s="6">
        <v>24.9</v>
      </c>
      <c r="G726" s="6">
        <v>36</v>
      </c>
      <c r="H726" s="6" t="s">
        <v>2045</v>
      </c>
      <c r="I726" s="6" t="s">
        <v>72</v>
      </c>
      <c r="J726" s="6" t="s">
        <v>37</v>
      </c>
      <c r="K726" s="6">
        <v>123063</v>
      </c>
      <c r="L726" s="6" t="s">
        <v>22</v>
      </c>
      <c r="M726" s="6">
        <v>0.21</v>
      </c>
      <c r="N726" s="6">
        <v>0.56000000000000005</v>
      </c>
      <c r="O726" s="6">
        <v>0</v>
      </c>
      <c r="P726" s="6">
        <v>0</v>
      </c>
      <c r="Q726" s="6">
        <f t="shared" ca="1" si="35"/>
        <v>46</v>
      </c>
      <c r="R726" s="6">
        <f t="shared" si="33"/>
        <v>6495</v>
      </c>
      <c r="S726" s="7" t="str">
        <f t="shared" si="34"/>
        <v>Profit</v>
      </c>
    </row>
    <row r="727" spans="1:19" x14ac:dyDescent="0.3">
      <c r="A727" s="4" t="s">
        <v>1495</v>
      </c>
      <c r="B727" s="5">
        <v>45143</v>
      </c>
      <c r="C727" s="6" t="s">
        <v>1496</v>
      </c>
      <c r="D727" s="6" t="s">
        <v>64</v>
      </c>
      <c r="E727" s="6">
        <v>14673</v>
      </c>
      <c r="F727" s="6">
        <v>6.2</v>
      </c>
      <c r="G727" s="6">
        <v>36</v>
      </c>
      <c r="H727" s="6" t="s">
        <v>19</v>
      </c>
      <c r="I727" s="6" t="s">
        <v>72</v>
      </c>
      <c r="J727" s="6" t="s">
        <v>28</v>
      </c>
      <c r="K727" s="6">
        <v>87415</v>
      </c>
      <c r="L727" s="6" t="s">
        <v>22</v>
      </c>
      <c r="M727" s="6">
        <v>0.23</v>
      </c>
      <c r="N727" s="6">
        <v>0.67</v>
      </c>
      <c r="O727" s="6">
        <v>15582.73</v>
      </c>
      <c r="P727" s="6">
        <v>0</v>
      </c>
      <c r="Q727" s="6">
        <f t="shared" ca="1" si="35"/>
        <v>31</v>
      </c>
      <c r="R727" s="6">
        <f t="shared" si="33"/>
        <v>-909.72999999999956</v>
      </c>
      <c r="S727" s="7" t="str">
        <f t="shared" si="34"/>
        <v>Loss</v>
      </c>
    </row>
    <row r="728" spans="1:19" x14ac:dyDescent="0.3">
      <c r="A728" s="4" t="s">
        <v>1497</v>
      </c>
      <c r="B728" s="5">
        <v>44770</v>
      </c>
      <c r="C728" s="6" t="s">
        <v>1498</v>
      </c>
      <c r="D728" s="6" t="s">
        <v>75</v>
      </c>
      <c r="E728" s="6">
        <v>12130</v>
      </c>
      <c r="F728" s="6">
        <v>5.0999999999999996</v>
      </c>
      <c r="G728" s="6">
        <v>36</v>
      </c>
      <c r="H728" s="6" t="s">
        <v>19</v>
      </c>
      <c r="I728" s="6" t="s">
        <v>20</v>
      </c>
      <c r="J728" s="6" t="s">
        <v>32</v>
      </c>
      <c r="K728" s="6">
        <v>48074</v>
      </c>
      <c r="L728" s="6" t="s">
        <v>22</v>
      </c>
      <c r="M728" s="6">
        <v>0.32</v>
      </c>
      <c r="N728" s="6">
        <v>0.87</v>
      </c>
      <c r="O728" s="6">
        <v>12748.63</v>
      </c>
      <c r="P728" s="6">
        <v>0</v>
      </c>
      <c r="Q728" s="6">
        <f t="shared" ca="1" si="35"/>
        <v>43</v>
      </c>
      <c r="R728" s="6">
        <f t="shared" si="33"/>
        <v>-618.6299999999992</v>
      </c>
      <c r="S728" s="7" t="str">
        <f t="shared" si="34"/>
        <v>Loss</v>
      </c>
    </row>
    <row r="729" spans="1:19" x14ac:dyDescent="0.3">
      <c r="A729" s="4" t="s">
        <v>1499</v>
      </c>
      <c r="B729" s="5">
        <v>44390</v>
      </c>
      <c r="C729" s="6" t="s">
        <v>1500</v>
      </c>
      <c r="D729" s="6" t="s">
        <v>71</v>
      </c>
      <c r="E729" s="6">
        <v>23668</v>
      </c>
      <c r="F729" s="6">
        <v>17.8</v>
      </c>
      <c r="G729" s="6">
        <v>36</v>
      </c>
      <c r="H729" s="6" t="s">
        <v>26</v>
      </c>
      <c r="I729" s="6" t="s">
        <v>20</v>
      </c>
      <c r="J729" s="6" t="s">
        <v>32</v>
      </c>
      <c r="K729" s="6">
        <v>45549</v>
      </c>
      <c r="L729" s="6" t="s">
        <v>22</v>
      </c>
      <c r="M729" s="6">
        <v>0.38</v>
      </c>
      <c r="N729" s="6">
        <v>0.94</v>
      </c>
      <c r="O729" s="6">
        <v>6421.49</v>
      </c>
      <c r="P729" s="6">
        <v>0</v>
      </c>
      <c r="Q729" s="6">
        <f t="shared" ca="1" si="35"/>
        <v>56</v>
      </c>
      <c r="R729" s="6">
        <f t="shared" si="33"/>
        <v>17246.510000000002</v>
      </c>
      <c r="S729" s="7" t="str">
        <f t="shared" si="34"/>
        <v>Profit</v>
      </c>
    </row>
    <row r="730" spans="1:19" x14ac:dyDescent="0.3">
      <c r="A730" s="4" t="s">
        <v>1501</v>
      </c>
      <c r="B730" s="5">
        <v>45043</v>
      </c>
      <c r="C730" s="6" t="s">
        <v>1502</v>
      </c>
      <c r="D730" s="6" t="s">
        <v>64</v>
      </c>
      <c r="E730" s="6">
        <v>16222</v>
      </c>
      <c r="F730" s="6">
        <v>11</v>
      </c>
      <c r="G730" s="6">
        <v>60</v>
      </c>
      <c r="H730" s="6" t="s">
        <v>19</v>
      </c>
      <c r="I730" s="6" t="s">
        <v>20</v>
      </c>
      <c r="J730" s="6" t="s">
        <v>32</v>
      </c>
      <c r="K730" s="6">
        <v>59963</v>
      </c>
      <c r="L730" s="6" t="s">
        <v>22</v>
      </c>
      <c r="M730" s="6">
        <v>0.37</v>
      </c>
      <c r="N730" s="6">
        <v>0.7</v>
      </c>
      <c r="O730" s="6">
        <v>18006.419999999998</v>
      </c>
      <c r="P730" s="6">
        <v>0</v>
      </c>
      <c r="Q730" s="6">
        <f t="shared" ca="1" si="35"/>
        <v>34</v>
      </c>
      <c r="R730" s="6">
        <f t="shared" si="33"/>
        <v>-1784.4199999999983</v>
      </c>
      <c r="S730" s="7" t="str">
        <f t="shared" si="34"/>
        <v>Loss</v>
      </c>
    </row>
    <row r="731" spans="1:19" x14ac:dyDescent="0.3">
      <c r="A731" s="4" t="s">
        <v>1503</v>
      </c>
      <c r="B731" s="5">
        <v>44911</v>
      </c>
      <c r="C731" s="6" t="s">
        <v>1504</v>
      </c>
      <c r="D731" s="6" t="s">
        <v>40</v>
      </c>
      <c r="E731" s="6">
        <v>24669</v>
      </c>
      <c r="F731" s="6">
        <v>9.8000000000000007</v>
      </c>
      <c r="G731" s="6">
        <v>60</v>
      </c>
      <c r="H731" s="6" t="s">
        <v>19</v>
      </c>
      <c r="I731" s="6" t="s">
        <v>20</v>
      </c>
      <c r="J731" s="6" t="s">
        <v>21</v>
      </c>
      <c r="K731" s="6">
        <v>121456</v>
      </c>
      <c r="L731" s="6" t="s">
        <v>33</v>
      </c>
      <c r="M731" s="6">
        <v>0.42</v>
      </c>
      <c r="N731" s="6">
        <v>0.73</v>
      </c>
      <c r="O731" s="6">
        <v>27086.560000000001</v>
      </c>
      <c r="P731" s="6">
        <v>0</v>
      </c>
      <c r="Q731" s="6">
        <f t="shared" ca="1" si="35"/>
        <v>39</v>
      </c>
      <c r="R731" s="6">
        <f t="shared" si="33"/>
        <v>-2417.5600000000013</v>
      </c>
      <c r="S731" s="7" t="str">
        <f t="shared" si="34"/>
        <v>Loss</v>
      </c>
    </row>
    <row r="732" spans="1:19" x14ac:dyDescent="0.3">
      <c r="A732" s="4" t="s">
        <v>1505</v>
      </c>
      <c r="B732" s="5">
        <v>45246</v>
      </c>
      <c r="C732" s="6" t="s">
        <v>1506</v>
      </c>
      <c r="D732" s="6" t="s">
        <v>53</v>
      </c>
      <c r="E732" s="6">
        <v>35068</v>
      </c>
      <c r="F732" s="6">
        <v>11.2</v>
      </c>
      <c r="G732" s="6">
        <v>36</v>
      </c>
      <c r="H732" s="6" t="s">
        <v>19</v>
      </c>
      <c r="I732" s="6" t="s">
        <v>83</v>
      </c>
      <c r="J732" s="6" t="s">
        <v>37</v>
      </c>
      <c r="K732" s="6">
        <v>126362</v>
      </c>
      <c r="L732" s="6" t="s">
        <v>29</v>
      </c>
      <c r="M732" s="6">
        <v>0.45</v>
      </c>
      <c r="N732" s="6">
        <v>0.76</v>
      </c>
      <c r="O732" s="6">
        <v>38995.620000000003</v>
      </c>
      <c r="P732" s="6">
        <v>0</v>
      </c>
      <c r="Q732" s="6">
        <f t="shared" ca="1" si="35"/>
        <v>28</v>
      </c>
      <c r="R732" s="6">
        <f t="shared" si="33"/>
        <v>-3927.6200000000026</v>
      </c>
      <c r="S732" s="7" t="str">
        <f t="shared" si="34"/>
        <v>Loss</v>
      </c>
    </row>
    <row r="733" spans="1:19" x14ac:dyDescent="0.3">
      <c r="A733" s="4" t="s">
        <v>1507</v>
      </c>
      <c r="B733" s="5">
        <v>44369</v>
      </c>
      <c r="C733" s="6" t="s">
        <v>1508</v>
      </c>
      <c r="D733" s="6" t="s">
        <v>53</v>
      </c>
      <c r="E733" s="6">
        <v>24253</v>
      </c>
      <c r="F733" s="6">
        <v>10.1</v>
      </c>
      <c r="G733" s="6">
        <v>60</v>
      </c>
      <c r="H733" s="6" t="s">
        <v>19</v>
      </c>
      <c r="I733" s="6" t="s">
        <v>20</v>
      </c>
      <c r="J733" s="6" t="s">
        <v>28</v>
      </c>
      <c r="K733" s="6">
        <v>131607</v>
      </c>
      <c r="L733" s="6" t="s">
        <v>29</v>
      </c>
      <c r="M733" s="6">
        <v>0.43</v>
      </c>
      <c r="N733" s="6">
        <v>0.92</v>
      </c>
      <c r="O733" s="6">
        <v>26702.55</v>
      </c>
      <c r="P733" s="6">
        <v>0</v>
      </c>
      <c r="Q733" s="6">
        <f t="shared" ca="1" si="35"/>
        <v>56</v>
      </c>
      <c r="R733" s="6">
        <f t="shared" si="33"/>
        <v>-2449.5499999999993</v>
      </c>
      <c r="S733" s="7" t="str">
        <f t="shared" si="34"/>
        <v>Loss</v>
      </c>
    </row>
    <row r="734" spans="1:19" x14ac:dyDescent="0.3">
      <c r="A734" s="4" t="s">
        <v>1509</v>
      </c>
      <c r="B734" s="5">
        <v>44522</v>
      </c>
      <c r="C734" s="6" t="s">
        <v>1510</v>
      </c>
      <c r="D734" s="6" t="s">
        <v>53</v>
      </c>
      <c r="E734" s="6">
        <v>10435</v>
      </c>
      <c r="F734" s="6">
        <v>5.6</v>
      </c>
      <c r="G734" s="6">
        <v>36</v>
      </c>
      <c r="H734" s="6" t="s">
        <v>26</v>
      </c>
      <c r="I734" s="6" t="s">
        <v>27</v>
      </c>
      <c r="J734" s="6" t="s">
        <v>47</v>
      </c>
      <c r="K734" s="6">
        <v>82265</v>
      </c>
      <c r="L734" s="6" t="s">
        <v>33</v>
      </c>
      <c r="M734" s="6">
        <v>0.11</v>
      </c>
      <c r="N734" s="6">
        <v>0.89</v>
      </c>
      <c r="O734" s="6">
        <v>1328.43</v>
      </c>
      <c r="P734" s="6">
        <v>0</v>
      </c>
      <c r="Q734" s="6">
        <f t="shared" ca="1" si="35"/>
        <v>51</v>
      </c>
      <c r="R734" s="6">
        <f t="shared" si="33"/>
        <v>9106.57</v>
      </c>
      <c r="S734" s="7" t="str">
        <f t="shared" si="34"/>
        <v>Profit</v>
      </c>
    </row>
    <row r="735" spans="1:19" x14ac:dyDescent="0.3">
      <c r="A735" s="4" t="s">
        <v>1511</v>
      </c>
      <c r="B735" s="5">
        <v>45032</v>
      </c>
      <c r="C735" s="6" t="s">
        <v>1512</v>
      </c>
      <c r="D735" s="6" t="s">
        <v>25</v>
      </c>
      <c r="E735" s="6">
        <v>29552</v>
      </c>
      <c r="F735" s="6">
        <v>24.4</v>
      </c>
      <c r="G735" s="6">
        <v>36</v>
      </c>
      <c r="H735" s="6" t="s">
        <v>26</v>
      </c>
      <c r="I735" s="6" t="s">
        <v>83</v>
      </c>
      <c r="J735" s="6" t="s">
        <v>47</v>
      </c>
      <c r="K735" s="6">
        <v>46061</v>
      </c>
      <c r="L735" s="6" t="s">
        <v>29</v>
      </c>
      <c r="M735" s="6">
        <v>0.39</v>
      </c>
      <c r="N735" s="6">
        <v>0.57999999999999996</v>
      </c>
      <c r="O735" s="6">
        <v>5184.05</v>
      </c>
      <c r="P735" s="6">
        <v>0</v>
      </c>
      <c r="Q735" s="6">
        <f t="shared" ca="1" si="35"/>
        <v>35</v>
      </c>
      <c r="R735" s="6">
        <f t="shared" si="33"/>
        <v>24367.95</v>
      </c>
      <c r="S735" s="7" t="str">
        <f t="shared" si="34"/>
        <v>Profit</v>
      </c>
    </row>
    <row r="736" spans="1:19" x14ac:dyDescent="0.3">
      <c r="A736" s="4" t="s">
        <v>1513</v>
      </c>
      <c r="B736" s="5">
        <v>44920</v>
      </c>
      <c r="C736" s="6" t="s">
        <v>1514</v>
      </c>
      <c r="D736" s="6" t="s">
        <v>25</v>
      </c>
      <c r="E736" s="6">
        <v>38384</v>
      </c>
      <c r="F736" s="6">
        <v>9.4</v>
      </c>
      <c r="G736" s="6">
        <v>60</v>
      </c>
      <c r="H736" s="6" t="s">
        <v>26</v>
      </c>
      <c r="I736" s="6" t="s">
        <v>20</v>
      </c>
      <c r="J736" s="6" t="s">
        <v>37</v>
      </c>
      <c r="K736" s="6">
        <v>88226</v>
      </c>
      <c r="L736" s="6" t="s">
        <v>22</v>
      </c>
      <c r="M736" s="6">
        <v>0.18</v>
      </c>
      <c r="N736" s="6">
        <v>0.7</v>
      </c>
      <c r="O736" s="6">
        <v>4663.03</v>
      </c>
      <c r="P736" s="6">
        <v>0</v>
      </c>
      <c r="Q736" s="6">
        <f t="shared" ca="1" si="35"/>
        <v>38</v>
      </c>
      <c r="R736" s="6">
        <f t="shared" si="33"/>
        <v>33720.97</v>
      </c>
      <c r="S736" s="7" t="str">
        <f t="shared" si="34"/>
        <v>Profit</v>
      </c>
    </row>
    <row r="737" spans="1:19" x14ac:dyDescent="0.3">
      <c r="A737" s="4" t="s">
        <v>1515</v>
      </c>
      <c r="B737" s="5">
        <v>44421</v>
      </c>
      <c r="C737" s="6" t="s">
        <v>1516</v>
      </c>
      <c r="D737" s="6" t="s">
        <v>56</v>
      </c>
      <c r="E737" s="6">
        <v>17393</v>
      </c>
      <c r="F737" s="6">
        <v>19.7</v>
      </c>
      <c r="G737" s="6">
        <v>60</v>
      </c>
      <c r="H737" s="6" t="s">
        <v>26</v>
      </c>
      <c r="I737" s="6" t="s">
        <v>57</v>
      </c>
      <c r="J737" s="6" t="s">
        <v>32</v>
      </c>
      <c r="K737" s="6">
        <v>58810</v>
      </c>
      <c r="L737" s="6" t="s">
        <v>22</v>
      </c>
      <c r="M737" s="6">
        <v>0.15</v>
      </c>
      <c r="N737" s="6">
        <v>0.71</v>
      </c>
      <c r="O737" s="6">
        <v>2401.1</v>
      </c>
      <c r="P737" s="6">
        <v>0</v>
      </c>
      <c r="Q737" s="6">
        <f t="shared" ca="1" si="35"/>
        <v>55</v>
      </c>
      <c r="R737" s="6">
        <f t="shared" si="33"/>
        <v>14991.9</v>
      </c>
      <c r="S737" s="7" t="str">
        <f t="shared" si="34"/>
        <v>Profit</v>
      </c>
    </row>
    <row r="738" spans="1:19" x14ac:dyDescent="0.3">
      <c r="A738" s="4" t="s">
        <v>1517</v>
      </c>
      <c r="B738" s="5">
        <v>44728</v>
      </c>
      <c r="C738" s="6" t="s">
        <v>1518</v>
      </c>
      <c r="D738" s="6" t="s">
        <v>50</v>
      </c>
      <c r="E738" s="6">
        <v>11617</v>
      </c>
      <c r="F738" s="6">
        <v>20.3</v>
      </c>
      <c r="G738" s="6">
        <v>36</v>
      </c>
      <c r="H738" s="6" t="s">
        <v>26</v>
      </c>
      <c r="I738" s="6" t="s">
        <v>41</v>
      </c>
      <c r="J738" s="6" t="s">
        <v>32</v>
      </c>
      <c r="K738" s="6">
        <v>90006</v>
      </c>
      <c r="L738" s="6" t="s">
        <v>29</v>
      </c>
      <c r="M738" s="6">
        <v>0.36</v>
      </c>
      <c r="N738" s="6">
        <v>0.86</v>
      </c>
      <c r="O738" s="6">
        <v>5667.24</v>
      </c>
      <c r="P738" s="6">
        <v>0</v>
      </c>
      <c r="Q738" s="6">
        <f t="shared" ca="1" si="35"/>
        <v>45</v>
      </c>
      <c r="R738" s="6">
        <f t="shared" si="33"/>
        <v>5949.76</v>
      </c>
      <c r="S738" s="7" t="str">
        <f t="shared" si="34"/>
        <v>Profit</v>
      </c>
    </row>
    <row r="739" spans="1:19" x14ac:dyDescent="0.3">
      <c r="A739" s="4" t="s">
        <v>1519</v>
      </c>
      <c r="B739" s="5">
        <v>44309</v>
      </c>
      <c r="C739" s="6" t="s">
        <v>1520</v>
      </c>
      <c r="D739" s="6" t="s">
        <v>71</v>
      </c>
      <c r="E739" s="6">
        <v>39520</v>
      </c>
      <c r="F739" s="6">
        <v>23.6</v>
      </c>
      <c r="G739" s="6">
        <v>36</v>
      </c>
      <c r="H739" s="6" t="s">
        <v>19</v>
      </c>
      <c r="I739" s="6" t="s">
        <v>83</v>
      </c>
      <c r="J739" s="6" t="s">
        <v>32</v>
      </c>
      <c r="K739" s="6">
        <v>143502</v>
      </c>
      <c r="L739" s="6" t="s">
        <v>22</v>
      </c>
      <c r="M739" s="6">
        <v>0.23</v>
      </c>
      <c r="N739" s="6">
        <v>0.77</v>
      </c>
      <c r="O739" s="6">
        <v>48846.720000000001</v>
      </c>
      <c r="P739" s="6">
        <v>0</v>
      </c>
      <c r="Q739" s="6">
        <f t="shared" ca="1" si="35"/>
        <v>58</v>
      </c>
      <c r="R739" s="6">
        <f t="shared" si="33"/>
        <v>-9326.7200000000012</v>
      </c>
      <c r="S739" s="7" t="str">
        <f t="shared" si="34"/>
        <v>Loss</v>
      </c>
    </row>
    <row r="740" spans="1:19" x14ac:dyDescent="0.3">
      <c r="A740" s="4" t="s">
        <v>1521</v>
      </c>
      <c r="B740" s="5">
        <v>44336</v>
      </c>
      <c r="C740" s="6" t="s">
        <v>1522</v>
      </c>
      <c r="D740" s="6" t="s">
        <v>46</v>
      </c>
      <c r="E740" s="6">
        <v>10852</v>
      </c>
      <c r="F740" s="6">
        <v>5.6</v>
      </c>
      <c r="G740" s="6">
        <v>60</v>
      </c>
      <c r="H740" s="6" t="s">
        <v>19</v>
      </c>
      <c r="I740" s="6" t="s">
        <v>72</v>
      </c>
      <c r="J740" s="6" t="s">
        <v>32</v>
      </c>
      <c r="K740" s="6">
        <v>52800</v>
      </c>
      <c r="L740" s="6" t="s">
        <v>22</v>
      </c>
      <c r="M740" s="6">
        <v>0.12</v>
      </c>
      <c r="N740" s="6">
        <v>0.79</v>
      </c>
      <c r="O740" s="6">
        <v>11459.71</v>
      </c>
      <c r="P740" s="6">
        <v>0</v>
      </c>
      <c r="Q740" s="6">
        <f t="shared" ca="1" si="35"/>
        <v>58</v>
      </c>
      <c r="R740" s="6">
        <f t="shared" si="33"/>
        <v>-607.70999999999913</v>
      </c>
      <c r="S740" s="7" t="str">
        <f t="shared" si="34"/>
        <v>Loss</v>
      </c>
    </row>
    <row r="741" spans="1:19" x14ac:dyDescent="0.3">
      <c r="A741" s="4" t="s">
        <v>1523</v>
      </c>
      <c r="B741" s="5">
        <v>44755</v>
      </c>
      <c r="C741" s="6" t="s">
        <v>1524</v>
      </c>
      <c r="D741" s="6" t="s">
        <v>18</v>
      </c>
      <c r="E741" s="6">
        <v>32401</v>
      </c>
      <c r="F741" s="6">
        <v>22.4</v>
      </c>
      <c r="G741" s="6">
        <v>36</v>
      </c>
      <c r="H741" s="6" t="s">
        <v>2045</v>
      </c>
      <c r="I741" s="6" t="s">
        <v>27</v>
      </c>
      <c r="J741" s="6" t="s">
        <v>32</v>
      </c>
      <c r="K741" s="6">
        <v>146192</v>
      </c>
      <c r="L741" s="6" t="s">
        <v>29</v>
      </c>
      <c r="M741" s="6">
        <v>0.16</v>
      </c>
      <c r="N741" s="6">
        <v>0.95</v>
      </c>
      <c r="O741" s="6">
        <v>0</v>
      </c>
      <c r="P741" s="6">
        <v>0</v>
      </c>
      <c r="Q741" s="6">
        <f t="shared" ca="1" si="35"/>
        <v>44</v>
      </c>
      <c r="R741" s="6">
        <f t="shared" si="33"/>
        <v>32401</v>
      </c>
      <c r="S741" s="7" t="str">
        <f t="shared" si="34"/>
        <v>Profit</v>
      </c>
    </row>
    <row r="742" spans="1:19" x14ac:dyDescent="0.3">
      <c r="A742" s="4" t="s">
        <v>1525</v>
      </c>
      <c r="B742" s="5">
        <v>44197</v>
      </c>
      <c r="C742" s="6" t="s">
        <v>1526</v>
      </c>
      <c r="D742" s="6" t="s">
        <v>64</v>
      </c>
      <c r="E742" s="6">
        <v>7295</v>
      </c>
      <c r="F742" s="6">
        <v>15.5</v>
      </c>
      <c r="G742" s="6">
        <v>60</v>
      </c>
      <c r="H742" s="6" t="s">
        <v>19</v>
      </c>
      <c r="I742" s="6" t="s">
        <v>83</v>
      </c>
      <c r="J742" s="6" t="s">
        <v>37</v>
      </c>
      <c r="K742" s="6">
        <v>138959</v>
      </c>
      <c r="L742" s="6" t="s">
        <v>33</v>
      </c>
      <c r="M742" s="6">
        <v>0.1</v>
      </c>
      <c r="N742" s="6">
        <v>0.53</v>
      </c>
      <c r="O742" s="6">
        <v>8425.7199999999993</v>
      </c>
      <c r="P742" s="6">
        <v>0</v>
      </c>
      <c r="Q742" s="6">
        <f t="shared" ca="1" si="35"/>
        <v>62</v>
      </c>
      <c r="R742" s="6">
        <f t="shared" si="33"/>
        <v>-1130.7199999999993</v>
      </c>
      <c r="S742" s="7" t="str">
        <f t="shared" si="34"/>
        <v>Loss</v>
      </c>
    </row>
    <row r="743" spans="1:19" x14ac:dyDescent="0.3">
      <c r="A743" s="4" t="s">
        <v>1527</v>
      </c>
      <c r="B743" s="5">
        <v>44286</v>
      </c>
      <c r="C743" s="6" t="s">
        <v>1528</v>
      </c>
      <c r="D743" s="6" t="s">
        <v>50</v>
      </c>
      <c r="E743" s="6">
        <v>36993</v>
      </c>
      <c r="F743" s="6">
        <v>17.7</v>
      </c>
      <c r="G743" s="6">
        <v>36</v>
      </c>
      <c r="H743" s="6" t="s">
        <v>26</v>
      </c>
      <c r="I743" s="6" t="s">
        <v>57</v>
      </c>
      <c r="J743" s="6" t="s">
        <v>21</v>
      </c>
      <c r="K743" s="6">
        <v>137228</v>
      </c>
      <c r="L743" s="6" t="s">
        <v>29</v>
      </c>
      <c r="M743" s="6">
        <v>0.46</v>
      </c>
      <c r="N743" s="6">
        <v>0.6</v>
      </c>
      <c r="O743" s="6">
        <v>4398.51</v>
      </c>
      <c r="P743" s="6">
        <v>0</v>
      </c>
      <c r="Q743" s="6">
        <f t="shared" ca="1" si="35"/>
        <v>59</v>
      </c>
      <c r="R743" s="6">
        <f t="shared" si="33"/>
        <v>32594.489999999998</v>
      </c>
      <c r="S743" s="7" t="str">
        <f t="shared" si="34"/>
        <v>Profit</v>
      </c>
    </row>
    <row r="744" spans="1:19" x14ac:dyDescent="0.3">
      <c r="A744" s="4" t="s">
        <v>1529</v>
      </c>
      <c r="B744" s="5">
        <v>44850</v>
      </c>
      <c r="C744" s="6" t="s">
        <v>1530</v>
      </c>
      <c r="D744" s="6" t="s">
        <v>18</v>
      </c>
      <c r="E744" s="6">
        <v>35084</v>
      </c>
      <c r="F744" s="6">
        <v>17.899999999999999</v>
      </c>
      <c r="G744" s="6">
        <v>36</v>
      </c>
      <c r="H744" s="6" t="s">
        <v>19</v>
      </c>
      <c r="I744" s="6" t="s">
        <v>36</v>
      </c>
      <c r="J744" s="6" t="s">
        <v>28</v>
      </c>
      <c r="K744" s="6">
        <v>105476</v>
      </c>
      <c r="L744" s="6" t="s">
        <v>29</v>
      </c>
      <c r="M744" s="6">
        <v>0.11</v>
      </c>
      <c r="N744" s="6">
        <v>0.68</v>
      </c>
      <c r="O744" s="6">
        <v>41364.04</v>
      </c>
      <c r="P744" s="6">
        <v>0</v>
      </c>
      <c r="Q744" s="6">
        <f t="shared" ca="1" si="35"/>
        <v>41</v>
      </c>
      <c r="R744" s="6">
        <f t="shared" si="33"/>
        <v>-6280.0400000000009</v>
      </c>
      <c r="S744" s="7" t="str">
        <f t="shared" si="34"/>
        <v>Loss</v>
      </c>
    </row>
    <row r="745" spans="1:19" x14ac:dyDescent="0.3">
      <c r="A745" s="4" t="s">
        <v>1531</v>
      </c>
      <c r="B745" s="5">
        <v>44516</v>
      </c>
      <c r="C745" s="6" t="s">
        <v>1532</v>
      </c>
      <c r="D745" s="6" t="s">
        <v>46</v>
      </c>
      <c r="E745" s="6">
        <v>37451</v>
      </c>
      <c r="F745" s="6">
        <v>21.4</v>
      </c>
      <c r="G745" s="6">
        <v>60</v>
      </c>
      <c r="H745" s="6" t="s">
        <v>26</v>
      </c>
      <c r="I745" s="6" t="s">
        <v>72</v>
      </c>
      <c r="J745" s="6" t="s">
        <v>32</v>
      </c>
      <c r="K745" s="6">
        <v>99460</v>
      </c>
      <c r="L745" s="6" t="s">
        <v>29</v>
      </c>
      <c r="M745" s="6">
        <v>0.18</v>
      </c>
      <c r="N745" s="6">
        <v>0.66</v>
      </c>
      <c r="O745" s="6">
        <v>6410.55</v>
      </c>
      <c r="P745" s="6">
        <v>0</v>
      </c>
      <c r="Q745" s="6">
        <f t="shared" ca="1" si="35"/>
        <v>52</v>
      </c>
      <c r="R745" s="6">
        <f t="shared" si="33"/>
        <v>31040.45</v>
      </c>
      <c r="S745" s="7" t="str">
        <f t="shared" si="34"/>
        <v>Profit</v>
      </c>
    </row>
    <row r="746" spans="1:19" x14ac:dyDescent="0.3">
      <c r="A746" s="4" t="s">
        <v>1533</v>
      </c>
      <c r="B746" s="5">
        <v>44335</v>
      </c>
      <c r="C746" s="6" t="s">
        <v>1534</v>
      </c>
      <c r="D746" s="6" t="s">
        <v>50</v>
      </c>
      <c r="E746" s="6">
        <v>8227</v>
      </c>
      <c r="F746" s="6">
        <v>11.7</v>
      </c>
      <c r="G746" s="6">
        <v>60</v>
      </c>
      <c r="H746" s="6" t="s">
        <v>26</v>
      </c>
      <c r="I746" s="6" t="s">
        <v>72</v>
      </c>
      <c r="J746" s="6" t="s">
        <v>21</v>
      </c>
      <c r="K746" s="6">
        <v>87767</v>
      </c>
      <c r="L746" s="6" t="s">
        <v>29</v>
      </c>
      <c r="M746" s="6">
        <v>0.27</v>
      </c>
      <c r="N746" s="6">
        <v>0.51</v>
      </c>
      <c r="O746" s="6">
        <v>2597.8000000000002</v>
      </c>
      <c r="P746" s="6">
        <v>0</v>
      </c>
      <c r="Q746" s="6">
        <f t="shared" ca="1" si="35"/>
        <v>58</v>
      </c>
      <c r="R746" s="6">
        <f t="shared" si="33"/>
        <v>5629.2</v>
      </c>
      <c r="S746" s="7" t="str">
        <f t="shared" si="34"/>
        <v>Profit</v>
      </c>
    </row>
    <row r="747" spans="1:19" x14ac:dyDescent="0.3">
      <c r="A747" s="4" t="s">
        <v>1535</v>
      </c>
      <c r="B747" s="5">
        <v>45041</v>
      </c>
      <c r="C747" s="6" t="s">
        <v>1536</v>
      </c>
      <c r="D747" s="6" t="s">
        <v>18</v>
      </c>
      <c r="E747" s="6">
        <v>32910</v>
      </c>
      <c r="F747" s="6">
        <v>19.7</v>
      </c>
      <c r="G747" s="6">
        <v>60</v>
      </c>
      <c r="H747" s="6" t="s">
        <v>19</v>
      </c>
      <c r="I747" s="6" t="s">
        <v>41</v>
      </c>
      <c r="J747" s="6" t="s">
        <v>47</v>
      </c>
      <c r="K747" s="6">
        <v>58054</v>
      </c>
      <c r="L747" s="6" t="s">
        <v>33</v>
      </c>
      <c r="M747" s="6">
        <v>0.24</v>
      </c>
      <c r="N747" s="6">
        <v>0.54</v>
      </c>
      <c r="O747" s="6">
        <v>39393.269999999997</v>
      </c>
      <c r="P747" s="6">
        <v>0</v>
      </c>
      <c r="Q747" s="6">
        <f t="shared" ca="1" si="35"/>
        <v>34</v>
      </c>
      <c r="R747" s="6">
        <f t="shared" si="33"/>
        <v>-6483.2699999999968</v>
      </c>
      <c r="S747" s="7" t="str">
        <f t="shared" si="34"/>
        <v>Loss</v>
      </c>
    </row>
    <row r="748" spans="1:19" x14ac:dyDescent="0.3">
      <c r="A748" s="4" t="s">
        <v>1537</v>
      </c>
      <c r="B748" s="5">
        <v>44455</v>
      </c>
      <c r="C748" s="6" t="s">
        <v>1538</v>
      </c>
      <c r="D748" s="6" t="s">
        <v>75</v>
      </c>
      <c r="E748" s="6">
        <v>37041</v>
      </c>
      <c r="F748" s="6">
        <v>15.6</v>
      </c>
      <c r="G748" s="6">
        <v>60</v>
      </c>
      <c r="H748" s="6" t="s">
        <v>19</v>
      </c>
      <c r="I748" s="6" t="s">
        <v>83</v>
      </c>
      <c r="J748" s="6" t="s">
        <v>37</v>
      </c>
      <c r="K748" s="6">
        <v>105319</v>
      </c>
      <c r="L748" s="6" t="s">
        <v>33</v>
      </c>
      <c r="M748" s="6">
        <v>0.46</v>
      </c>
      <c r="N748" s="6">
        <v>0.81</v>
      </c>
      <c r="O748" s="6">
        <v>42819.4</v>
      </c>
      <c r="P748" s="6">
        <v>0</v>
      </c>
      <c r="Q748" s="6">
        <f t="shared" ca="1" si="35"/>
        <v>54</v>
      </c>
      <c r="R748" s="6">
        <f t="shared" si="33"/>
        <v>-5778.4000000000015</v>
      </c>
      <c r="S748" s="7" t="str">
        <f t="shared" si="34"/>
        <v>Loss</v>
      </c>
    </row>
    <row r="749" spans="1:19" x14ac:dyDescent="0.3">
      <c r="A749" s="4" t="s">
        <v>1539</v>
      </c>
      <c r="B749" s="5">
        <v>45098</v>
      </c>
      <c r="C749" s="6" t="s">
        <v>1540</v>
      </c>
      <c r="D749" s="6" t="s">
        <v>25</v>
      </c>
      <c r="E749" s="6">
        <v>24384</v>
      </c>
      <c r="F749" s="6">
        <v>20.9</v>
      </c>
      <c r="G749" s="6">
        <v>60</v>
      </c>
      <c r="H749" s="6" t="s">
        <v>26</v>
      </c>
      <c r="I749" s="6" t="s">
        <v>57</v>
      </c>
      <c r="J749" s="6" t="s">
        <v>21</v>
      </c>
      <c r="K749" s="6">
        <v>132789</v>
      </c>
      <c r="L749" s="6" t="s">
        <v>22</v>
      </c>
      <c r="M749" s="6">
        <v>0.12</v>
      </c>
      <c r="N749" s="6">
        <v>0.9</v>
      </c>
      <c r="O749" s="6">
        <v>7914.57</v>
      </c>
      <c r="P749" s="6">
        <v>0</v>
      </c>
      <c r="Q749" s="6">
        <f t="shared" ca="1" si="35"/>
        <v>32</v>
      </c>
      <c r="R749" s="6">
        <f t="shared" si="33"/>
        <v>16469.43</v>
      </c>
      <c r="S749" s="7" t="str">
        <f t="shared" si="34"/>
        <v>Profit</v>
      </c>
    </row>
    <row r="750" spans="1:19" x14ac:dyDescent="0.3">
      <c r="A750" s="4" t="s">
        <v>1541</v>
      </c>
      <c r="B750" s="5">
        <v>44886</v>
      </c>
      <c r="C750" s="6" t="s">
        <v>1542</v>
      </c>
      <c r="D750" s="6" t="s">
        <v>46</v>
      </c>
      <c r="E750" s="6">
        <v>1145</v>
      </c>
      <c r="F750" s="6">
        <v>24.8</v>
      </c>
      <c r="G750" s="6">
        <v>60</v>
      </c>
      <c r="H750" s="6" t="s">
        <v>19</v>
      </c>
      <c r="I750" s="6" t="s">
        <v>20</v>
      </c>
      <c r="J750" s="6" t="s">
        <v>32</v>
      </c>
      <c r="K750" s="6">
        <v>75397</v>
      </c>
      <c r="L750" s="6" t="s">
        <v>22</v>
      </c>
      <c r="M750" s="6">
        <v>0.3</v>
      </c>
      <c r="N750" s="6">
        <v>0.73</v>
      </c>
      <c r="O750" s="6">
        <v>1428.96</v>
      </c>
      <c r="P750" s="6">
        <v>0</v>
      </c>
      <c r="Q750" s="6">
        <f t="shared" ca="1" si="35"/>
        <v>39</v>
      </c>
      <c r="R750" s="6">
        <f t="shared" si="33"/>
        <v>-283.96000000000004</v>
      </c>
      <c r="S750" s="7" t="str">
        <f t="shared" si="34"/>
        <v>Loss</v>
      </c>
    </row>
    <row r="751" spans="1:19" x14ac:dyDescent="0.3">
      <c r="A751" s="4" t="s">
        <v>1543</v>
      </c>
      <c r="B751" s="5">
        <v>44206</v>
      </c>
      <c r="C751" s="6" t="s">
        <v>1544</v>
      </c>
      <c r="D751" s="6" t="s">
        <v>71</v>
      </c>
      <c r="E751" s="6">
        <v>38778</v>
      </c>
      <c r="F751" s="6">
        <v>9</v>
      </c>
      <c r="G751" s="6">
        <v>60</v>
      </c>
      <c r="H751" s="6" t="s">
        <v>19</v>
      </c>
      <c r="I751" s="6" t="s">
        <v>72</v>
      </c>
      <c r="J751" s="6" t="s">
        <v>32</v>
      </c>
      <c r="K751" s="6">
        <v>43233</v>
      </c>
      <c r="L751" s="6" t="s">
        <v>29</v>
      </c>
      <c r="M751" s="6">
        <v>0.37</v>
      </c>
      <c r="N751" s="6">
        <v>0.74</v>
      </c>
      <c r="O751" s="6">
        <v>42268.02</v>
      </c>
      <c r="P751" s="6">
        <v>0</v>
      </c>
      <c r="Q751" s="6">
        <f t="shared" ca="1" si="35"/>
        <v>62</v>
      </c>
      <c r="R751" s="6">
        <f t="shared" si="33"/>
        <v>-3490.0199999999968</v>
      </c>
      <c r="S751" s="7" t="str">
        <f t="shared" si="34"/>
        <v>Loss</v>
      </c>
    </row>
    <row r="752" spans="1:19" x14ac:dyDescent="0.3">
      <c r="A752" s="4" t="s">
        <v>1545</v>
      </c>
      <c r="B752" s="5">
        <v>44457</v>
      </c>
      <c r="C752" s="6" t="s">
        <v>1546</v>
      </c>
      <c r="D752" s="6" t="s">
        <v>40</v>
      </c>
      <c r="E752" s="6">
        <v>17035</v>
      </c>
      <c r="F752" s="6">
        <v>24.9</v>
      </c>
      <c r="G752" s="6">
        <v>36</v>
      </c>
      <c r="H752" s="6" t="s">
        <v>26</v>
      </c>
      <c r="I752" s="6" t="s">
        <v>27</v>
      </c>
      <c r="J752" s="6" t="s">
        <v>32</v>
      </c>
      <c r="K752" s="6">
        <v>141205</v>
      </c>
      <c r="L752" s="6" t="s">
        <v>22</v>
      </c>
      <c r="M752" s="6">
        <v>0.47</v>
      </c>
      <c r="N752" s="6">
        <v>0.61</v>
      </c>
      <c r="O752" s="6">
        <v>2032.08</v>
      </c>
      <c r="P752" s="6">
        <v>0</v>
      </c>
      <c r="Q752" s="6">
        <f t="shared" ca="1" si="35"/>
        <v>54</v>
      </c>
      <c r="R752" s="6">
        <f t="shared" si="33"/>
        <v>15002.92</v>
      </c>
      <c r="S752" s="7" t="str">
        <f t="shared" si="34"/>
        <v>Profit</v>
      </c>
    </row>
    <row r="753" spans="1:19" x14ac:dyDescent="0.3">
      <c r="A753" s="4" t="s">
        <v>1547</v>
      </c>
      <c r="B753" s="5">
        <v>44368</v>
      </c>
      <c r="C753" s="6" t="s">
        <v>1548</v>
      </c>
      <c r="D753" s="6" t="s">
        <v>75</v>
      </c>
      <c r="E753" s="6">
        <v>4040</v>
      </c>
      <c r="F753" s="6">
        <v>6.8</v>
      </c>
      <c r="G753" s="6">
        <v>36</v>
      </c>
      <c r="H753" s="6" t="s">
        <v>19</v>
      </c>
      <c r="I753" s="6" t="s">
        <v>27</v>
      </c>
      <c r="J753" s="6" t="s">
        <v>21</v>
      </c>
      <c r="K753" s="6">
        <v>120020</v>
      </c>
      <c r="L753" s="6" t="s">
        <v>33</v>
      </c>
      <c r="M753" s="6">
        <v>0.35</v>
      </c>
      <c r="N753" s="6">
        <v>0.85</v>
      </c>
      <c r="O753" s="6">
        <v>4314.72</v>
      </c>
      <c r="P753" s="6">
        <v>0</v>
      </c>
      <c r="Q753" s="6">
        <f t="shared" ca="1" si="35"/>
        <v>56</v>
      </c>
      <c r="R753" s="6">
        <f t="shared" si="33"/>
        <v>-274.72000000000025</v>
      </c>
      <c r="S753" s="7" t="str">
        <f t="shared" si="34"/>
        <v>Loss</v>
      </c>
    </row>
    <row r="754" spans="1:19" x14ac:dyDescent="0.3">
      <c r="A754" s="4" t="s">
        <v>1549</v>
      </c>
      <c r="B754" s="5">
        <v>45094</v>
      </c>
      <c r="C754" s="6" t="s">
        <v>1550</v>
      </c>
      <c r="D754" s="6" t="s">
        <v>25</v>
      </c>
      <c r="E754" s="6">
        <v>27160</v>
      </c>
      <c r="F754" s="6">
        <v>5</v>
      </c>
      <c r="G754" s="6">
        <v>36</v>
      </c>
      <c r="H754" s="6" t="s">
        <v>80</v>
      </c>
      <c r="I754" s="6" t="s">
        <v>41</v>
      </c>
      <c r="J754" s="6" t="s">
        <v>32</v>
      </c>
      <c r="K754" s="6">
        <v>55068</v>
      </c>
      <c r="L754" s="6" t="s">
        <v>22</v>
      </c>
      <c r="M754" s="6">
        <v>0.42</v>
      </c>
      <c r="N754" s="6">
        <v>0.84</v>
      </c>
      <c r="O754" s="6">
        <v>9183.2099999999991</v>
      </c>
      <c r="P754" s="6">
        <v>3538.73</v>
      </c>
      <c r="Q754" s="6">
        <f t="shared" ca="1" si="35"/>
        <v>33</v>
      </c>
      <c r="R754" s="6">
        <f t="shared" si="33"/>
        <v>17976.79</v>
      </c>
      <c r="S754" s="7" t="str">
        <f t="shared" si="34"/>
        <v>Profit</v>
      </c>
    </row>
    <row r="755" spans="1:19" x14ac:dyDescent="0.3">
      <c r="A755" s="4" t="s">
        <v>1551</v>
      </c>
      <c r="B755" s="5">
        <v>44209</v>
      </c>
      <c r="C755" s="6" t="s">
        <v>1552</v>
      </c>
      <c r="D755" s="6" t="s">
        <v>53</v>
      </c>
      <c r="E755" s="6">
        <v>18633</v>
      </c>
      <c r="F755" s="6">
        <v>5.9</v>
      </c>
      <c r="G755" s="6">
        <v>60</v>
      </c>
      <c r="H755" s="6" t="s">
        <v>19</v>
      </c>
      <c r="I755" s="6" t="s">
        <v>83</v>
      </c>
      <c r="J755" s="6" t="s">
        <v>21</v>
      </c>
      <c r="K755" s="6">
        <v>95727</v>
      </c>
      <c r="L755" s="6" t="s">
        <v>22</v>
      </c>
      <c r="M755" s="6">
        <v>0.13</v>
      </c>
      <c r="N755" s="6">
        <v>0.76</v>
      </c>
      <c r="O755" s="6">
        <v>19732.349999999999</v>
      </c>
      <c r="P755" s="6">
        <v>0</v>
      </c>
      <c r="Q755" s="6">
        <f t="shared" ca="1" si="35"/>
        <v>62</v>
      </c>
      <c r="R755" s="6">
        <f t="shared" si="33"/>
        <v>-1099.3499999999985</v>
      </c>
      <c r="S755" s="7" t="str">
        <f t="shared" si="34"/>
        <v>Loss</v>
      </c>
    </row>
    <row r="756" spans="1:19" x14ac:dyDescent="0.3">
      <c r="A756" s="4" t="s">
        <v>1553</v>
      </c>
      <c r="B756" s="5">
        <v>44517</v>
      </c>
      <c r="C756" s="6" t="s">
        <v>1554</v>
      </c>
      <c r="D756" s="6" t="s">
        <v>25</v>
      </c>
      <c r="E756" s="6">
        <v>30344</v>
      </c>
      <c r="F756" s="6">
        <v>11.8</v>
      </c>
      <c r="G756" s="6">
        <v>60</v>
      </c>
      <c r="H756" s="6" t="s">
        <v>19</v>
      </c>
      <c r="I756" s="6" t="s">
        <v>57</v>
      </c>
      <c r="J756" s="6" t="s">
        <v>32</v>
      </c>
      <c r="K756" s="6">
        <v>120610</v>
      </c>
      <c r="L756" s="6" t="s">
        <v>22</v>
      </c>
      <c r="M756" s="6">
        <v>0.25</v>
      </c>
      <c r="N756" s="6">
        <v>0.6</v>
      </c>
      <c r="O756" s="6">
        <v>33924.589999999997</v>
      </c>
      <c r="P756" s="6">
        <v>0</v>
      </c>
      <c r="Q756" s="6">
        <f t="shared" ca="1" si="35"/>
        <v>52</v>
      </c>
      <c r="R756" s="6">
        <f t="shared" si="33"/>
        <v>-3580.5899999999965</v>
      </c>
      <c r="S756" s="7" t="str">
        <f t="shared" si="34"/>
        <v>Loss</v>
      </c>
    </row>
    <row r="757" spans="1:19" x14ac:dyDescent="0.3">
      <c r="A757" s="4" t="s">
        <v>1555</v>
      </c>
      <c r="B757" s="5">
        <v>44525</v>
      </c>
      <c r="C757" s="6" t="s">
        <v>1556</v>
      </c>
      <c r="D757" s="6" t="s">
        <v>50</v>
      </c>
      <c r="E757" s="6">
        <v>18014</v>
      </c>
      <c r="F757" s="6">
        <v>17.7</v>
      </c>
      <c r="G757" s="6">
        <v>60</v>
      </c>
      <c r="H757" s="6" t="s">
        <v>26</v>
      </c>
      <c r="I757" s="6" t="s">
        <v>20</v>
      </c>
      <c r="J757" s="6" t="s">
        <v>47</v>
      </c>
      <c r="K757" s="6">
        <v>100453</v>
      </c>
      <c r="L757" s="6" t="s">
        <v>29</v>
      </c>
      <c r="M757" s="6">
        <v>0.25</v>
      </c>
      <c r="N757" s="6">
        <v>0.54</v>
      </c>
      <c r="O757" s="6">
        <v>7265.79</v>
      </c>
      <c r="P757" s="6">
        <v>0</v>
      </c>
      <c r="Q757" s="6">
        <f t="shared" ca="1" si="35"/>
        <v>51</v>
      </c>
      <c r="R757" s="6">
        <f t="shared" si="33"/>
        <v>10748.21</v>
      </c>
      <c r="S757" s="7" t="str">
        <f t="shared" si="34"/>
        <v>Profit</v>
      </c>
    </row>
    <row r="758" spans="1:19" x14ac:dyDescent="0.3">
      <c r="A758" s="4" t="s">
        <v>1557</v>
      </c>
      <c r="B758" s="5">
        <v>44981</v>
      </c>
      <c r="C758" s="6" t="s">
        <v>1558</v>
      </c>
      <c r="D758" s="6" t="s">
        <v>56</v>
      </c>
      <c r="E758" s="6">
        <v>15996</v>
      </c>
      <c r="F758" s="6">
        <v>6.4</v>
      </c>
      <c r="G758" s="6">
        <v>36</v>
      </c>
      <c r="H758" s="6" t="s">
        <v>19</v>
      </c>
      <c r="I758" s="6" t="s">
        <v>72</v>
      </c>
      <c r="J758" s="6" t="s">
        <v>47</v>
      </c>
      <c r="K758" s="6">
        <v>134135</v>
      </c>
      <c r="L758" s="6" t="s">
        <v>22</v>
      </c>
      <c r="M758" s="6">
        <v>0.45</v>
      </c>
      <c r="N758" s="6">
        <v>0.53</v>
      </c>
      <c r="O758" s="6">
        <v>17019.740000000002</v>
      </c>
      <c r="P758" s="6">
        <v>0</v>
      </c>
      <c r="Q758" s="6">
        <f t="shared" ca="1" si="35"/>
        <v>36</v>
      </c>
      <c r="R758" s="6">
        <f t="shared" si="33"/>
        <v>-1023.7400000000016</v>
      </c>
      <c r="S758" s="7" t="str">
        <f t="shared" si="34"/>
        <v>Loss</v>
      </c>
    </row>
    <row r="759" spans="1:19" x14ac:dyDescent="0.3">
      <c r="A759" s="4" t="s">
        <v>1559</v>
      </c>
      <c r="B759" s="5">
        <v>44973</v>
      </c>
      <c r="C759" s="6" t="s">
        <v>1560</v>
      </c>
      <c r="D759" s="6" t="s">
        <v>75</v>
      </c>
      <c r="E759" s="6">
        <v>12695</v>
      </c>
      <c r="F759" s="6">
        <v>5.0999999999999996</v>
      </c>
      <c r="G759" s="6">
        <v>60</v>
      </c>
      <c r="H759" s="6" t="s">
        <v>19</v>
      </c>
      <c r="I759" s="6" t="s">
        <v>27</v>
      </c>
      <c r="J759" s="6" t="s">
        <v>28</v>
      </c>
      <c r="K759" s="6">
        <v>55832</v>
      </c>
      <c r="L759" s="6" t="s">
        <v>33</v>
      </c>
      <c r="M759" s="6">
        <v>0.16</v>
      </c>
      <c r="N759" s="6">
        <v>0.77</v>
      </c>
      <c r="O759" s="6">
        <v>13342.44</v>
      </c>
      <c r="P759" s="6">
        <v>0</v>
      </c>
      <c r="Q759" s="6">
        <f t="shared" ca="1" si="35"/>
        <v>37</v>
      </c>
      <c r="R759" s="6">
        <f t="shared" si="33"/>
        <v>-647.44000000000051</v>
      </c>
      <c r="S759" s="7" t="str">
        <f t="shared" si="34"/>
        <v>Loss</v>
      </c>
    </row>
    <row r="760" spans="1:19" x14ac:dyDescent="0.3">
      <c r="A760" s="4" t="s">
        <v>1561</v>
      </c>
      <c r="B760" s="5">
        <v>45107</v>
      </c>
      <c r="C760" s="6" t="s">
        <v>1562</v>
      </c>
      <c r="D760" s="6" t="s">
        <v>53</v>
      </c>
      <c r="E760" s="6">
        <v>3852</v>
      </c>
      <c r="F760" s="6">
        <v>23.7</v>
      </c>
      <c r="G760" s="6">
        <v>60</v>
      </c>
      <c r="H760" s="6" t="s">
        <v>19</v>
      </c>
      <c r="I760" s="6" t="s">
        <v>72</v>
      </c>
      <c r="J760" s="6" t="s">
        <v>32</v>
      </c>
      <c r="K760" s="6">
        <v>138464</v>
      </c>
      <c r="L760" s="6" t="s">
        <v>33</v>
      </c>
      <c r="M760" s="6">
        <v>0.16</v>
      </c>
      <c r="N760" s="6">
        <v>0.87</v>
      </c>
      <c r="O760" s="6">
        <v>4764.92</v>
      </c>
      <c r="P760" s="6">
        <v>0</v>
      </c>
      <c r="Q760" s="6">
        <f t="shared" ca="1" si="35"/>
        <v>32</v>
      </c>
      <c r="R760" s="6">
        <f t="shared" si="33"/>
        <v>-912.92000000000007</v>
      </c>
      <c r="S760" s="7" t="str">
        <f t="shared" si="34"/>
        <v>Loss</v>
      </c>
    </row>
    <row r="761" spans="1:19" x14ac:dyDescent="0.3">
      <c r="A761" s="4" t="s">
        <v>1563</v>
      </c>
      <c r="B761" s="5">
        <v>44514</v>
      </c>
      <c r="C761" s="6" t="s">
        <v>1564</v>
      </c>
      <c r="D761" s="6" t="s">
        <v>50</v>
      </c>
      <c r="E761" s="6">
        <v>17014</v>
      </c>
      <c r="F761" s="6">
        <v>21.4</v>
      </c>
      <c r="G761" s="6">
        <v>36</v>
      </c>
      <c r="H761" s="6" t="s">
        <v>19</v>
      </c>
      <c r="I761" s="6" t="s">
        <v>72</v>
      </c>
      <c r="J761" s="6" t="s">
        <v>32</v>
      </c>
      <c r="K761" s="6">
        <v>116242</v>
      </c>
      <c r="L761" s="6" t="s">
        <v>33</v>
      </c>
      <c r="M761" s="6">
        <v>0.23</v>
      </c>
      <c r="N761" s="6">
        <v>0.89</v>
      </c>
      <c r="O761" s="6">
        <v>20655</v>
      </c>
      <c r="P761" s="6">
        <v>0</v>
      </c>
      <c r="Q761" s="6">
        <f t="shared" ca="1" si="35"/>
        <v>52</v>
      </c>
      <c r="R761" s="6">
        <f t="shared" si="33"/>
        <v>-3641</v>
      </c>
      <c r="S761" s="7" t="str">
        <f t="shared" si="34"/>
        <v>Loss</v>
      </c>
    </row>
    <row r="762" spans="1:19" x14ac:dyDescent="0.3">
      <c r="A762" s="4" t="s">
        <v>1565</v>
      </c>
      <c r="B762" s="5">
        <v>44432</v>
      </c>
      <c r="C762" s="6" t="s">
        <v>1566</v>
      </c>
      <c r="D762" s="6" t="s">
        <v>46</v>
      </c>
      <c r="E762" s="6">
        <v>28042</v>
      </c>
      <c r="F762" s="6">
        <v>21.2</v>
      </c>
      <c r="G762" s="6">
        <v>60</v>
      </c>
      <c r="H762" s="6" t="s">
        <v>19</v>
      </c>
      <c r="I762" s="6" t="s">
        <v>72</v>
      </c>
      <c r="J762" s="6" t="s">
        <v>21</v>
      </c>
      <c r="K762" s="6">
        <v>43682</v>
      </c>
      <c r="L762" s="6" t="s">
        <v>33</v>
      </c>
      <c r="M762" s="6">
        <v>0.12</v>
      </c>
      <c r="N762" s="6">
        <v>0.71</v>
      </c>
      <c r="O762" s="6">
        <v>33986.9</v>
      </c>
      <c r="P762" s="6">
        <v>0</v>
      </c>
      <c r="Q762" s="6">
        <f t="shared" ca="1" si="35"/>
        <v>54</v>
      </c>
      <c r="R762" s="6">
        <f t="shared" si="33"/>
        <v>-5944.9000000000015</v>
      </c>
      <c r="S762" s="7" t="str">
        <f t="shared" si="34"/>
        <v>Loss</v>
      </c>
    </row>
    <row r="763" spans="1:19" x14ac:dyDescent="0.3">
      <c r="A763" s="4" t="s">
        <v>1567</v>
      </c>
      <c r="B763" s="5">
        <v>44530</v>
      </c>
      <c r="C763" s="6" t="s">
        <v>1568</v>
      </c>
      <c r="D763" s="6" t="s">
        <v>71</v>
      </c>
      <c r="E763" s="6">
        <v>34755</v>
      </c>
      <c r="F763" s="6">
        <v>22.7</v>
      </c>
      <c r="G763" s="6">
        <v>36</v>
      </c>
      <c r="H763" s="6" t="s">
        <v>19</v>
      </c>
      <c r="I763" s="6" t="s">
        <v>57</v>
      </c>
      <c r="J763" s="6" t="s">
        <v>21</v>
      </c>
      <c r="K763" s="6">
        <v>122298</v>
      </c>
      <c r="L763" s="6" t="s">
        <v>22</v>
      </c>
      <c r="M763" s="6">
        <v>0.17</v>
      </c>
      <c r="N763" s="6">
        <v>0.85</v>
      </c>
      <c r="O763" s="6">
        <v>42644.38</v>
      </c>
      <c r="P763" s="6">
        <v>0</v>
      </c>
      <c r="Q763" s="6">
        <f t="shared" ca="1" si="35"/>
        <v>51</v>
      </c>
      <c r="R763" s="6">
        <f t="shared" si="33"/>
        <v>-7889.3799999999974</v>
      </c>
      <c r="S763" s="7" t="str">
        <f t="shared" si="34"/>
        <v>Loss</v>
      </c>
    </row>
    <row r="764" spans="1:19" x14ac:dyDescent="0.3">
      <c r="A764" s="4" t="s">
        <v>1569</v>
      </c>
      <c r="B764" s="5">
        <v>44572</v>
      </c>
      <c r="C764" s="6" t="s">
        <v>1570</v>
      </c>
      <c r="D764" s="6" t="s">
        <v>25</v>
      </c>
      <c r="E764" s="6">
        <v>24711</v>
      </c>
      <c r="F764" s="6">
        <v>19</v>
      </c>
      <c r="G764" s="6">
        <v>36</v>
      </c>
      <c r="H764" s="6" t="s">
        <v>19</v>
      </c>
      <c r="I764" s="6" t="s">
        <v>57</v>
      </c>
      <c r="J764" s="6" t="s">
        <v>32</v>
      </c>
      <c r="K764" s="6">
        <v>53383</v>
      </c>
      <c r="L764" s="6" t="s">
        <v>29</v>
      </c>
      <c r="M764" s="6">
        <v>0.49</v>
      </c>
      <c r="N764" s="6">
        <v>0.93</v>
      </c>
      <c r="O764" s="6">
        <v>29406.09</v>
      </c>
      <c r="P764" s="6">
        <v>0</v>
      </c>
      <c r="Q764" s="6">
        <f t="shared" ca="1" si="35"/>
        <v>50</v>
      </c>
      <c r="R764" s="6">
        <f t="shared" si="33"/>
        <v>-4695.09</v>
      </c>
      <c r="S764" s="7" t="str">
        <f t="shared" si="34"/>
        <v>Loss</v>
      </c>
    </row>
    <row r="765" spans="1:19" x14ac:dyDescent="0.3">
      <c r="A765" s="4" t="s">
        <v>1571</v>
      </c>
      <c r="B765" s="5">
        <v>44784</v>
      </c>
      <c r="C765" s="6" t="s">
        <v>1572</v>
      </c>
      <c r="D765" s="6" t="s">
        <v>46</v>
      </c>
      <c r="E765" s="6">
        <v>27122</v>
      </c>
      <c r="F765" s="6">
        <v>7.1</v>
      </c>
      <c r="G765" s="6">
        <v>60</v>
      </c>
      <c r="H765" s="6" t="s">
        <v>19</v>
      </c>
      <c r="I765" s="6" t="s">
        <v>72</v>
      </c>
      <c r="J765" s="6" t="s">
        <v>28</v>
      </c>
      <c r="K765" s="6">
        <v>88160</v>
      </c>
      <c r="L765" s="6" t="s">
        <v>33</v>
      </c>
      <c r="M765" s="6">
        <v>0.27</v>
      </c>
      <c r="N765" s="6">
        <v>0.62</v>
      </c>
      <c r="O765" s="6">
        <v>29047.66</v>
      </c>
      <c r="P765" s="6">
        <v>0</v>
      </c>
      <c r="Q765" s="6">
        <f t="shared" ca="1" si="35"/>
        <v>43</v>
      </c>
      <c r="R765" s="6">
        <f t="shared" si="33"/>
        <v>-1925.6599999999999</v>
      </c>
      <c r="S765" s="7" t="str">
        <f t="shared" si="34"/>
        <v>Loss</v>
      </c>
    </row>
    <row r="766" spans="1:19" x14ac:dyDescent="0.3">
      <c r="A766" s="4" t="s">
        <v>1573</v>
      </c>
      <c r="B766" s="5">
        <v>44709</v>
      </c>
      <c r="C766" s="6" t="s">
        <v>1574</v>
      </c>
      <c r="D766" s="6" t="s">
        <v>53</v>
      </c>
      <c r="E766" s="6">
        <v>10160</v>
      </c>
      <c r="F766" s="6">
        <v>13</v>
      </c>
      <c r="G766" s="6">
        <v>60</v>
      </c>
      <c r="H766" s="6" t="s">
        <v>26</v>
      </c>
      <c r="I766" s="6" t="s">
        <v>20</v>
      </c>
      <c r="J766" s="6" t="s">
        <v>32</v>
      </c>
      <c r="K766" s="6">
        <v>123332</v>
      </c>
      <c r="L766" s="6" t="s">
        <v>33</v>
      </c>
      <c r="M766" s="6">
        <v>0.35</v>
      </c>
      <c r="N766" s="6">
        <v>0.68</v>
      </c>
      <c r="O766" s="6">
        <v>1593.02</v>
      </c>
      <c r="P766" s="6">
        <v>0</v>
      </c>
      <c r="Q766" s="6">
        <f t="shared" ca="1" si="35"/>
        <v>45</v>
      </c>
      <c r="R766" s="6">
        <f t="shared" si="33"/>
        <v>8566.98</v>
      </c>
      <c r="S766" s="7" t="str">
        <f t="shared" si="34"/>
        <v>Profit</v>
      </c>
    </row>
    <row r="767" spans="1:19" x14ac:dyDescent="0.3">
      <c r="A767" s="4" t="s">
        <v>1575</v>
      </c>
      <c r="B767" s="5">
        <v>45114</v>
      </c>
      <c r="C767" s="6" t="s">
        <v>1576</v>
      </c>
      <c r="D767" s="6" t="s">
        <v>50</v>
      </c>
      <c r="E767" s="6">
        <v>28213</v>
      </c>
      <c r="F767" s="6">
        <v>19.5</v>
      </c>
      <c r="G767" s="6">
        <v>60</v>
      </c>
      <c r="H767" s="6" t="s">
        <v>26</v>
      </c>
      <c r="I767" s="6" t="s">
        <v>57</v>
      </c>
      <c r="J767" s="6" t="s">
        <v>21</v>
      </c>
      <c r="K767" s="6">
        <v>53666</v>
      </c>
      <c r="L767" s="6" t="s">
        <v>29</v>
      </c>
      <c r="M767" s="6">
        <v>0.39</v>
      </c>
      <c r="N767" s="6">
        <v>0.92</v>
      </c>
      <c r="O767" s="6">
        <v>5075.51</v>
      </c>
      <c r="P767" s="6">
        <v>0</v>
      </c>
      <c r="Q767" s="6">
        <f t="shared" ca="1" si="35"/>
        <v>32</v>
      </c>
      <c r="R767" s="6">
        <f t="shared" si="33"/>
        <v>23137.489999999998</v>
      </c>
      <c r="S767" s="7" t="str">
        <f t="shared" si="34"/>
        <v>Profit</v>
      </c>
    </row>
    <row r="768" spans="1:19" x14ac:dyDescent="0.3">
      <c r="A768" s="4" t="s">
        <v>1577</v>
      </c>
      <c r="B768" s="5">
        <v>45069</v>
      </c>
      <c r="C768" s="6" t="s">
        <v>1578</v>
      </c>
      <c r="D768" s="6" t="s">
        <v>56</v>
      </c>
      <c r="E768" s="6">
        <v>8421</v>
      </c>
      <c r="F768" s="6">
        <v>10.6</v>
      </c>
      <c r="G768" s="6">
        <v>36</v>
      </c>
      <c r="H768" s="6" t="s">
        <v>19</v>
      </c>
      <c r="I768" s="6" t="s">
        <v>57</v>
      </c>
      <c r="J768" s="6" t="s">
        <v>32</v>
      </c>
      <c r="K768" s="6">
        <v>88817</v>
      </c>
      <c r="L768" s="6" t="s">
        <v>29</v>
      </c>
      <c r="M768" s="6">
        <v>0.25</v>
      </c>
      <c r="N768" s="6">
        <v>0.65</v>
      </c>
      <c r="O768" s="6">
        <v>9313.6299999999992</v>
      </c>
      <c r="P768" s="6">
        <v>0</v>
      </c>
      <c r="Q768" s="6">
        <f t="shared" ca="1" si="35"/>
        <v>33</v>
      </c>
      <c r="R768" s="6">
        <f t="shared" si="33"/>
        <v>-892.6299999999992</v>
      </c>
      <c r="S768" s="7" t="str">
        <f t="shared" si="34"/>
        <v>Loss</v>
      </c>
    </row>
    <row r="769" spans="1:19" x14ac:dyDescent="0.3">
      <c r="A769" s="4" t="s">
        <v>1579</v>
      </c>
      <c r="B769" s="5">
        <v>44466</v>
      </c>
      <c r="C769" s="6" t="s">
        <v>1580</v>
      </c>
      <c r="D769" s="6" t="s">
        <v>25</v>
      </c>
      <c r="E769" s="6">
        <v>22400</v>
      </c>
      <c r="F769" s="6">
        <v>18.7</v>
      </c>
      <c r="G769" s="6">
        <v>36</v>
      </c>
      <c r="H769" s="6" t="s">
        <v>26</v>
      </c>
      <c r="I769" s="6" t="s">
        <v>72</v>
      </c>
      <c r="J769" s="6" t="s">
        <v>21</v>
      </c>
      <c r="K769" s="6">
        <v>121198</v>
      </c>
      <c r="L769" s="6" t="s">
        <v>33</v>
      </c>
      <c r="M769" s="6">
        <v>0.16</v>
      </c>
      <c r="N769" s="6">
        <v>0.91</v>
      </c>
      <c r="O769" s="6">
        <v>10574.92</v>
      </c>
      <c r="P769" s="6">
        <v>0</v>
      </c>
      <c r="Q769" s="6">
        <f t="shared" ca="1" si="35"/>
        <v>53</v>
      </c>
      <c r="R769" s="6">
        <f t="shared" si="33"/>
        <v>11825.08</v>
      </c>
      <c r="S769" s="7" t="str">
        <f t="shared" si="34"/>
        <v>Profit</v>
      </c>
    </row>
    <row r="770" spans="1:19" x14ac:dyDescent="0.3">
      <c r="A770" s="4" t="s">
        <v>1581</v>
      </c>
      <c r="B770" s="5">
        <v>44994</v>
      </c>
      <c r="C770" s="6" t="s">
        <v>1582</v>
      </c>
      <c r="D770" s="6" t="s">
        <v>71</v>
      </c>
      <c r="E770" s="6">
        <v>34537</v>
      </c>
      <c r="F770" s="6">
        <v>5.5</v>
      </c>
      <c r="G770" s="6">
        <v>36</v>
      </c>
      <c r="H770" s="6" t="s">
        <v>26</v>
      </c>
      <c r="I770" s="6" t="s">
        <v>20</v>
      </c>
      <c r="J770" s="6" t="s">
        <v>32</v>
      </c>
      <c r="K770" s="6">
        <v>140695</v>
      </c>
      <c r="L770" s="6" t="s">
        <v>33</v>
      </c>
      <c r="M770" s="6">
        <v>0.18</v>
      </c>
      <c r="N770" s="6">
        <v>0.94</v>
      </c>
      <c r="O770" s="6">
        <v>14559.15</v>
      </c>
      <c r="P770" s="6">
        <v>0</v>
      </c>
      <c r="Q770" s="6">
        <f t="shared" ca="1" si="35"/>
        <v>36</v>
      </c>
      <c r="R770" s="6">
        <f t="shared" ref="R770:R833" si="36">E770-O770</f>
        <v>19977.849999999999</v>
      </c>
      <c r="S770" s="7" t="str">
        <f t="shared" ref="S770:S833" si="37">IF(R770&gt;=0, "Profit","Loss")</f>
        <v>Profit</v>
      </c>
    </row>
    <row r="771" spans="1:19" x14ac:dyDescent="0.3">
      <c r="A771" s="4" t="s">
        <v>1583</v>
      </c>
      <c r="B771" s="5">
        <v>44921</v>
      </c>
      <c r="C771" s="6" t="s">
        <v>1584</v>
      </c>
      <c r="D771" s="6" t="s">
        <v>56</v>
      </c>
      <c r="E771" s="6">
        <v>18727</v>
      </c>
      <c r="F771" s="6">
        <v>11.1</v>
      </c>
      <c r="G771" s="6">
        <v>60</v>
      </c>
      <c r="H771" s="6" t="s">
        <v>26</v>
      </c>
      <c r="I771" s="6" t="s">
        <v>83</v>
      </c>
      <c r="J771" s="6" t="s">
        <v>37</v>
      </c>
      <c r="K771" s="6">
        <v>64642</v>
      </c>
      <c r="L771" s="6" t="s">
        <v>29</v>
      </c>
      <c r="M771" s="6">
        <v>0.23</v>
      </c>
      <c r="N771" s="6">
        <v>0.8</v>
      </c>
      <c r="O771" s="6">
        <v>6816.79</v>
      </c>
      <c r="P771" s="6">
        <v>0</v>
      </c>
      <c r="Q771" s="6">
        <f t="shared" ref="Q771:Q834" ca="1" si="38">DATEDIF(B771,TODAY(),"M")</f>
        <v>38</v>
      </c>
      <c r="R771" s="6">
        <f t="shared" si="36"/>
        <v>11910.21</v>
      </c>
      <c r="S771" s="7" t="str">
        <f t="shared" si="37"/>
        <v>Profit</v>
      </c>
    </row>
    <row r="772" spans="1:19" x14ac:dyDescent="0.3">
      <c r="A772" s="4" t="s">
        <v>1585</v>
      </c>
      <c r="B772" s="5">
        <v>44201</v>
      </c>
      <c r="C772" s="6" t="s">
        <v>1586</v>
      </c>
      <c r="D772" s="6" t="s">
        <v>18</v>
      </c>
      <c r="E772" s="6">
        <v>5358</v>
      </c>
      <c r="F772" s="6">
        <v>16</v>
      </c>
      <c r="G772" s="6">
        <v>60</v>
      </c>
      <c r="H772" s="6" t="s">
        <v>26</v>
      </c>
      <c r="I772" s="6" t="s">
        <v>72</v>
      </c>
      <c r="J772" s="6" t="s">
        <v>21</v>
      </c>
      <c r="K772" s="6">
        <v>71830</v>
      </c>
      <c r="L772" s="6" t="s">
        <v>33</v>
      </c>
      <c r="M772" s="6">
        <v>0.35</v>
      </c>
      <c r="N772" s="6">
        <v>0.87</v>
      </c>
      <c r="O772" s="6">
        <v>466.17</v>
      </c>
      <c r="P772" s="6">
        <v>0</v>
      </c>
      <c r="Q772" s="6">
        <f t="shared" ca="1" si="38"/>
        <v>62</v>
      </c>
      <c r="R772" s="6">
        <f t="shared" si="36"/>
        <v>4891.83</v>
      </c>
      <c r="S772" s="7" t="str">
        <f t="shared" si="37"/>
        <v>Profit</v>
      </c>
    </row>
    <row r="773" spans="1:19" x14ac:dyDescent="0.3">
      <c r="A773" s="4" t="s">
        <v>1587</v>
      </c>
      <c r="B773" s="5">
        <v>45047</v>
      </c>
      <c r="C773" s="6" t="s">
        <v>1588</v>
      </c>
      <c r="D773" s="6" t="s">
        <v>50</v>
      </c>
      <c r="E773" s="6">
        <v>29482</v>
      </c>
      <c r="F773" s="6">
        <v>17.600000000000001</v>
      </c>
      <c r="G773" s="6">
        <v>60</v>
      </c>
      <c r="H773" s="6" t="s">
        <v>19</v>
      </c>
      <c r="I773" s="6" t="s">
        <v>27</v>
      </c>
      <c r="J773" s="6" t="s">
        <v>28</v>
      </c>
      <c r="K773" s="6">
        <v>133067</v>
      </c>
      <c r="L773" s="6" t="s">
        <v>33</v>
      </c>
      <c r="M773" s="6">
        <v>0.26</v>
      </c>
      <c r="N773" s="6">
        <v>0.84</v>
      </c>
      <c r="O773" s="6">
        <v>34670.83</v>
      </c>
      <c r="P773" s="6">
        <v>0</v>
      </c>
      <c r="Q773" s="6">
        <f t="shared" ca="1" si="38"/>
        <v>34</v>
      </c>
      <c r="R773" s="6">
        <f t="shared" si="36"/>
        <v>-5188.8300000000017</v>
      </c>
      <c r="S773" s="7" t="str">
        <f t="shared" si="37"/>
        <v>Loss</v>
      </c>
    </row>
    <row r="774" spans="1:19" x14ac:dyDescent="0.3">
      <c r="A774" s="4" t="s">
        <v>1589</v>
      </c>
      <c r="B774" s="5">
        <v>44274</v>
      </c>
      <c r="C774" s="6" t="s">
        <v>1590</v>
      </c>
      <c r="D774" s="6" t="s">
        <v>46</v>
      </c>
      <c r="E774" s="6">
        <v>33117</v>
      </c>
      <c r="F774" s="6">
        <v>16.5</v>
      </c>
      <c r="G774" s="6">
        <v>60</v>
      </c>
      <c r="H774" s="6" t="s">
        <v>80</v>
      </c>
      <c r="I774" s="6" t="s">
        <v>27</v>
      </c>
      <c r="J774" s="6" t="s">
        <v>37</v>
      </c>
      <c r="K774" s="6">
        <v>40234</v>
      </c>
      <c r="L774" s="6" t="s">
        <v>22</v>
      </c>
      <c r="M774" s="6">
        <v>0.1</v>
      </c>
      <c r="N774" s="6">
        <v>0.81</v>
      </c>
      <c r="O774" s="6">
        <v>7467.2</v>
      </c>
      <c r="P774" s="6">
        <v>5237.4799999999996</v>
      </c>
      <c r="Q774" s="6">
        <f t="shared" ca="1" si="38"/>
        <v>60</v>
      </c>
      <c r="R774" s="6">
        <f t="shared" si="36"/>
        <v>25649.8</v>
      </c>
      <c r="S774" s="7" t="str">
        <f t="shared" si="37"/>
        <v>Profit</v>
      </c>
    </row>
    <row r="775" spans="1:19" x14ac:dyDescent="0.3">
      <c r="A775" s="4" t="s">
        <v>1591</v>
      </c>
      <c r="B775" s="5">
        <v>44770</v>
      </c>
      <c r="C775" s="6" t="s">
        <v>1592</v>
      </c>
      <c r="D775" s="6" t="s">
        <v>25</v>
      </c>
      <c r="E775" s="6">
        <v>24164</v>
      </c>
      <c r="F775" s="6">
        <v>19</v>
      </c>
      <c r="G775" s="6">
        <v>36</v>
      </c>
      <c r="H775" s="6" t="s">
        <v>19</v>
      </c>
      <c r="I775" s="6" t="s">
        <v>57</v>
      </c>
      <c r="J775" s="6" t="s">
        <v>32</v>
      </c>
      <c r="K775" s="6">
        <v>87616</v>
      </c>
      <c r="L775" s="6" t="s">
        <v>29</v>
      </c>
      <c r="M775" s="6">
        <v>0.31</v>
      </c>
      <c r="N775" s="6">
        <v>0.64</v>
      </c>
      <c r="O775" s="6">
        <v>28755.16</v>
      </c>
      <c r="P775" s="6">
        <v>0</v>
      </c>
      <c r="Q775" s="6">
        <f t="shared" ca="1" si="38"/>
        <v>43</v>
      </c>
      <c r="R775" s="6">
        <f t="shared" si="36"/>
        <v>-4591.16</v>
      </c>
      <c r="S775" s="7" t="str">
        <f t="shared" si="37"/>
        <v>Loss</v>
      </c>
    </row>
    <row r="776" spans="1:19" x14ac:dyDescent="0.3">
      <c r="A776" s="4" t="s">
        <v>1593</v>
      </c>
      <c r="B776" s="5">
        <v>44328</v>
      </c>
      <c r="C776" s="6" t="s">
        <v>1594</v>
      </c>
      <c r="D776" s="6" t="s">
        <v>25</v>
      </c>
      <c r="E776" s="6">
        <v>32910</v>
      </c>
      <c r="F776" s="6">
        <v>5.0999999999999996</v>
      </c>
      <c r="G776" s="6">
        <v>36</v>
      </c>
      <c r="H776" s="6" t="s">
        <v>19</v>
      </c>
      <c r="I776" s="6" t="s">
        <v>72</v>
      </c>
      <c r="J776" s="6" t="s">
        <v>21</v>
      </c>
      <c r="K776" s="6">
        <v>39221</v>
      </c>
      <c r="L776" s="6" t="s">
        <v>22</v>
      </c>
      <c r="M776" s="6">
        <v>0.47</v>
      </c>
      <c r="N776" s="6">
        <v>0.53</v>
      </c>
      <c r="O776" s="6">
        <v>34588.410000000003</v>
      </c>
      <c r="P776" s="6">
        <v>0</v>
      </c>
      <c r="Q776" s="6">
        <f t="shared" ca="1" si="38"/>
        <v>58</v>
      </c>
      <c r="R776" s="6">
        <f t="shared" si="36"/>
        <v>-1678.4100000000035</v>
      </c>
      <c r="S776" s="7" t="str">
        <f t="shared" si="37"/>
        <v>Loss</v>
      </c>
    </row>
    <row r="777" spans="1:19" x14ac:dyDescent="0.3">
      <c r="A777" s="4" t="s">
        <v>1595</v>
      </c>
      <c r="B777" s="5">
        <v>44797</v>
      </c>
      <c r="C777" s="6" t="s">
        <v>1596</v>
      </c>
      <c r="D777" s="6" t="s">
        <v>53</v>
      </c>
      <c r="E777" s="6">
        <v>33496</v>
      </c>
      <c r="F777" s="6">
        <v>7</v>
      </c>
      <c r="G777" s="6">
        <v>36</v>
      </c>
      <c r="H777" s="6" t="s">
        <v>26</v>
      </c>
      <c r="I777" s="6" t="s">
        <v>36</v>
      </c>
      <c r="J777" s="6" t="s">
        <v>37</v>
      </c>
      <c r="K777" s="6">
        <v>41410</v>
      </c>
      <c r="L777" s="6" t="s">
        <v>22</v>
      </c>
      <c r="M777" s="6">
        <v>0.42</v>
      </c>
      <c r="N777" s="6">
        <v>0.65</v>
      </c>
      <c r="O777" s="6">
        <v>10105.27</v>
      </c>
      <c r="P777" s="6">
        <v>0</v>
      </c>
      <c r="Q777" s="6">
        <f t="shared" ca="1" si="38"/>
        <v>42</v>
      </c>
      <c r="R777" s="6">
        <f t="shared" si="36"/>
        <v>23390.73</v>
      </c>
      <c r="S777" s="7" t="str">
        <f t="shared" si="37"/>
        <v>Profit</v>
      </c>
    </row>
    <row r="778" spans="1:19" x14ac:dyDescent="0.3">
      <c r="A778" s="4" t="s">
        <v>1597</v>
      </c>
      <c r="B778" s="5">
        <v>45262</v>
      </c>
      <c r="C778" s="6" t="s">
        <v>1598</v>
      </c>
      <c r="D778" s="6" t="s">
        <v>71</v>
      </c>
      <c r="E778" s="6">
        <v>30371</v>
      </c>
      <c r="F778" s="6">
        <v>22.4</v>
      </c>
      <c r="G778" s="6">
        <v>36</v>
      </c>
      <c r="H778" s="6" t="s">
        <v>19</v>
      </c>
      <c r="I778" s="6" t="s">
        <v>27</v>
      </c>
      <c r="J778" s="6" t="s">
        <v>28</v>
      </c>
      <c r="K778" s="6">
        <v>110055</v>
      </c>
      <c r="L778" s="6" t="s">
        <v>29</v>
      </c>
      <c r="M778" s="6">
        <v>0.43</v>
      </c>
      <c r="N778" s="6">
        <v>0.8</v>
      </c>
      <c r="O778" s="6">
        <v>37174.1</v>
      </c>
      <c r="P778" s="6">
        <v>0</v>
      </c>
      <c r="Q778" s="6">
        <f t="shared" ca="1" si="38"/>
        <v>27</v>
      </c>
      <c r="R778" s="6">
        <f t="shared" si="36"/>
        <v>-6803.0999999999985</v>
      </c>
      <c r="S778" s="7" t="str">
        <f t="shared" si="37"/>
        <v>Loss</v>
      </c>
    </row>
    <row r="779" spans="1:19" x14ac:dyDescent="0.3">
      <c r="A779" s="4" t="s">
        <v>1599</v>
      </c>
      <c r="B779" s="5">
        <v>44285</v>
      </c>
      <c r="C779" s="6" t="s">
        <v>1600</v>
      </c>
      <c r="D779" s="6" t="s">
        <v>40</v>
      </c>
      <c r="E779" s="6">
        <v>39467</v>
      </c>
      <c r="F779" s="6">
        <v>18.600000000000001</v>
      </c>
      <c r="G779" s="6">
        <v>60</v>
      </c>
      <c r="H779" s="6" t="s">
        <v>19</v>
      </c>
      <c r="I779" s="6" t="s">
        <v>41</v>
      </c>
      <c r="J779" s="6" t="s">
        <v>21</v>
      </c>
      <c r="K779" s="6">
        <v>91413</v>
      </c>
      <c r="L779" s="6" t="s">
        <v>22</v>
      </c>
      <c r="M779" s="6">
        <v>0.42</v>
      </c>
      <c r="N779" s="6">
        <v>0.55000000000000004</v>
      </c>
      <c r="O779" s="6">
        <v>46807.86</v>
      </c>
      <c r="P779" s="6">
        <v>0</v>
      </c>
      <c r="Q779" s="6">
        <f t="shared" ca="1" si="38"/>
        <v>59</v>
      </c>
      <c r="R779" s="6">
        <f t="shared" si="36"/>
        <v>-7340.8600000000006</v>
      </c>
      <c r="S779" s="7" t="str">
        <f t="shared" si="37"/>
        <v>Loss</v>
      </c>
    </row>
    <row r="780" spans="1:19" x14ac:dyDescent="0.3">
      <c r="A780" s="4" t="s">
        <v>1601</v>
      </c>
      <c r="B780" s="5">
        <v>44598</v>
      </c>
      <c r="C780" s="6" t="s">
        <v>1602</v>
      </c>
      <c r="D780" s="6" t="s">
        <v>18</v>
      </c>
      <c r="E780" s="6">
        <v>18625</v>
      </c>
      <c r="F780" s="6">
        <v>7.3</v>
      </c>
      <c r="G780" s="6">
        <v>60</v>
      </c>
      <c r="H780" s="6" t="s">
        <v>26</v>
      </c>
      <c r="I780" s="6" t="s">
        <v>27</v>
      </c>
      <c r="J780" s="6" t="s">
        <v>37</v>
      </c>
      <c r="K780" s="6">
        <v>31051</v>
      </c>
      <c r="L780" s="6" t="s">
        <v>33</v>
      </c>
      <c r="M780" s="6">
        <v>0.23</v>
      </c>
      <c r="N780" s="6">
        <v>0.51</v>
      </c>
      <c r="O780" s="6">
        <v>2501.9899999999998</v>
      </c>
      <c r="P780" s="6">
        <v>0</v>
      </c>
      <c r="Q780" s="6">
        <f t="shared" ca="1" si="38"/>
        <v>49</v>
      </c>
      <c r="R780" s="6">
        <f t="shared" si="36"/>
        <v>16123.01</v>
      </c>
      <c r="S780" s="7" t="str">
        <f t="shared" si="37"/>
        <v>Profit</v>
      </c>
    </row>
    <row r="781" spans="1:19" x14ac:dyDescent="0.3">
      <c r="A781" s="4" t="s">
        <v>1603</v>
      </c>
      <c r="B781" s="5">
        <v>44492</v>
      </c>
      <c r="C781" s="6" t="s">
        <v>1604</v>
      </c>
      <c r="D781" s="6" t="s">
        <v>56</v>
      </c>
      <c r="E781" s="6">
        <v>34893</v>
      </c>
      <c r="F781" s="6">
        <v>21.8</v>
      </c>
      <c r="G781" s="6">
        <v>60</v>
      </c>
      <c r="H781" s="6" t="s">
        <v>26</v>
      </c>
      <c r="I781" s="6" t="s">
        <v>20</v>
      </c>
      <c r="J781" s="6" t="s">
        <v>37</v>
      </c>
      <c r="K781" s="6">
        <v>140529</v>
      </c>
      <c r="L781" s="6" t="s">
        <v>22</v>
      </c>
      <c r="M781" s="6">
        <v>0.41</v>
      </c>
      <c r="N781" s="6">
        <v>0.56000000000000005</v>
      </c>
      <c r="O781" s="6">
        <v>8782.64</v>
      </c>
      <c r="P781" s="6">
        <v>0</v>
      </c>
      <c r="Q781" s="6">
        <f t="shared" ca="1" si="38"/>
        <v>52</v>
      </c>
      <c r="R781" s="6">
        <f t="shared" si="36"/>
        <v>26110.36</v>
      </c>
      <c r="S781" s="7" t="str">
        <f t="shared" si="37"/>
        <v>Profit</v>
      </c>
    </row>
    <row r="782" spans="1:19" x14ac:dyDescent="0.3">
      <c r="A782" s="4" t="s">
        <v>1605</v>
      </c>
      <c r="B782" s="5">
        <v>44812</v>
      </c>
      <c r="C782" s="6" t="s">
        <v>1606</v>
      </c>
      <c r="D782" s="6" t="s">
        <v>75</v>
      </c>
      <c r="E782" s="6">
        <v>11793</v>
      </c>
      <c r="F782" s="6">
        <v>9.8000000000000007</v>
      </c>
      <c r="G782" s="6">
        <v>36</v>
      </c>
      <c r="H782" s="6" t="s">
        <v>26</v>
      </c>
      <c r="I782" s="6" t="s">
        <v>20</v>
      </c>
      <c r="J782" s="6" t="s">
        <v>37</v>
      </c>
      <c r="K782" s="6">
        <v>105301</v>
      </c>
      <c r="L782" s="6" t="s">
        <v>29</v>
      </c>
      <c r="M782" s="6">
        <v>0.16</v>
      </c>
      <c r="N782" s="6">
        <v>0.82</v>
      </c>
      <c r="O782" s="6">
        <v>3779.2</v>
      </c>
      <c r="P782" s="6">
        <v>0</v>
      </c>
      <c r="Q782" s="6">
        <f t="shared" ca="1" si="38"/>
        <v>42</v>
      </c>
      <c r="R782" s="6">
        <f t="shared" si="36"/>
        <v>8013.8</v>
      </c>
      <c r="S782" s="7" t="str">
        <f t="shared" si="37"/>
        <v>Profit</v>
      </c>
    </row>
    <row r="783" spans="1:19" x14ac:dyDescent="0.3">
      <c r="A783" s="4" t="s">
        <v>1607</v>
      </c>
      <c r="B783" s="5">
        <v>44996</v>
      </c>
      <c r="C783" s="6" t="s">
        <v>1608</v>
      </c>
      <c r="D783" s="6" t="s">
        <v>75</v>
      </c>
      <c r="E783" s="6">
        <v>32007</v>
      </c>
      <c r="F783" s="6">
        <v>14.6</v>
      </c>
      <c r="G783" s="6">
        <v>36</v>
      </c>
      <c r="H783" s="6" t="s">
        <v>26</v>
      </c>
      <c r="I783" s="6" t="s">
        <v>72</v>
      </c>
      <c r="J783" s="6" t="s">
        <v>47</v>
      </c>
      <c r="K783" s="6">
        <v>106918</v>
      </c>
      <c r="L783" s="6" t="s">
        <v>33</v>
      </c>
      <c r="M783" s="6">
        <v>0.36</v>
      </c>
      <c r="N783" s="6">
        <v>0.94</v>
      </c>
      <c r="O783" s="6">
        <v>6315.61</v>
      </c>
      <c r="P783" s="6">
        <v>0</v>
      </c>
      <c r="Q783" s="6">
        <f t="shared" ca="1" si="38"/>
        <v>36</v>
      </c>
      <c r="R783" s="6">
        <f t="shared" si="36"/>
        <v>25691.39</v>
      </c>
      <c r="S783" s="7" t="str">
        <f t="shared" si="37"/>
        <v>Profit</v>
      </c>
    </row>
    <row r="784" spans="1:19" x14ac:dyDescent="0.3">
      <c r="A784" s="4" t="s">
        <v>1609</v>
      </c>
      <c r="B784" s="5">
        <v>44618</v>
      </c>
      <c r="C784" s="6" t="s">
        <v>1610</v>
      </c>
      <c r="D784" s="6" t="s">
        <v>25</v>
      </c>
      <c r="E784" s="6">
        <v>26766</v>
      </c>
      <c r="F784" s="6">
        <v>7.9</v>
      </c>
      <c r="G784" s="6">
        <v>60</v>
      </c>
      <c r="H784" s="6" t="s">
        <v>19</v>
      </c>
      <c r="I784" s="6" t="s">
        <v>57</v>
      </c>
      <c r="J784" s="6" t="s">
        <v>32</v>
      </c>
      <c r="K784" s="6">
        <v>108116</v>
      </c>
      <c r="L784" s="6" t="s">
        <v>33</v>
      </c>
      <c r="M784" s="6">
        <v>0.36</v>
      </c>
      <c r="N784" s="6">
        <v>0.94</v>
      </c>
      <c r="O784" s="6">
        <v>28880.51</v>
      </c>
      <c r="P784" s="6">
        <v>0</v>
      </c>
      <c r="Q784" s="6">
        <f t="shared" ca="1" si="38"/>
        <v>48</v>
      </c>
      <c r="R784" s="6">
        <f t="shared" si="36"/>
        <v>-2114.5099999999984</v>
      </c>
      <c r="S784" s="7" t="str">
        <f t="shared" si="37"/>
        <v>Loss</v>
      </c>
    </row>
    <row r="785" spans="1:19" x14ac:dyDescent="0.3">
      <c r="A785" s="4" t="s">
        <v>1611</v>
      </c>
      <c r="B785" s="5">
        <v>45243</v>
      </c>
      <c r="C785" s="6" t="s">
        <v>1612</v>
      </c>
      <c r="D785" s="6" t="s">
        <v>53</v>
      </c>
      <c r="E785" s="6">
        <v>13323</v>
      </c>
      <c r="F785" s="6">
        <v>19.2</v>
      </c>
      <c r="G785" s="6">
        <v>60</v>
      </c>
      <c r="H785" s="6" t="s">
        <v>19</v>
      </c>
      <c r="I785" s="6" t="s">
        <v>57</v>
      </c>
      <c r="J785" s="6" t="s">
        <v>21</v>
      </c>
      <c r="K785" s="6">
        <v>86563</v>
      </c>
      <c r="L785" s="6" t="s">
        <v>33</v>
      </c>
      <c r="M785" s="6">
        <v>0.11</v>
      </c>
      <c r="N785" s="6">
        <v>0.72</v>
      </c>
      <c r="O785" s="6">
        <v>15881.02</v>
      </c>
      <c r="P785" s="6">
        <v>0</v>
      </c>
      <c r="Q785" s="6">
        <f t="shared" ca="1" si="38"/>
        <v>28</v>
      </c>
      <c r="R785" s="6">
        <f t="shared" si="36"/>
        <v>-2558.0200000000004</v>
      </c>
      <c r="S785" s="7" t="str">
        <f t="shared" si="37"/>
        <v>Loss</v>
      </c>
    </row>
    <row r="786" spans="1:19" x14ac:dyDescent="0.3">
      <c r="A786" s="4" t="s">
        <v>1613</v>
      </c>
      <c r="B786" s="5">
        <v>44771</v>
      </c>
      <c r="C786" s="6" t="s">
        <v>1614</v>
      </c>
      <c r="D786" s="6" t="s">
        <v>64</v>
      </c>
      <c r="E786" s="6">
        <v>8843</v>
      </c>
      <c r="F786" s="6">
        <v>18.3</v>
      </c>
      <c r="G786" s="6">
        <v>36</v>
      </c>
      <c r="H786" s="6" t="s">
        <v>26</v>
      </c>
      <c r="I786" s="6" t="s">
        <v>83</v>
      </c>
      <c r="J786" s="6" t="s">
        <v>21</v>
      </c>
      <c r="K786" s="6">
        <v>127859</v>
      </c>
      <c r="L786" s="6" t="s">
        <v>33</v>
      </c>
      <c r="M786" s="6">
        <v>0.42</v>
      </c>
      <c r="N786" s="6">
        <v>0.89</v>
      </c>
      <c r="O786" s="6">
        <v>3549.8</v>
      </c>
      <c r="P786" s="6">
        <v>0</v>
      </c>
      <c r="Q786" s="6">
        <f t="shared" ca="1" si="38"/>
        <v>43</v>
      </c>
      <c r="R786" s="6">
        <f t="shared" si="36"/>
        <v>5293.2</v>
      </c>
      <c r="S786" s="7" t="str">
        <f t="shared" si="37"/>
        <v>Profit</v>
      </c>
    </row>
    <row r="787" spans="1:19" x14ac:dyDescent="0.3">
      <c r="A787" s="4" t="s">
        <v>1615</v>
      </c>
      <c r="B787" s="5">
        <v>44339</v>
      </c>
      <c r="C787" s="6" t="s">
        <v>1616</v>
      </c>
      <c r="D787" s="6" t="s">
        <v>25</v>
      </c>
      <c r="E787" s="6">
        <v>15210</v>
      </c>
      <c r="F787" s="6">
        <v>9.1999999999999993</v>
      </c>
      <c r="G787" s="6">
        <v>60</v>
      </c>
      <c r="H787" s="6" t="s">
        <v>19</v>
      </c>
      <c r="I787" s="6" t="s">
        <v>57</v>
      </c>
      <c r="J787" s="6" t="s">
        <v>21</v>
      </c>
      <c r="K787" s="6">
        <v>74757</v>
      </c>
      <c r="L787" s="6" t="s">
        <v>22</v>
      </c>
      <c r="M787" s="6">
        <v>0.46</v>
      </c>
      <c r="N787" s="6">
        <v>0.83</v>
      </c>
      <c r="O787" s="6">
        <v>16609.32</v>
      </c>
      <c r="P787" s="6">
        <v>0</v>
      </c>
      <c r="Q787" s="6">
        <f t="shared" ca="1" si="38"/>
        <v>57</v>
      </c>
      <c r="R787" s="6">
        <f t="shared" si="36"/>
        <v>-1399.3199999999997</v>
      </c>
      <c r="S787" s="7" t="str">
        <f t="shared" si="37"/>
        <v>Loss</v>
      </c>
    </row>
    <row r="788" spans="1:19" x14ac:dyDescent="0.3">
      <c r="A788" s="4" t="s">
        <v>1617</v>
      </c>
      <c r="B788" s="5">
        <v>45189</v>
      </c>
      <c r="C788" s="6" t="s">
        <v>1618</v>
      </c>
      <c r="D788" s="6" t="s">
        <v>75</v>
      </c>
      <c r="E788" s="6">
        <v>17456</v>
      </c>
      <c r="F788" s="6">
        <v>22.3</v>
      </c>
      <c r="G788" s="6">
        <v>36</v>
      </c>
      <c r="H788" s="6" t="s">
        <v>26</v>
      </c>
      <c r="I788" s="6" t="s">
        <v>57</v>
      </c>
      <c r="J788" s="6" t="s">
        <v>37</v>
      </c>
      <c r="K788" s="6">
        <v>107475</v>
      </c>
      <c r="L788" s="6" t="s">
        <v>22</v>
      </c>
      <c r="M788" s="6">
        <v>0.21</v>
      </c>
      <c r="N788" s="6">
        <v>0.73</v>
      </c>
      <c r="O788" s="6">
        <v>7474.7</v>
      </c>
      <c r="P788" s="6">
        <v>0</v>
      </c>
      <c r="Q788" s="6">
        <f t="shared" ca="1" si="38"/>
        <v>30</v>
      </c>
      <c r="R788" s="6">
        <f t="shared" si="36"/>
        <v>9981.2999999999993</v>
      </c>
      <c r="S788" s="7" t="str">
        <f t="shared" si="37"/>
        <v>Profit</v>
      </c>
    </row>
    <row r="789" spans="1:19" x14ac:dyDescent="0.3">
      <c r="A789" s="4" t="s">
        <v>1619</v>
      </c>
      <c r="B789" s="5">
        <v>44861</v>
      </c>
      <c r="C789" s="6" t="s">
        <v>1620</v>
      </c>
      <c r="D789" s="6" t="s">
        <v>75</v>
      </c>
      <c r="E789" s="6">
        <v>32367</v>
      </c>
      <c r="F789" s="6">
        <v>13</v>
      </c>
      <c r="G789" s="6">
        <v>36</v>
      </c>
      <c r="H789" s="6" t="s">
        <v>19</v>
      </c>
      <c r="I789" s="6" t="s">
        <v>83</v>
      </c>
      <c r="J789" s="6" t="s">
        <v>32</v>
      </c>
      <c r="K789" s="6">
        <v>81257</v>
      </c>
      <c r="L789" s="6" t="s">
        <v>33</v>
      </c>
      <c r="M789" s="6">
        <v>0.42</v>
      </c>
      <c r="N789" s="6">
        <v>0.76</v>
      </c>
      <c r="O789" s="6">
        <v>36574.71</v>
      </c>
      <c r="P789" s="6">
        <v>0</v>
      </c>
      <c r="Q789" s="6">
        <f t="shared" ca="1" si="38"/>
        <v>40</v>
      </c>
      <c r="R789" s="6">
        <f t="shared" si="36"/>
        <v>-4207.7099999999991</v>
      </c>
      <c r="S789" s="7" t="str">
        <f t="shared" si="37"/>
        <v>Loss</v>
      </c>
    </row>
    <row r="790" spans="1:19" x14ac:dyDescent="0.3">
      <c r="A790" s="4" t="s">
        <v>1621</v>
      </c>
      <c r="B790" s="5">
        <v>44341</v>
      </c>
      <c r="C790" s="6" t="s">
        <v>1622</v>
      </c>
      <c r="D790" s="6" t="s">
        <v>18</v>
      </c>
      <c r="E790" s="6">
        <v>11106</v>
      </c>
      <c r="F790" s="6">
        <v>10.9</v>
      </c>
      <c r="G790" s="6">
        <v>36</v>
      </c>
      <c r="H790" s="6" t="s">
        <v>19</v>
      </c>
      <c r="I790" s="6" t="s">
        <v>83</v>
      </c>
      <c r="J790" s="6" t="s">
        <v>28</v>
      </c>
      <c r="K790" s="6">
        <v>125500</v>
      </c>
      <c r="L790" s="6" t="s">
        <v>29</v>
      </c>
      <c r="M790" s="6">
        <v>0.13</v>
      </c>
      <c r="N790" s="6">
        <v>0.56000000000000005</v>
      </c>
      <c r="O790" s="6">
        <v>12316.55</v>
      </c>
      <c r="P790" s="6">
        <v>0</v>
      </c>
      <c r="Q790" s="6">
        <f t="shared" ca="1" si="38"/>
        <v>57</v>
      </c>
      <c r="R790" s="6">
        <f t="shared" si="36"/>
        <v>-1210.5499999999993</v>
      </c>
      <c r="S790" s="7" t="str">
        <f t="shared" si="37"/>
        <v>Loss</v>
      </c>
    </row>
    <row r="791" spans="1:19" x14ac:dyDescent="0.3">
      <c r="A791" s="4" t="s">
        <v>1623</v>
      </c>
      <c r="B791" s="5">
        <v>45203</v>
      </c>
      <c r="C791" s="6" t="s">
        <v>1624</v>
      </c>
      <c r="D791" s="6" t="s">
        <v>46</v>
      </c>
      <c r="E791" s="6">
        <v>38957</v>
      </c>
      <c r="F791" s="6">
        <v>8</v>
      </c>
      <c r="G791" s="6">
        <v>60</v>
      </c>
      <c r="H791" s="6" t="s">
        <v>19</v>
      </c>
      <c r="I791" s="6" t="s">
        <v>57</v>
      </c>
      <c r="J791" s="6" t="s">
        <v>21</v>
      </c>
      <c r="K791" s="6">
        <v>30307</v>
      </c>
      <c r="L791" s="6" t="s">
        <v>33</v>
      </c>
      <c r="M791" s="6">
        <v>0.34</v>
      </c>
      <c r="N791" s="6">
        <v>0.92</v>
      </c>
      <c r="O791" s="6">
        <v>42073.56</v>
      </c>
      <c r="P791" s="6">
        <v>0</v>
      </c>
      <c r="Q791" s="6">
        <f t="shared" ca="1" si="38"/>
        <v>29</v>
      </c>
      <c r="R791" s="6">
        <f t="shared" si="36"/>
        <v>-3116.5599999999977</v>
      </c>
      <c r="S791" s="7" t="str">
        <f t="shared" si="37"/>
        <v>Loss</v>
      </c>
    </row>
    <row r="792" spans="1:19" x14ac:dyDescent="0.3">
      <c r="A792" s="4" t="s">
        <v>1625</v>
      </c>
      <c r="B792" s="5">
        <v>44699</v>
      </c>
      <c r="C792" s="6" t="s">
        <v>1626</v>
      </c>
      <c r="D792" s="6" t="s">
        <v>64</v>
      </c>
      <c r="E792" s="6">
        <v>3472</v>
      </c>
      <c r="F792" s="6">
        <v>10.3</v>
      </c>
      <c r="G792" s="6">
        <v>60</v>
      </c>
      <c r="H792" s="6" t="s">
        <v>26</v>
      </c>
      <c r="I792" s="6" t="s">
        <v>83</v>
      </c>
      <c r="J792" s="6" t="s">
        <v>32</v>
      </c>
      <c r="K792" s="6">
        <v>86889</v>
      </c>
      <c r="L792" s="6" t="s">
        <v>22</v>
      </c>
      <c r="M792" s="6">
        <v>0.28999999999999998</v>
      </c>
      <c r="N792" s="6">
        <v>0.66</v>
      </c>
      <c r="O792" s="6">
        <v>679.21</v>
      </c>
      <c r="P792" s="6">
        <v>0</v>
      </c>
      <c r="Q792" s="6">
        <f t="shared" ca="1" si="38"/>
        <v>46</v>
      </c>
      <c r="R792" s="6">
        <f t="shared" si="36"/>
        <v>2792.79</v>
      </c>
      <c r="S792" s="7" t="str">
        <f t="shared" si="37"/>
        <v>Profit</v>
      </c>
    </row>
    <row r="793" spans="1:19" x14ac:dyDescent="0.3">
      <c r="A793" s="4" t="s">
        <v>1627</v>
      </c>
      <c r="B793" s="5">
        <v>45017</v>
      </c>
      <c r="C793" s="6" t="s">
        <v>1628</v>
      </c>
      <c r="D793" s="6" t="s">
        <v>25</v>
      </c>
      <c r="E793" s="6">
        <v>7704</v>
      </c>
      <c r="F793" s="6">
        <v>5.4</v>
      </c>
      <c r="G793" s="6">
        <v>36</v>
      </c>
      <c r="H793" s="6" t="s">
        <v>19</v>
      </c>
      <c r="I793" s="6" t="s">
        <v>83</v>
      </c>
      <c r="J793" s="6" t="s">
        <v>32</v>
      </c>
      <c r="K793" s="6">
        <v>98895</v>
      </c>
      <c r="L793" s="6" t="s">
        <v>33</v>
      </c>
      <c r="M793" s="6">
        <v>0.32</v>
      </c>
      <c r="N793" s="6">
        <v>0.7</v>
      </c>
      <c r="O793" s="6">
        <v>8120.02</v>
      </c>
      <c r="P793" s="6">
        <v>0</v>
      </c>
      <c r="Q793" s="6">
        <f t="shared" ca="1" si="38"/>
        <v>35</v>
      </c>
      <c r="R793" s="6">
        <f t="shared" si="36"/>
        <v>-416.02000000000044</v>
      </c>
      <c r="S793" s="7" t="str">
        <f t="shared" si="37"/>
        <v>Loss</v>
      </c>
    </row>
    <row r="794" spans="1:19" x14ac:dyDescent="0.3">
      <c r="A794" s="4" t="s">
        <v>1629</v>
      </c>
      <c r="B794" s="5">
        <v>44300</v>
      </c>
      <c r="C794" s="6" t="s">
        <v>1630</v>
      </c>
      <c r="D794" s="6" t="s">
        <v>18</v>
      </c>
      <c r="E794" s="6">
        <v>4713</v>
      </c>
      <c r="F794" s="6">
        <v>16.7</v>
      </c>
      <c r="G794" s="6">
        <v>60</v>
      </c>
      <c r="H794" s="6" t="s">
        <v>19</v>
      </c>
      <c r="I794" s="6" t="s">
        <v>57</v>
      </c>
      <c r="J794" s="6" t="s">
        <v>47</v>
      </c>
      <c r="K794" s="6">
        <v>125184</v>
      </c>
      <c r="L794" s="6" t="s">
        <v>22</v>
      </c>
      <c r="M794" s="6">
        <v>0.47</v>
      </c>
      <c r="N794" s="6">
        <v>0.8</v>
      </c>
      <c r="O794" s="6">
        <v>5500.07</v>
      </c>
      <c r="P794" s="6">
        <v>0</v>
      </c>
      <c r="Q794" s="6">
        <f t="shared" ca="1" si="38"/>
        <v>59</v>
      </c>
      <c r="R794" s="6">
        <f t="shared" si="36"/>
        <v>-787.06999999999971</v>
      </c>
      <c r="S794" s="7" t="str">
        <f t="shared" si="37"/>
        <v>Loss</v>
      </c>
    </row>
    <row r="795" spans="1:19" x14ac:dyDescent="0.3">
      <c r="A795" s="4" t="s">
        <v>1631</v>
      </c>
      <c r="B795" s="5">
        <v>45259</v>
      </c>
      <c r="C795" s="6" t="s">
        <v>1632</v>
      </c>
      <c r="D795" s="6" t="s">
        <v>53</v>
      </c>
      <c r="E795" s="6">
        <v>6051</v>
      </c>
      <c r="F795" s="6">
        <v>21.8</v>
      </c>
      <c r="G795" s="6">
        <v>36</v>
      </c>
      <c r="H795" s="6" t="s">
        <v>19</v>
      </c>
      <c r="I795" s="6" t="s">
        <v>20</v>
      </c>
      <c r="J795" s="6" t="s">
        <v>21</v>
      </c>
      <c r="K795" s="6">
        <v>65944</v>
      </c>
      <c r="L795" s="6" t="s">
        <v>33</v>
      </c>
      <c r="M795" s="6">
        <v>0.45</v>
      </c>
      <c r="N795" s="6">
        <v>0.65</v>
      </c>
      <c r="O795" s="6">
        <v>7370.12</v>
      </c>
      <c r="P795" s="6">
        <v>0</v>
      </c>
      <c r="Q795" s="6">
        <f t="shared" ca="1" si="38"/>
        <v>27</v>
      </c>
      <c r="R795" s="6">
        <f t="shared" si="36"/>
        <v>-1319.12</v>
      </c>
      <c r="S795" s="7" t="str">
        <f t="shared" si="37"/>
        <v>Loss</v>
      </c>
    </row>
    <row r="796" spans="1:19" x14ac:dyDescent="0.3">
      <c r="A796" s="4" t="s">
        <v>1633</v>
      </c>
      <c r="B796" s="5">
        <v>44394</v>
      </c>
      <c r="C796" s="6" t="s">
        <v>1634</v>
      </c>
      <c r="D796" s="6" t="s">
        <v>18</v>
      </c>
      <c r="E796" s="6">
        <v>11756</v>
      </c>
      <c r="F796" s="6">
        <v>16</v>
      </c>
      <c r="G796" s="6">
        <v>36</v>
      </c>
      <c r="H796" s="6" t="s">
        <v>19</v>
      </c>
      <c r="I796" s="6" t="s">
        <v>20</v>
      </c>
      <c r="J796" s="6" t="s">
        <v>37</v>
      </c>
      <c r="K796" s="6">
        <v>129555</v>
      </c>
      <c r="L796" s="6" t="s">
        <v>29</v>
      </c>
      <c r="M796" s="6">
        <v>0.41</v>
      </c>
      <c r="N796" s="6">
        <v>0.61</v>
      </c>
      <c r="O796" s="6">
        <v>13636.96</v>
      </c>
      <c r="P796" s="6">
        <v>0</v>
      </c>
      <c r="Q796" s="6">
        <f t="shared" ca="1" si="38"/>
        <v>56</v>
      </c>
      <c r="R796" s="6">
        <f t="shared" si="36"/>
        <v>-1880.9599999999991</v>
      </c>
      <c r="S796" s="7" t="str">
        <f t="shared" si="37"/>
        <v>Loss</v>
      </c>
    </row>
    <row r="797" spans="1:19" x14ac:dyDescent="0.3">
      <c r="A797" s="4" t="s">
        <v>1635</v>
      </c>
      <c r="B797" s="5">
        <v>44775</v>
      </c>
      <c r="C797" s="6" t="s">
        <v>1636</v>
      </c>
      <c r="D797" s="6" t="s">
        <v>25</v>
      </c>
      <c r="E797" s="6">
        <v>3475</v>
      </c>
      <c r="F797" s="6">
        <v>9.4</v>
      </c>
      <c r="G797" s="6">
        <v>36</v>
      </c>
      <c r="H797" s="6" t="s">
        <v>19</v>
      </c>
      <c r="I797" s="6" t="s">
        <v>72</v>
      </c>
      <c r="J797" s="6" t="s">
        <v>32</v>
      </c>
      <c r="K797" s="6">
        <v>68134</v>
      </c>
      <c r="L797" s="6" t="s">
        <v>33</v>
      </c>
      <c r="M797" s="6">
        <v>0.21</v>
      </c>
      <c r="N797" s="6">
        <v>0.78</v>
      </c>
      <c r="O797" s="6">
        <v>3801.65</v>
      </c>
      <c r="P797" s="6">
        <v>0</v>
      </c>
      <c r="Q797" s="6">
        <f t="shared" ca="1" si="38"/>
        <v>43</v>
      </c>
      <c r="R797" s="6">
        <f t="shared" si="36"/>
        <v>-326.65000000000009</v>
      </c>
      <c r="S797" s="7" t="str">
        <f t="shared" si="37"/>
        <v>Loss</v>
      </c>
    </row>
    <row r="798" spans="1:19" x14ac:dyDescent="0.3">
      <c r="A798" s="4" t="s">
        <v>1637</v>
      </c>
      <c r="B798" s="5">
        <v>44587</v>
      </c>
      <c r="C798" s="6" t="s">
        <v>1638</v>
      </c>
      <c r="D798" s="6" t="s">
        <v>50</v>
      </c>
      <c r="E798" s="6">
        <v>37378</v>
      </c>
      <c r="F798" s="6">
        <v>5.7</v>
      </c>
      <c r="G798" s="6">
        <v>36</v>
      </c>
      <c r="H798" s="6" t="s">
        <v>19</v>
      </c>
      <c r="I798" s="6" t="s">
        <v>57</v>
      </c>
      <c r="J798" s="6" t="s">
        <v>32</v>
      </c>
      <c r="K798" s="6">
        <v>57323</v>
      </c>
      <c r="L798" s="6" t="s">
        <v>29</v>
      </c>
      <c r="M798" s="6">
        <v>0.46</v>
      </c>
      <c r="N798" s="6">
        <v>0.51</v>
      </c>
      <c r="O798" s="6">
        <v>39508.550000000003</v>
      </c>
      <c r="P798" s="6">
        <v>0</v>
      </c>
      <c r="Q798" s="6">
        <f t="shared" ca="1" si="38"/>
        <v>49</v>
      </c>
      <c r="R798" s="6">
        <f t="shared" si="36"/>
        <v>-2130.5500000000029</v>
      </c>
      <c r="S798" s="7" t="str">
        <f t="shared" si="37"/>
        <v>Loss</v>
      </c>
    </row>
    <row r="799" spans="1:19" x14ac:dyDescent="0.3">
      <c r="A799" s="4" t="s">
        <v>1639</v>
      </c>
      <c r="B799" s="5">
        <v>44750</v>
      </c>
      <c r="C799" s="6" t="s">
        <v>1640</v>
      </c>
      <c r="D799" s="6" t="s">
        <v>40</v>
      </c>
      <c r="E799" s="6">
        <v>5255</v>
      </c>
      <c r="F799" s="6">
        <v>9.3000000000000007</v>
      </c>
      <c r="G799" s="6">
        <v>60</v>
      </c>
      <c r="H799" s="6" t="s">
        <v>19</v>
      </c>
      <c r="I799" s="6" t="s">
        <v>41</v>
      </c>
      <c r="J799" s="6" t="s">
        <v>28</v>
      </c>
      <c r="K799" s="6">
        <v>146205</v>
      </c>
      <c r="L799" s="6" t="s">
        <v>29</v>
      </c>
      <c r="M799" s="6">
        <v>0.14000000000000001</v>
      </c>
      <c r="N799" s="6">
        <v>0.82</v>
      </c>
      <c r="O799" s="6">
        <v>5743.72</v>
      </c>
      <c r="P799" s="6">
        <v>0</v>
      </c>
      <c r="Q799" s="6">
        <f t="shared" ca="1" si="38"/>
        <v>44</v>
      </c>
      <c r="R799" s="6">
        <f t="shared" si="36"/>
        <v>-488.72000000000025</v>
      </c>
      <c r="S799" s="7" t="str">
        <f t="shared" si="37"/>
        <v>Loss</v>
      </c>
    </row>
    <row r="800" spans="1:19" x14ac:dyDescent="0.3">
      <c r="A800" s="4" t="s">
        <v>1641</v>
      </c>
      <c r="B800" s="5">
        <v>45235</v>
      </c>
      <c r="C800" s="6" t="s">
        <v>1642</v>
      </c>
      <c r="D800" s="6" t="s">
        <v>25</v>
      </c>
      <c r="E800" s="6">
        <v>15484</v>
      </c>
      <c r="F800" s="6">
        <v>13.3</v>
      </c>
      <c r="G800" s="6">
        <v>36</v>
      </c>
      <c r="H800" s="6" t="s">
        <v>19</v>
      </c>
      <c r="I800" s="6" t="s">
        <v>27</v>
      </c>
      <c r="J800" s="6" t="s">
        <v>47</v>
      </c>
      <c r="K800" s="6">
        <v>101762</v>
      </c>
      <c r="L800" s="6" t="s">
        <v>33</v>
      </c>
      <c r="M800" s="6">
        <v>0.44</v>
      </c>
      <c r="N800" s="6">
        <v>0.73</v>
      </c>
      <c r="O800" s="6">
        <v>17543.37</v>
      </c>
      <c r="P800" s="6">
        <v>0</v>
      </c>
      <c r="Q800" s="6">
        <f t="shared" ca="1" si="38"/>
        <v>28</v>
      </c>
      <c r="R800" s="6">
        <f t="shared" si="36"/>
        <v>-2059.369999999999</v>
      </c>
      <c r="S800" s="7" t="str">
        <f t="shared" si="37"/>
        <v>Loss</v>
      </c>
    </row>
    <row r="801" spans="1:19" x14ac:dyDescent="0.3">
      <c r="A801" s="4" t="s">
        <v>1643</v>
      </c>
      <c r="B801" s="5">
        <v>44674</v>
      </c>
      <c r="C801" s="6" t="s">
        <v>1644</v>
      </c>
      <c r="D801" s="6" t="s">
        <v>71</v>
      </c>
      <c r="E801" s="6">
        <v>35503</v>
      </c>
      <c r="F801" s="6">
        <v>20.2</v>
      </c>
      <c r="G801" s="6">
        <v>36</v>
      </c>
      <c r="H801" s="6" t="s">
        <v>19</v>
      </c>
      <c r="I801" s="6" t="s">
        <v>27</v>
      </c>
      <c r="J801" s="6" t="s">
        <v>32</v>
      </c>
      <c r="K801" s="6">
        <v>117225</v>
      </c>
      <c r="L801" s="6" t="s">
        <v>29</v>
      </c>
      <c r="M801" s="6">
        <v>0.23</v>
      </c>
      <c r="N801" s="6">
        <v>0.77</v>
      </c>
      <c r="O801" s="6">
        <v>42674.61</v>
      </c>
      <c r="P801" s="6">
        <v>0</v>
      </c>
      <c r="Q801" s="6">
        <f t="shared" ca="1" si="38"/>
        <v>46</v>
      </c>
      <c r="R801" s="6">
        <f t="shared" si="36"/>
        <v>-7171.6100000000006</v>
      </c>
      <c r="S801" s="7" t="str">
        <f t="shared" si="37"/>
        <v>Loss</v>
      </c>
    </row>
    <row r="802" spans="1:19" x14ac:dyDescent="0.3">
      <c r="A802" s="4" t="s">
        <v>1645</v>
      </c>
      <c r="B802" s="5">
        <v>45119</v>
      </c>
      <c r="C802" s="6" t="s">
        <v>1646</v>
      </c>
      <c r="D802" s="6" t="s">
        <v>75</v>
      </c>
      <c r="E802" s="6">
        <v>9258</v>
      </c>
      <c r="F802" s="6">
        <v>8.8000000000000007</v>
      </c>
      <c r="G802" s="6">
        <v>60</v>
      </c>
      <c r="H802" s="6" t="s">
        <v>26</v>
      </c>
      <c r="I802" s="6" t="s">
        <v>36</v>
      </c>
      <c r="J802" s="6" t="s">
        <v>32</v>
      </c>
      <c r="K802" s="6">
        <v>126507</v>
      </c>
      <c r="L802" s="6" t="s">
        <v>29</v>
      </c>
      <c r="M802" s="6">
        <v>0.12</v>
      </c>
      <c r="N802" s="6">
        <v>0.78</v>
      </c>
      <c r="O802" s="6">
        <v>3956.83</v>
      </c>
      <c r="P802" s="6">
        <v>0</v>
      </c>
      <c r="Q802" s="6">
        <f t="shared" ca="1" si="38"/>
        <v>32</v>
      </c>
      <c r="R802" s="6">
        <f t="shared" si="36"/>
        <v>5301.17</v>
      </c>
      <c r="S802" s="7" t="str">
        <f t="shared" si="37"/>
        <v>Profit</v>
      </c>
    </row>
    <row r="803" spans="1:19" x14ac:dyDescent="0.3">
      <c r="A803" s="4" t="s">
        <v>1647</v>
      </c>
      <c r="B803" s="5">
        <v>44616</v>
      </c>
      <c r="C803" s="6" t="s">
        <v>1648</v>
      </c>
      <c r="D803" s="6" t="s">
        <v>64</v>
      </c>
      <c r="E803" s="6">
        <v>36196</v>
      </c>
      <c r="F803" s="6">
        <v>19.399999999999999</v>
      </c>
      <c r="G803" s="6">
        <v>36</v>
      </c>
      <c r="H803" s="6" t="s">
        <v>80</v>
      </c>
      <c r="I803" s="6" t="s">
        <v>36</v>
      </c>
      <c r="J803" s="6" t="s">
        <v>37</v>
      </c>
      <c r="K803" s="6">
        <v>55954</v>
      </c>
      <c r="L803" s="6" t="s">
        <v>22</v>
      </c>
      <c r="M803" s="6">
        <v>0.37</v>
      </c>
      <c r="N803" s="6">
        <v>0.74</v>
      </c>
      <c r="O803" s="6">
        <v>4744.32</v>
      </c>
      <c r="P803" s="6">
        <v>13544.73</v>
      </c>
      <c r="Q803" s="6">
        <f t="shared" ca="1" si="38"/>
        <v>48</v>
      </c>
      <c r="R803" s="6">
        <f t="shared" si="36"/>
        <v>31451.68</v>
      </c>
      <c r="S803" s="7" t="str">
        <f t="shared" si="37"/>
        <v>Profit</v>
      </c>
    </row>
    <row r="804" spans="1:19" x14ac:dyDescent="0.3">
      <c r="A804" s="4" t="s">
        <v>1649</v>
      </c>
      <c r="B804" s="5">
        <v>44353</v>
      </c>
      <c r="C804" s="6" t="s">
        <v>1650</v>
      </c>
      <c r="D804" s="6" t="s">
        <v>64</v>
      </c>
      <c r="E804" s="6">
        <v>9533</v>
      </c>
      <c r="F804" s="6">
        <v>22.3</v>
      </c>
      <c r="G804" s="6">
        <v>36</v>
      </c>
      <c r="H804" s="6" t="s">
        <v>19</v>
      </c>
      <c r="I804" s="6" t="s">
        <v>57</v>
      </c>
      <c r="J804" s="6" t="s">
        <v>37</v>
      </c>
      <c r="K804" s="6">
        <v>85021</v>
      </c>
      <c r="L804" s="6" t="s">
        <v>22</v>
      </c>
      <c r="M804" s="6">
        <v>0.19</v>
      </c>
      <c r="N804" s="6">
        <v>0.76</v>
      </c>
      <c r="O804" s="6">
        <v>11658.86</v>
      </c>
      <c r="P804" s="6">
        <v>0</v>
      </c>
      <c r="Q804" s="6">
        <f t="shared" ca="1" si="38"/>
        <v>57</v>
      </c>
      <c r="R804" s="6">
        <f t="shared" si="36"/>
        <v>-2125.8600000000006</v>
      </c>
      <c r="S804" s="7" t="str">
        <f t="shared" si="37"/>
        <v>Loss</v>
      </c>
    </row>
    <row r="805" spans="1:19" x14ac:dyDescent="0.3">
      <c r="A805" s="4" t="s">
        <v>1651</v>
      </c>
      <c r="B805" s="5">
        <v>44746</v>
      </c>
      <c r="C805" s="6" t="s">
        <v>1652</v>
      </c>
      <c r="D805" s="6" t="s">
        <v>46</v>
      </c>
      <c r="E805" s="6">
        <v>33581</v>
      </c>
      <c r="F805" s="6">
        <v>14.1</v>
      </c>
      <c r="G805" s="6">
        <v>60</v>
      </c>
      <c r="H805" s="6" t="s">
        <v>19</v>
      </c>
      <c r="I805" s="6" t="s">
        <v>20</v>
      </c>
      <c r="J805" s="6" t="s">
        <v>28</v>
      </c>
      <c r="K805" s="6">
        <v>119959</v>
      </c>
      <c r="L805" s="6" t="s">
        <v>29</v>
      </c>
      <c r="M805" s="6">
        <v>0.2</v>
      </c>
      <c r="N805" s="6">
        <v>0.81</v>
      </c>
      <c r="O805" s="6">
        <v>38315.919999999998</v>
      </c>
      <c r="P805" s="6">
        <v>0</v>
      </c>
      <c r="Q805" s="6">
        <f t="shared" ca="1" si="38"/>
        <v>44</v>
      </c>
      <c r="R805" s="6">
        <f t="shared" si="36"/>
        <v>-4734.9199999999983</v>
      </c>
      <c r="S805" s="7" t="str">
        <f t="shared" si="37"/>
        <v>Loss</v>
      </c>
    </row>
    <row r="806" spans="1:19" x14ac:dyDescent="0.3">
      <c r="A806" s="4" t="s">
        <v>1653</v>
      </c>
      <c r="B806" s="5">
        <v>45217</v>
      </c>
      <c r="C806" s="6" t="s">
        <v>1654</v>
      </c>
      <c r="D806" s="6" t="s">
        <v>40</v>
      </c>
      <c r="E806" s="6">
        <v>6249</v>
      </c>
      <c r="F806" s="6">
        <v>21.4</v>
      </c>
      <c r="G806" s="6">
        <v>60</v>
      </c>
      <c r="H806" s="6" t="s">
        <v>19</v>
      </c>
      <c r="I806" s="6" t="s">
        <v>27</v>
      </c>
      <c r="J806" s="6" t="s">
        <v>28</v>
      </c>
      <c r="K806" s="6">
        <v>125927</v>
      </c>
      <c r="L806" s="6" t="s">
        <v>33</v>
      </c>
      <c r="M806" s="6">
        <v>0.22</v>
      </c>
      <c r="N806" s="6">
        <v>0.84</v>
      </c>
      <c r="O806" s="6">
        <v>7586.29</v>
      </c>
      <c r="P806" s="6">
        <v>0</v>
      </c>
      <c r="Q806" s="6">
        <f t="shared" ca="1" si="38"/>
        <v>29</v>
      </c>
      <c r="R806" s="6">
        <f t="shared" si="36"/>
        <v>-1337.29</v>
      </c>
      <c r="S806" s="7" t="str">
        <f t="shared" si="37"/>
        <v>Loss</v>
      </c>
    </row>
    <row r="807" spans="1:19" x14ac:dyDescent="0.3">
      <c r="A807" s="4" t="s">
        <v>1655</v>
      </c>
      <c r="B807" s="5">
        <v>45193</v>
      </c>
      <c r="C807" s="6" t="s">
        <v>1656</v>
      </c>
      <c r="D807" s="6" t="s">
        <v>71</v>
      </c>
      <c r="E807" s="6">
        <v>20201</v>
      </c>
      <c r="F807" s="6">
        <v>16.100000000000001</v>
      </c>
      <c r="G807" s="6">
        <v>60</v>
      </c>
      <c r="H807" s="6" t="s">
        <v>26</v>
      </c>
      <c r="I807" s="6" t="s">
        <v>57</v>
      </c>
      <c r="J807" s="6" t="s">
        <v>28</v>
      </c>
      <c r="K807" s="6">
        <v>109866</v>
      </c>
      <c r="L807" s="6" t="s">
        <v>29</v>
      </c>
      <c r="M807" s="6">
        <v>0.13</v>
      </c>
      <c r="N807" s="6">
        <v>0.83</v>
      </c>
      <c r="O807" s="6">
        <v>8625.3799999999992</v>
      </c>
      <c r="P807" s="6">
        <v>0</v>
      </c>
      <c r="Q807" s="6">
        <f t="shared" ca="1" si="38"/>
        <v>29</v>
      </c>
      <c r="R807" s="6">
        <f t="shared" si="36"/>
        <v>11575.62</v>
      </c>
      <c r="S807" s="7" t="str">
        <f t="shared" si="37"/>
        <v>Profit</v>
      </c>
    </row>
    <row r="808" spans="1:19" x14ac:dyDescent="0.3">
      <c r="A808" s="4" t="s">
        <v>1657</v>
      </c>
      <c r="B808" s="5">
        <v>45147</v>
      </c>
      <c r="C808" s="6" t="s">
        <v>1658</v>
      </c>
      <c r="D808" s="6" t="s">
        <v>75</v>
      </c>
      <c r="E808" s="6">
        <v>10686</v>
      </c>
      <c r="F808" s="6">
        <v>17.7</v>
      </c>
      <c r="G808" s="6">
        <v>36</v>
      </c>
      <c r="H808" s="6" t="s">
        <v>19</v>
      </c>
      <c r="I808" s="6" t="s">
        <v>72</v>
      </c>
      <c r="J808" s="6" t="s">
        <v>37</v>
      </c>
      <c r="K808" s="6">
        <v>100427</v>
      </c>
      <c r="L808" s="6" t="s">
        <v>33</v>
      </c>
      <c r="M808" s="6">
        <v>0.17</v>
      </c>
      <c r="N808" s="6">
        <v>0.89</v>
      </c>
      <c r="O808" s="6">
        <v>12577.42</v>
      </c>
      <c r="P808" s="6">
        <v>0</v>
      </c>
      <c r="Q808" s="6">
        <f t="shared" ca="1" si="38"/>
        <v>31</v>
      </c>
      <c r="R808" s="6">
        <f t="shared" si="36"/>
        <v>-1891.42</v>
      </c>
      <c r="S808" s="7" t="str">
        <f t="shared" si="37"/>
        <v>Loss</v>
      </c>
    </row>
    <row r="809" spans="1:19" x14ac:dyDescent="0.3">
      <c r="A809" s="4" t="s">
        <v>1659</v>
      </c>
      <c r="B809" s="5">
        <v>44485</v>
      </c>
      <c r="C809" s="6" t="s">
        <v>1660</v>
      </c>
      <c r="D809" s="6" t="s">
        <v>64</v>
      </c>
      <c r="E809" s="6">
        <v>33007</v>
      </c>
      <c r="F809" s="6">
        <v>15.5</v>
      </c>
      <c r="G809" s="6">
        <v>60</v>
      </c>
      <c r="H809" s="6" t="s">
        <v>19</v>
      </c>
      <c r="I809" s="6" t="s">
        <v>27</v>
      </c>
      <c r="J809" s="6" t="s">
        <v>37</v>
      </c>
      <c r="K809" s="6">
        <v>34992</v>
      </c>
      <c r="L809" s="6" t="s">
        <v>22</v>
      </c>
      <c r="M809" s="6">
        <v>0.1</v>
      </c>
      <c r="N809" s="6">
        <v>0.59</v>
      </c>
      <c r="O809" s="6">
        <v>38123.08</v>
      </c>
      <c r="P809" s="6">
        <v>0</v>
      </c>
      <c r="Q809" s="6">
        <f t="shared" ca="1" si="38"/>
        <v>53</v>
      </c>
      <c r="R809" s="6">
        <f t="shared" si="36"/>
        <v>-5116.0800000000017</v>
      </c>
      <c r="S809" s="7" t="str">
        <f t="shared" si="37"/>
        <v>Loss</v>
      </c>
    </row>
    <row r="810" spans="1:19" x14ac:dyDescent="0.3">
      <c r="A810" s="4" t="s">
        <v>1661</v>
      </c>
      <c r="B810" s="5">
        <v>44392</v>
      </c>
      <c r="C810" s="6" t="s">
        <v>1662</v>
      </c>
      <c r="D810" s="6" t="s">
        <v>71</v>
      </c>
      <c r="E810" s="6">
        <v>1661</v>
      </c>
      <c r="F810" s="6">
        <v>14.3</v>
      </c>
      <c r="G810" s="6">
        <v>60</v>
      </c>
      <c r="H810" s="6" t="s">
        <v>26</v>
      </c>
      <c r="I810" s="6" t="s">
        <v>36</v>
      </c>
      <c r="J810" s="6" t="s">
        <v>47</v>
      </c>
      <c r="K810" s="6">
        <v>31961</v>
      </c>
      <c r="L810" s="6" t="s">
        <v>33</v>
      </c>
      <c r="M810" s="6">
        <v>0.28000000000000003</v>
      </c>
      <c r="N810" s="6">
        <v>0.68</v>
      </c>
      <c r="O810" s="6">
        <v>197.22</v>
      </c>
      <c r="P810" s="6">
        <v>0</v>
      </c>
      <c r="Q810" s="6">
        <f t="shared" ca="1" si="38"/>
        <v>56</v>
      </c>
      <c r="R810" s="6">
        <f t="shared" si="36"/>
        <v>1463.78</v>
      </c>
      <c r="S810" s="7" t="str">
        <f t="shared" si="37"/>
        <v>Profit</v>
      </c>
    </row>
    <row r="811" spans="1:19" x14ac:dyDescent="0.3">
      <c r="A811" s="4" t="s">
        <v>1663</v>
      </c>
      <c r="B811" s="5">
        <v>44794</v>
      </c>
      <c r="C811" s="6" t="s">
        <v>1664</v>
      </c>
      <c r="D811" s="6" t="s">
        <v>18</v>
      </c>
      <c r="E811" s="6">
        <v>31137</v>
      </c>
      <c r="F811" s="6">
        <v>9.6999999999999993</v>
      </c>
      <c r="G811" s="6">
        <v>36</v>
      </c>
      <c r="H811" s="6" t="s">
        <v>19</v>
      </c>
      <c r="I811" s="6" t="s">
        <v>57</v>
      </c>
      <c r="J811" s="6" t="s">
        <v>21</v>
      </c>
      <c r="K811" s="6">
        <v>42497</v>
      </c>
      <c r="L811" s="6" t="s">
        <v>29</v>
      </c>
      <c r="M811" s="6">
        <v>0.13</v>
      </c>
      <c r="N811" s="6">
        <v>0.93</v>
      </c>
      <c r="O811" s="6">
        <v>34157.29</v>
      </c>
      <c r="P811" s="6">
        <v>0</v>
      </c>
      <c r="Q811" s="6">
        <f t="shared" ca="1" si="38"/>
        <v>42</v>
      </c>
      <c r="R811" s="6">
        <f t="shared" si="36"/>
        <v>-3020.2900000000009</v>
      </c>
      <c r="S811" s="7" t="str">
        <f t="shared" si="37"/>
        <v>Loss</v>
      </c>
    </row>
    <row r="812" spans="1:19" x14ac:dyDescent="0.3">
      <c r="A812" s="4" t="s">
        <v>1665</v>
      </c>
      <c r="B812" s="5">
        <v>44713</v>
      </c>
      <c r="C812" s="6" t="s">
        <v>1666</v>
      </c>
      <c r="D812" s="6" t="s">
        <v>46</v>
      </c>
      <c r="E812" s="6">
        <v>11526</v>
      </c>
      <c r="F812" s="6">
        <v>11.1</v>
      </c>
      <c r="G812" s="6">
        <v>36</v>
      </c>
      <c r="H812" s="6" t="s">
        <v>26</v>
      </c>
      <c r="I812" s="6" t="s">
        <v>83</v>
      </c>
      <c r="J812" s="6" t="s">
        <v>21</v>
      </c>
      <c r="K812" s="6">
        <v>147551</v>
      </c>
      <c r="L812" s="6" t="s">
        <v>29</v>
      </c>
      <c r="M812" s="6">
        <v>0.37</v>
      </c>
      <c r="N812" s="6">
        <v>0.68</v>
      </c>
      <c r="O812" s="6">
        <v>1006.42</v>
      </c>
      <c r="P812" s="6">
        <v>0</v>
      </c>
      <c r="Q812" s="6">
        <f t="shared" ca="1" si="38"/>
        <v>45</v>
      </c>
      <c r="R812" s="6">
        <f t="shared" si="36"/>
        <v>10519.58</v>
      </c>
      <c r="S812" s="7" t="str">
        <f t="shared" si="37"/>
        <v>Profit</v>
      </c>
    </row>
    <row r="813" spans="1:19" x14ac:dyDescent="0.3">
      <c r="A813" s="4" t="s">
        <v>1667</v>
      </c>
      <c r="B813" s="5">
        <v>45061</v>
      </c>
      <c r="C813" s="6" t="s">
        <v>1668</v>
      </c>
      <c r="D813" s="6" t="s">
        <v>25</v>
      </c>
      <c r="E813" s="6">
        <v>4374</v>
      </c>
      <c r="F813" s="6">
        <v>10.8</v>
      </c>
      <c r="G813" s="6">
        <v>36</v>
      </c>
      <c r="H813" s="6" t="s">
        <v>19</v>
      </c>
      <c r="I813" s="6" t="s">
        <v>57</v>
      </c>
      <c r="J813" s="6" t="s">
        <v>47</v>
      </c>
      <c r="K813" s="6">
        <v>62551</v>
      </c>
      <c r="L813" s="6" t="s">
        <v>29</v>
      </c>
      <c r="M813" s="6">
        <v>0.19</v>
      </c>
      <c r="N813" s="6">
        <v>0.56000000000000005</v>
      </c>
      <c r="O813" s="6">
        <v>4846.3900000000003</v>
      </c>
      <c r="P813" s="6">
        <v>0</v>
      </c>
      <c r="Q813" s="6">
        <f t="shared" ca="1" si="38"/>
        <v>34</v>
      </c>
      <c r="R813" s="6">
        <f t="shared" si="36"/>
        <v>-472.39000000000033</v>
      </c>
      <c r="S813" s="7" t="str">
        <f t="shared" si="37"/>
        <v>Loss</v>
      </c>
    </row>
    <row r="814" spans="1:19" x14ac:dyDescent="0.3">
      <c r="A814" s="4" t="s">
        <v>1669</v>
      </c>
      <c r="B814" s="5">
        <v>45002</v>
      </c>
      <c r="C814" s="6" t="s">
        <v>1670</v>
      </c>
      <c r="D814" s="6" t="s">
        <v>25</v>
      </c>
      <c r="E814" s="6">
        <v>26592</v>
      </c>
      <c r="F814" s="6">
        <v>16.3</v>
      </c>
      <c r="G814" s="6">
        <v>36</v>
      </c>
      <c r="H814" s="6" t="s">
        <v>26</v>
      </c>
      <c r="I814" s="6" t="s">
        <v>27</v>
      </c>
      <c r="J814" s="6" t="s">
        <v>21</v>
      </c>
      <c r="K814" s="6">
        <v>106384</v>
      </c>
      <c r="L814" s="6" t="s">
        <v>29</v>
      </c>
      <c r="M814" s="6">
        <v>0.48</v>
      </c>
      <c r="N814" s="6">
        <v>0.74</v>
      </c>
      <c r="O814" s="6">
        <v>9009.34</v>
      </c>
      <c r="P814" s="6">
        <v>0</v>
      </c>
      <c r="Q814" s="6">
        <f t="shared" ca="1" si="38"/>
        <v>36</v>
      </c>
      <c r="R814" s="6">
        <f t="shared" si="36"/>
        <v>17582.66</v>
      </c>
      <c r="S814" s="7" t="str">
        <f t="shared" si="37"/>
        <v>Profit</v>
      </c>
    </row>
    <row r="815" spans="1:19" x14ac:dyDescent="0.3">
      <c r="A815" s="4" t="s">
        <v>1671</v>
      </c>
      <c r="B815" s="5">
        <v>45011</v>
      </c>
      <c r="C815" s="6" t="s">
        <v>1672</v>
      </c>
      <c r="D815" s="6" t="s">
        <v>50</v>
      </c>
      <c r="E815" s="6">
        <v>29982</v>
      </c>
      <c r="F815" s="6">
        <v>7.4</v>
      </c>
      <c r="G815" s="6">
        <v>36</v>
      </c>
      <c r="H815" s="6" t="s">
        <v>19</v>
      </c>
      <c r="I815" s="6" t="s">
        <v>20</v>
      </c>
      <c r="J815" s="6" t="s">
        <v>37</v>
      </c>
      <c r="K815" s="6">
        <v>85755</v>
      </c>
      <c r="L815" s="6" t="s">
        <v>29</v>
      </c>
      <c r="M815" s="6">
        <v>0.45</v>
      </c>
      <c r="N815" s="6">
        <v>0.55000000000000004</v>
      </c>
      <c r="O815" s="6">
        <v>32200.67</v>
      </c>
      <c r="P815" s="6">
        <v>0</v>
      </c>
      <c r="Q815" s="6">
        <f t="shared" ca="1" si="38"/>
        <v>35</v>
      </c>
      <c r="R815" s="6">
        <f t="shared" si="36"/>
        <v>-2218.6699999999983</v>
      </c>
      <c r="S815" s="7" t="str">
        <f t="shared" si="37"/>
        <v>Loss</v>
      </c>
    </row>
    <row r="816" spans="1:19" x14ac:dyDescent="0.3">
      <c r="A816" s="4" t="s">
        <v>1673</v>
      </c>
      <c r="B816" s="5">
        <v>44424</v>
      </c>
      <c r="C816" s="6" t="s">
        <v>1674</v>
      </c>
      <c r="D816" s="6" t="s">
        <v>75</v>
      </c>
      <c r="E816" s="6">
        <v>1207</v>
      </c>
      <c r="F816" s="6">
        <v>23.3</v>
      </c>
      <c r="G816" s="6">
        <v>60</v>
      </c>
      <c r="H816" s="6" t="s">
        <v>80</v>
      </c>
      <c r="I816" s="6" t="s">
        <v>83</v>
      </c>
      <c r="J816" s="6" t="s">
        <v>21</v>
      </c>
      <c r="K816" s="6">
        <v>43255</v>
      </c>
      <c r="L816" s="6" t="s">
        <v>33</v>
      </c>
      <c r="M816" s="6">
        <v>0.22</v>
      </c>
      <c r="N816" s="6">
        <v>0.59</v>
      </c>
      <c r="O816" s="6">
        <v>291.58999999999997</v>
      </c>
      <c r="P816" s="6">
        <v>508.63</v>
      </c>
      <c r="Q816" s="6">
        <f t="shared" ca="1" si="38"/>
        <v>55</v>
      </c>
      <c r="R816" s="6">
        <f t="shared" si="36"/>
        <v>915.41000000000008</v>
      </c>
      <c r="S816" s="7" t="str">
        <f t="shared" si="37"/>
        <v>Profit</v>
      </c>
    </row>
    <row r="817" spans="1:19" x14ac:dyDescent="0.3">
      <c r="A817" s="4" t="s">
        <v>1675</v>
      </c>
      <c r="B817" s="5">
        <v>44412</v>
      </c>
      <c r="C817" s="6" t="s">
        <v>1676</v>
      </c>
      <c r="D817" s="6" t="s">
        <v>71</v>
      </c>
      <c r="E817" s="6">
        <v>36433</v>
      </c>
      <c r="F817" s="6">
        <v>19.399999999999999</v>
      </c>
      <c r="G817" s="6">
        <v>60</v>
      </c>
      <c r="H817" s="6" t="s">
        <v>26</v>
      </c>
      <c r="I817" s="6" t="s">
        <v>20</v>
      </c>
      <c r="J817" s="6" t="s">
        <v>37</v>
      </c>
      <c r="K817" s="6">
        <v>34567</v>
      </c>
      <c r="L817" s="6" t="s">
        <v>29</v>
      </c>
      <c r="M817" s="6">
        <v>0.41</v>
      </c>
      <c r="N817" s="6">
        <v>0.95</v>
      </c>
      <c r="O817" s="6">
        <v>16706.38</v>
      </c>
      <c r="P817" s="6">
        <v>0</v>
      </c>
      <c r="Q817" s="6">
        <f t="shared" ca="1" si="38"/>
        <v>55</v>
      </c>
      <c r="R817" s="6">
        <f t="shared" si="36"/>
        <v>19726.62</v>
      </c>
      <c r="S817" s="7" t="str">
        <f t="shared" si="37"/>
        <v>Profit</v>
      </c>
    </row>
    <row r="818" spans="1:19" x14ac:dyDescent="0.3">
      <c r="A818" s="4" t="s">
        <v>1677</v>
      </c>
      <c r="B818" s="5">
        <v>45144</v>
      </c>
      <c r="C818" s="6" t="s">
        <v>1678</v>
      </c>
      <c r="D818" s="6" t="s">
        <v>56</v>
      </c>
      <c r="E818" s="6">
        <v>24197</v>
      </c>
      <c r="F818" s="6">
        <v>13</v>
      </c>
      <c r="G818" s="6">
        <v>60</v>
      </c>
      <c r="H818" s="6" t="s">
        <v>19</v>
      </c>
      <c r="I818" s="6" t="s">
        <v>27</v>
      </c>
      <c r="J818" s="6" t="s">
        <v>47</v>
      </c>
      <c r="K818" s="6">
        <v>78847</v>
      </c>
      <c r="L818" s="6" t="s">
        <v>22</v>
      </c>
      <c r="M818" s="6">
        <v>0.42</v>
      </c>
      <c r="N818" s="6">
        <v>0.74</v>
      </c>
      <c r="O818" s="6">
        <v>27342.61</v>
      </c>
      <c r="P818" s="6">
        <v>0</v>
      </c>
      <c r="Q818" s="6">
        <f t="shared" ca="1" si="38"/>
        <v>31</v>
      </c>
      <c r="R818" s="6">
        <f t="shared" si="36"/>
        <v>-3145.6100000000006</v>
      </c>
      <c r="S818" s="7" t="str">
        <f t="shared" si="37"/>
        <v>Loss</v>
      </c>
    </row>
    <row r="819" spans="1:19" x14ac:dyDescent="0.3">
      <c r="A819" s="4" t="s">
        <v>1679</v>
      </c>
      <c r="B819" s="5">
        <v>44211</v>
      </c>
      <c r="C819" s="6" t="s">
        <v>1680</v>
      </c>
      <c r="D819" s="6" t="s">
        <v>64</v>
      </c>
      <c r="E819" s="6">
        <v>34400</v>
      </c>
      <c r="F819" s="6">
        <v>8.1999999999999993</v>
      </c>
      <c r="G819" s="6">
        <v>36</v>
      </c>
      <c r="H819" s="6" t="s">
        <v>19</v>
      </c>
      <c r="I819" s="6" t="s">
        <v>20</v>
      </c>
      <c r="J819" s="6" t="s">
        <v>28</v>
      </c>
      <c r="K819" s="6">
        <v>134817</v>
      </c>
      <c r="L819" s="6" t="s">
        <v>29</v>
      </c>
      <c r="M819" s="6">
        <v>0.49</v>
      </c>
      <c r="N819" s="6">
        <v>0.63</v>
      </c>
      <c r="O819" s="6">
        <v>37220.800000000003</v>
      </c>
      <c r="P819" s="6">
        <v>0</v>
      </c>
      <c r="Q819" s="6">
        <f t="shared" ca="1" si="38"/>
        <v>62</v>
      </c>
      <c r="R819" s="6">
        <f t="shared" si="36"/>
        <v>-2820.8000000000029</v>
      </c>
      <c r="S819" s="7" t="str">
        <f t="shared" si="37"/>
        <v>Loss</v>
      </c>
    </row>
    <row r="820" spans="1:19" x14ac:dyDescent="0.3">
      <c r="A820" s="4" t="s">
        <v>1681</v>
      </c>
      <c r="B820" s="5">
        <v>44243</v>
      </c>
      <c r="C820" s="6" t="s">
        <v>1682</v>
      </c>
      <c r="D820" s="6" t="s">
        <v>53</v>
      </c>
      <c r="E820" s="6">
        <v>4083</v>
      </c>
      <c r="F820" s="6">
        <v>22.6</v>
      </c>
      <c r="G820" s="6">
        <v>36</v>
      </c>
      <c r="H820" s="6" t="s">
        <v>19</v>
      </c>
      <c r="I820" s="6" t="s">
        <v>57</v>
      </c>
      <c r="J820" s="6" t="s">
        <v>47</v>
      </c>
      <c r="K820" s="6">
        <v>78003</v>
      </c>
      <c r="L820" s="6" t="s">
        <v>33</v>
      </c>
      <c r="M820" s="6">
        <v>0.34</v>
      </c>
      <c r="N820" s="6">
        <v>0.95</v>
      </c>
      <c r="O820" s="6">
        <v>5005.76</v>
      </c>
      <c r="P820" s="6">
        <v>0</v>
      </c>
      <c r="Q820" s="6">
        <f t="shared" ca="1" si="38"/>
        <v>61</v>
      </c>
      <c r="R820" s="6">
        <f t="shared" si="36"/>
        <v>-922.76000000000022</v>
      </c>
      <c r="S820" s="7" t="str">
        <f t="shared" si="37"/>
        <v>Loss</v>
      </c>
    </row>
    <row r="821" spans="1:19" x14ac:dyDescent="0.3">
      <c r="A821" s="4" t="s">
        <v>1683</v>
      </c>
      <c r="B821" s="5">
        <v>44520</v>
      </c>
      <c r="C821" s="6" t="s">
        <v>1684</v>
      </c>
      <c r="D821" s="6" t="s">
        <v>53</v>
      </c>
      <c r="E821" s="6">
        <v>30328</v>
      </c>
      <c r="F821" s="6">
        <v>21.5</v>
      </c>
      <c r="G821" s="6">
        <v>36</v>
      </c>
      <c r="H821" s="6" t="s">
        <v>26</v>
      </c>
      <c r="I821" s="6" t="s">
        <v>72</v>
      </c>
      <c r="J821" s="6" t="s">
        <v>21</v>
      </c>
      <c r="K821" s="6">
        <v>50389</v>
      </c>
      <c r="L821" s="6" t="s">
        <v>29</v>
      </c>
      <c r="M821" s="6">
        <v>0.13</v>
      </c>
      <c r="N821" s="6">
        <v>0.93</v>
      </c>
      <c r="O821" s="6">
        <v>6473.06</v>
      </c>
      <c r="P821" s="6">
        <v>0</v>
      </c>
      <c r="Q821" s="6">
        <f t="shared" ca="1" si="38"/>
        <v>52</v>
      </c>
      <c r="R821" s="6">
        <f t="shared" si="36"/>
        <v>23854.94</v>
      </c>
      <c r="S821" s="7" t="str">
        <f t="shared" si="37"/>
        <v>Profit</v>
      </c>
    </row>
    <row r="822" spans="1:19" x14ac:dyDescent="0.3">
      <c r="A822" s="4" t="s">
        <v>1685</v>
      </c>
      <c r="B822" s="5">
        <v>45040</v>
      </c>
      <c r="C822" s="6" t="s">
        <v>1686</v>
      </c>
      <c r="D822" s="6" t="s">
        <v>25</v>
      </c>
      <c r="E822" s="6">
        <v>21103</v>
      </c>
      <c r="F822" s="6">
        <v>19.399999999999999</v>
      </c>
      <c r="G822" s="6">
        <v>60</v>
      </c>
      <c r="H822" s="6" t="s">
        <v>26</v>
      </c>
      <c r="I822" s="6" t="s">
        <v>57</v>
      </c>
      <c r="J822" s="6" t="s">
        <v>37</v>
      </c>
      <c r="K822" s="6">
        <v>74523</v>
      </c>
      <c r="L822" s="6" t="s">
        <v>29</v>
      </c>
      <c r="M822" s="6">
        <v>0.36</v>
      </c>
      <c r="N822" s="6">
        <v>0.7</v>
      </c>
      <c r="O822" s="6">
        <v>3782.05</v>
      </c>
      <c r="P822" s="6">
        <v>0</v>
      </c>
      <c r="Q822" s="6">
        <f t="shared" ca="1" si="38"/>
        <v>34</v>
      </c>
      <c r="R822" s="6">
        <f t="shared" si="36"/>
        <v>17320.95</v>
      </c>
      <c r="S822" s="7" t="str">
        <f t="shared" si="37"/>
        <v>Profit</v>
      </c>
    </row>
    <row r="823" spans="1:19" x14ac:dyDescent="0.3">
      <c r="A823" s="4" t="s">
        <v>1687</v>
      </c>
      <c r="B823" s="5">
        <v>44326</v>
      </c>
      <c r="C823" s="6" t="s">
        <v>1688</v>
      </c>
      <c r="D823" s="6" t="s">
        <v>56</v>
      </c>
      <c r="E823" s="6">
        <v>11754</v>
      </c>
      <c r="F823" s="6">
        <v>10.4</v>
      </c>
      <c r="G823" s="6">
        <v>60</v>
      </c>
      <c r="H823" s="6" t="s">
        <v>19</v>
      </c>
      <c r="I823" s="6" t="s">
        <v>20</v>
      </c>
      <c r="J823" s="6" t="s">
        <v>21</v>
      </c>
      <c r="K823" s="6">
        <v>91576</v>
      </c>
      <c r="L823" s="6" t="s">
        <v>33</v>
      </c>
      <c r="M823" s="6">
        <v>0.35</v>
      </c>
      <c r="N823" s="6">
        <v>0.62</v>
      </c>
      <c r="O823" s="6">
        <v>12976.42</v>
      </c>
      <c r="P823" s="6">
        <v>0</v>
      </c>
      <c r="Q823" s="6">
        <f t="shared" ca="1" si="38"/>
        <v>58</v>
      </c>
      <c r="R823" s="6">
        <f t="shared" si="36"/>
        <v>-1222.42</v>
      </c>
      <c r="S823" s="7" t="str">
        <f t="shared" si="37"/>
        <v>Loss</v>
      </c>
    </row>
    <row r="824" spans="1:19" x14ac:dyDescent="0.3">
      <c r="A824" s="4" t="s">
        <v>1689</v>
      </c>
      <c r="B824" s="5">
        <v>44291</v>
      </c>
      <c r="C824" s="6" t="s">
        <v>1690</v>
      </c>
      <c r="D824" s="6" t="s">
        <v>53</v>
      </c>
      <c r="E824" s="6">
        <v>35447</v>
      </c>
      <c r="F824" s="6">
        <v>13</v>
      </c>
      <c r="G824" s="6">
        <v>36</v>
      </c>
      <c r="H824" s="6" t="s">
        <v>80</v>
      </c>
      <c r="I824" s="6" t="s">
        <v>57</v>
      </c>
      <c r="J824" s="6" t="s">
        <v>21</v>
      </c>
      <c r="K824" s="6">
        <v>73919</v>
      </c>
      <c r="L824" s="6" t="s">
        <v>29</v>
      </c>
      <c r="M824" s="6">
        <v>0.36</v>
      </c>
      <c r="N824" s="6">
        <v>0.88</v>
      </c>
      <c r="O824" s="6">
        <v>8869.57</v>
      </c>
      <c r="P824" s="6">
        <v>8023.15</v>
      </c>
      <c r="Q824" s="6">
        <f t="shared" ca="1" si="38"/>
        <v>59</v>
      </c>
      <c r="R824" s="6">
        <f t="shared" si="36"/>
        <v>26577.43</v>
      </c>
      <c r="S824" s="7" t="str">
        <f t="shared" si="37"/>
        <v>Profit</v>
      </c>
    </row>
    <row r="825" spans="1:19" x14ac:dyDescent="0.3">
      <c r="A825" s="4" t="s">
        <v>1691</v>
      </c>
      <c r="B825" s="5">
        <v>44823</v>
      </c>
      <c r="C825" s="6" t="s">
        <v>1692</v>
      </c>
      <c r="D825" s="6" t="s">
        <v>40</v>
      </c>
      <c r="E825" s="6">
        <v>16901</v>
      </c>
      <c r="F825" s="6">
        <v>7.1</v>
      </c>
      <c r="G825" s="6">
        <v>60</v>
      </c>
      <c r="H825" s="6" t="s">
        <v>19</v>
      </c>
      <c r="I825" s="6" t="s">
        <v>27</v>
      </c>
      <c r="J825" s="6" t="s">
        <v>28</v>
      </c>
      <c r="K825" s="6">
        <v>112103</v>
      </c>
      <c r="L825" s="6" t="s">
        <v>33</v>
      </c>
      <c r="M825" s="6">
        <v>0.22</v>
      </c>
      <c r="N825" s="6">
        <v>0.82</v>
      </c>
      <c r="O825" s="6">
        <v>18100.97</v>
      </c>
      <c r="P825" s="6">
        <v>0</v>
      </c>
      <c r="Q825" s="6">
        <f t="shared" ca="1" si="38"/>
        <v>42</v>
      </c>
      <c r="R825" s="6">
        <f t="shared" si="36"/>
        <v>-1199.9700000000012</v>
      </c>
      <c r="S825" s="7" t="str">
        <f t="shared" si="37"/>
        <v>Loss</v>
      </c>
    </row>
    <row r="826" spans="1:19" x14ac:dyDescent="0.3">
      <c r="A826" s="4" t="s">
        <v>1693</v>
      </c>
      <c r="B826" s="5">
        <v>44951</v>
      </c>
      <c r="C826" s="6" t="s">
        <v>1694</v>
      </c>
      <c r="D826" s="6" t="s">
        <v>40</v>
      </c>
      <c r="E826" s="6">
        <v>34004</v>
      </c>
      <c r="F826" s="6">
        <v>8.8000000000000007</v>
      </c>
      <c r="G826" s="6">
        <v>36</v>
      </c>
      <c r="H826" s="6" t="s">
        <v>19</v>
      </c>
      <c r="I826" s="6" t="s">
        <v>27</v>
      </c>
      <c r="J826" s="6" t="s">
        <v>21</v>
      </c>
      <c r="K826" s="6">
        <v>33358</v>
      </c>
      <c r="L826" s="6" t="s">
        <v>29</v>
      </c>
      <c r="M826" s="6">
        <v>0.44</v>
      </c>
      <c r="N826" s="6">
        <v>0.81</v>
      </c>
      <c r="O826" s="6">
        <v>36996.35</v>
      </c>
      <c r="P826" s="6">
        <v>0</v>
      </c>
      <c r="Q826" s="6">
        <f t="shared" ca="1" si="38"/>
        <v>37</v>
      </c>
      <c r="R826" s="6">
        <f t="shared" si="36"/>
        <v>-2992.3499999999985</v>
      </c>
      <c r="S826" s="7" t="str">
        <f t="shared" si="37"/>
        <v>Loss</v>
      </c>
    </row>
    <row r="827" spans="1:19" x14ac:dyDescent="0.3">
      <c r="A827" s="4" t="s">
        <v>1695</v>
      </c>
      <c r="B827" s="5">
        <v>44990</v>
      </c>
      <c r="C827" s="6" t="s">
        <v>1696</v>
      </c>
      <c r="D827" s="6" t="s">
        <v>75</v>
      </c>
      <c r="E827" s="6">
        <v>8446</v>
      </c>
      <c r="F827" s="6">
        <v>20.7</v>
      </c>
      <c r="G827" s="6">
        <v>60</v>
      </c>
      <c r="H827" s="6" t="s">
        <v>80</v>
      </c>
      <c r="I827" s="6" t="s">
        <v>20</v>
      </c>
      <c r="J827" s="6" t="s">
        <v>28</v>
      </c>
      <c r="K827" s="6">
        <v>118535</v>
      </c>
      <c r="L827" s="6" t="s">
        <v>22</v>
      </c>
      <c r="M827" s="6">
        <v>0.48</v>
      </c>
      <c r="N827" s="6">
        <v>0.9</v>
      </c>
      <c r="O827" s="6">
        <v>1999.88</v>
      </c>
      <c r="P827" s="6">
        <v>1314.2</v>
      </c>
      <c r="Q827" s="6">
        <f t="shared" ca="1" si="38"/>
        <v>36</v>
      </c>
      <c r="R827" s="6">
        <f t="shared" si="36"/>
        <v>6446.12</v>
      </c>
      <c r="S827" s="7" t="str">
        <f t="shared" si="37"/>
        <v>Profit</v>
      </c>
    </row>
    <row r="828" spans="1:19" x14ac:dyDescent="0.3">
      <c r="A828" s="4" t="s">
        <v>1697</v>
      </c>
      <c r="B828" s="5">
        <v>44265</v>
      </c>
      <c r="C828" s="6" t="s">
        <v>1698</v>
      </c>
      <c r="D828" s="6" t="s">
        <v>56</v>
      </c>
      <c r="E828" s="6">
        <v>38211</v>
      </c>
      <c r="F828" s="6">
        <v>19.3</v>
      </c>
      <c r="G828" s="6">
        <v>60</v>
      </c>
      <c r="H828" s="6" t="s">
        <v>26</v>
      </c>
      <c r="I828" s="6" t="s">
        <v>27</v>
      </c>
      <c r="J828" s="6" t="s">
        <v>37</v>
      </c>
      <c r="K828" s="6">
        <v>137894</v>
      </c>
      <c r="L828" s="6" t="s">
        <v>29</v>
      </c>
      <c r="M828" s="6">
        <v>0.19</v>
      </c>
      <c r="N828" s="6">
        <v>0.81</v>
      </c>
      <c r="O828" s="6">
        <v>7832.97</v>
      </c>
      <c r="P828" s="6">
        <v>0</v>
      </c>
      <c r="Q828" s="6">
        <f t="shared" ca="1" si="38"/>
        <v>60</v>
      </c>
      <c r="R828" s="6">
        <f t="shared" si="36"/>
        <v>30378.03</v>
      </c>
      <c r="S828" s="7" t="str">
        <f t="shared" si="37"/>
        <v>Profit</v>
      </c>
    </row>
    <row r="829" spans="1:19" x14ac:dyDescent="0.3">
      <c r="A829" s="4" t="s">
        <v>1699</v>
      </c>
      <c r="B829" s="5">
        <v>44207</v>
      </c>
      <c r="C829" s="6" t="s">
        <v>1700</v>
      </c>
      <c r="D829" s="6" t="s">
        <v>40</v>
      </c>
      <c r="E829" s="6">
        <v>30301</v>
      </c>
      <c r="F829" s="6">
        <v>16.899999999999999</v>
      </c>
      <c r="G829" s="6">
        <v>60</v>
      </c>
      <c r="H829" s="6" t="s">
        <v>19</v>
      </c>
      <c r="I829" s="6" t="s">
        <v>20</v>
      </c>
      <c r="J829" s="6" t="s">
        <v>37</v>
      </c>
      <c r="K829" s="6">
        <v>106524</v>
      </c>
      <c r="L829" s="6" t="s">
        <v>33</v>
      </c>
      <c r="M829" s="6">
        <v>0.14000000000000001</v>
      </c>
      <c r="N829" s="6">
        <v>0.63</v>
      </c>
      <c r="O829" s="6">
        <v>35421.870000000003</v>
      </c>
      <c r="P829" s="6">
        <v>0</v>
      </c>
      <c r="Q829" s="6">
        <f t="shared" ca="1" si="38"/>
        <v>62</v>
      </c>
      <c r="R829" s="6">
        <f t="shared" si="36"/>
        <v>-5120.8700000000026</v>
      </c>
      <c r="S829" s="7" t="str">
        <f t="shared" si="37"/>
        <v>Loss</v>
      </c>
    </row>
    <row r="830" spans="1:19" x14ac:dyDescent="0.3">
      <c r="A830" s="4" t="s">
        <v>1701</v>
      </c>
      <c r="B830" s="5">
        <v>45068</v>
      </c>
      <c r="C830" s="6" t="s">
        <v>1702</v>
      </c>
      <c r="D830" s="6" t="s">
        <v>40</v>
      </c>
      <c r="E830" s="6">
        <v>27116</v>
      </c>
      <c r="F830" s="6">
        <v>22.9</v>
      </c>
      <c r="G830" s="6">
        <v>36</v>
      </c>
      <c r="H830" s="6" t="s">
        <v>26</v>
      </c>
      <c r="I830" s="6" t="s">
        <v>72</v>
      </c>
      <c r="J830" s="6" t="s">
        <v>28</v>
      </c>
      <c r="K830" s="6">
        <v>135982</v>
      </c>
      <c r="L830" s="6" t="s">
        <v>22</v>
      </c>
      <c r="M830" s="6">
        <v>0.18</v>
      </c>
      <c r="N830" s="6">
        <v>0.81</v>
      </c>
      <c r="O830" s="6">
        <v>9820.9699999999993</v>
      </c>
      <c r="P830" s="6">
        <v>0</v>
      </c>
      <c r="Q830" s="6">
        <f t="shared" ca="1" si="38"/>
        <v>33</v>
      </c>
      <c r="R830" s="6">
        <f t="shared" si="36"/>
        <v>17295.03</v>
      </c>
      <c r="S830" s="7" t="str">
        <f t="shared" si="37"/>
        <v>Profit</v>
      </c>
    </row>
    <row r="831" spans="1:19" x14ac:dyDescent="0.3">
      <c r="A831" s="4" t="s">
        <v>1703</v>
      </c>
      <c r="B831" s="5">
        <v>44746</v>
      </c>
      <c r="C831" s="6" t="s">
        <v>1704</v>
      </c>
      <c r="D831" s="6" t="s">
        <v>25</v>
      </c>
      <c r="E831" s="6">
        <v>19752</v>
      </c>
      <c r="F831" s="6">
        <v>16.7</v>
      </c>
      <c r="G831" s="6">
        <v>60</v>
      </c>
      <c r="H831" s="6" t="s">
        <v>2045</v>
      </c>
      <c r="I831" s="6" t="s">
        <v>57</v>
      </c>
      <c r="J831" s="6" t="s">
        <v>47</v>
      </c>
      <c r="K831" s="6">
        <v>127057</v>
      </c>
      <c r="L831" s="6" t="s">
        <v>33</v>
      </c>
      <c r="M831" s="6">
        <v>0.43</v>
      </c>
      <c r="N831" s="6">
        <v>0.64</v>
      </c>
      <c r="O831" s="6">
        <v>0</v>
      </c>
      <c r="P831" s="6">
        <v>0</v>
      </c>
      <c r="Q831" s="6">
        <f t="shared" ca="1" si="38"/>
        <v>44</v>
      </c>
      <c r="R831" s="6">
        <f t="shared" si="36"/>
        <v>19752</v>
      </c>
      <c r="S831" s="7" t="str">
        <f t="shared" si="37"/>
        <v>Profit</v>
      </c>
    </row>
    <row r="832" spans="1:19" x14ac:dyDescent="0.3">
      <c r="A832" s="4" t="s">
        <v>1705</v>
      </c>
      <c r="B832" s="5">
        <v>44908</v>
      </c>
      <c r="C832" s="6" t="s">
        <v>1706</v>
      </c>
      <c r="D832" s="6" t="s">
        <v>53</v>
      </c>
      <c r="E832" s="6">
        <v>33376</v>
      </c>
      <c r="F832" s="6">
        <v>14.3</v>
      </c>
      <c r="G832" s="6">
        <v>60</v>
      </c>
      <c r="H832" s="6" t="s">
        <v>26</v>
      </c>
      <c r="I832" s="6" t="s">
        <v>72</v>
      </c>
      <c r="J832" s="6" t="s">
        <v>37</v>
      </c>
      <c r="K832" s="6">
        <v>35698</v>
      </c>
      <c r="L832" s="6" t="s">
        <v>29</v>
      </c>
      <c r="M832" s="6">
        <v>0.37</v>
      </c>
      <c r="N832" s="6">
        <v>0.84</v>
      </c>
      <c r="O832" s="6">
        <v>13076.81</v>
      </c>
      <c r="P832" s="6">
        <v>0</v>
      </c>
      <c r="Q832" s="6">
        <f t="shared" ca="1" si="38"/>
        <v>39</v>
      </c>
      <c r="R832" s="6">
        <f t="shared" si="36"/>
        <v>20299.190000000002</v>
      </c>
      <c r="S832" s="7" t="str">
        <f t="shared" si="37"/>
        <v>Profit</v>
      </c>
    </row>
    <row r="833" spans="1:19" x14ac:dyDescent="0.3">
      <c r="A833" s="4" t="s">
        <v>1707</v>
      </c>
      <c r="B833" s="5">
        <v>44219</v>
      </c>
      <c r="C833" s="6" t="s">
        <v>1708</v>
      </c>
      <c r="D833" s="6" t="s">
        <v>75</v>
      </c>
      <c r="E833" s="6">
        <v>17669</v>
      </c>
      <c r="F833" s="6">
        <v>11.8</v>
      </c>
      <c r="G833" s="6">
        <v>36</v>
      </c>
      <c r="H833" s="6" t="s">
        <v>26</v>
      </c>
      <c r="I833" s="6" t="s">
        <v>57</v>
      </c>
      <c r="J833" s="6" t="s">
        <v>47</v>
      </c>
      <c r="K833" s="6">
        <v>96809</v>
      </c>
      <c r="L833" s="6" t="s">
        <v>22</v>
      </c>
      <c r="M833" s="6">
        <v>0.35</v>
      </c>
      <c r="N833" s="6">
        <v>0.78</v>
      </c>
      <c r="O833" s="6">
        <v>7665.57</v>
      </c>
      <c r="P833" s="6">
        <v>0</v>
      </c>
      <c r="Q833" s="6">
        <f t="shared" ca="1" si="38"/>
        <v>61</v>
      </c>
      <c r="R833" s="6">
        <f t="shared" si="36"/>
        <v>10003.43</v>
      </c>
      <c r="S833" s="7" t="str">
        <f t="shared" si="37"/>
        <v>Profit</v>
      </c>
    </row>
    <row r="834" spans="1:19" x14ac:dyDescent="0.3">
      <c r="A834" s="4" t="s">
        <v>1709</v>
      </c>
      <c r="B834" s="5">
        <v>45011</v>
      </c>
      <c r="C834" s="6" t="s">
        <v>1710</v>
      </c>
      <c r="D834" s="6" t="s">
        <v>71</v>
      </c>
      <c r="E834" s="6">
        <v>33916</v>
      </c>
      <c r="F834" s="6">
        <v>23.8</v>
      </c>
      <c r="G834" s="6">
        <v>60</v>
      </c>
      <c r="H834" s="6" t="s">
        <v>26</v>
      </c>
      <c r="I834" s="6" t="s">
        <v>41</v>
      </c>
      <c r="J834" s="6" t="s">
        <v>37</v>
      </c>
      <c r="K834" s="6">
        <v>123079</v>
      </c>
      <c r="L834" s="6" t="s">
        <v>33</v>
      </c>
      <c r="M834" s="6">
        <v>0.26</v>
      </c>
      <c r="N834" s="6">
        <v>0.53</v>
      </c>
      <c r="O834" s="6">
        <v>16543.73</v>
      </c>
      <c r="P834" s="6">
        <v>0</v>
      </c>
      <c r="Q834" s="6">
        <f t="shared" ca="1" si="38"/>
        <v>35</v>
      </c>
      <c r="R834" s="6">
        <f t="shared" ref="R834:R897" si="39">E834-O834</f>
        <v>17372.27</v>
      </c>
      <c r="S834" s="7" t="str">
        <f t="shared" ref="S834:S897" si="40">IF(R834&gt;=0, "Profit","Loss")</f>
        <v>Profit</v>
      </c>
    </row>
    <row r="835" spans="1:19" x14ac:dyDescent="0.3">
      <c r="A835" s="4" t="s">
        <v>1711</v>
      </c>
      <c r="B835" s="5">
        <v>44542</v>
      </c>
      <c r="C835" s="6" t="s">
        <v>1712</v>
      </c>
      <c r="D835" s="6" t="s">
        <v>18</v>
      </c>
      <c r="E835" s="6">
        <v>14395</v>
      </c>
      <c r="F835" s="6">
        <v>6.7</v>
      </c>
      <c r="G835" s="6">
        <v>36</v>
      </c>
      <c r="H835" s="6" t="s">
        <v>19</v>
      </c>
      <c r="I835" s="6" t="s">
        <v>57</v>
      </c>
      <c r="J835" s="6" t="s">
        <v>37</v>
      </c>
      <c r="K835" s="6">
        <v>85805</v>
      </c>
      <c r="L835" s="6" t="s">
        <v>22</v>
      </c>
      <c r="M835" s="6">
        <v>0.33</v>
      </c>
      <c r="N835" s="6">
        <v>0.73</v>
      </c>
      <c r="O835" s="6">
        <v>15359.46</v>
      </c>
      <c r="P835" s="6">
        <v>0</v>
      </c>
      <c r="Q835" s="6">
        <f t="shared" ref="Q835:Q898" ca="1" si="41">DATEDIF(B835,TODAY(),"M")</f>
        <v>51</v>
      </c>
      <c r="R835" s="6">
        <f t="shared" si="39"/>
        <v>-964.45999999999913</v>
      </c>
      <c r="S835" s="7" t="str">
        <f t="shared" si="40"/>
        <v>Loss</v>
      </c>
    </row>
    <row r="836" spans="1:19" x14ac:dyDescent="0.3">
      <c r="A836" s="4" t="s">
        <v>1713</v>
      </c>
      <c r="B836" s="5">
        <v>44498</v>
      </c>
      <c r="C836" s="6" t="s">
        <v>1714</v>
      </c>
      <c r="D836" s="6" t="s">
        <v>64</v>
      </c>
      <c r="E836" s="6">
        <v>21421</v>
      </c>
      <c r="F836" s="6">
        <v>23.6</v>
      </c>
      <c r="G836" s="6">
        <v>36</v>
      </c>
      <c r="H836" s="6" t="s">
        <v>26</v>
      </c>
      <c r="I836" s="6" t="s">
        <v>20</v>
      </c>
      <c r="J836" s="6" t="s">
        <v>32</v>
      </c>
      <c r="K836" s="6">
        <v>61349</v>
      </c>
      <c r="L836" s="6" t="s">
        <v>22</v>
      </c>
      <c r="M836" s="6">
        <v>0.22</v>
      </c>
      <c r="N836" s="6">
        <v>0.65</v>
      </c>
      <c r="O836" s="6">
        <v>3641.47</v>
      </c>
      <c r="P836" s="6">
        <v>0</v>
      </c>
      <c r="Q836" s="6">
        <f t="shared" ca="1" si="41"/>
        <v>52</v>
      </c>
      <c r="R836" s="6">
        <f t="shared" si="39"/>
        <v>17779.53</v>
      </c>
      <c r="S836" s="7" t="str">
        <f t="shared" si="40"/>
        <v>Profit</v>
      </c>
    </row>
    <row r="837" spans="1:19" x14ac:dyDescent="0.3">
      <c r="A837" s="4" t="s">
        <v>1715</v>
      </c>
      <c r="B837" s="5">
        <v>44559</v>
      </c>
      <c r="C837" s="6" t="s">
        <v>1716</v>
      </c>
      <c r="D837" s="6" t="s">
        <v>64</v>
      </c>
      <c r="E837" s="6">
        <v>27342</v>
      </c>
      <c r="F837" s="6">
        <v>21.5</v>
      </c>
      <c r="G837" s="6">
        <v>36</v>
      </c>
      <c r="H837" s="6" t="s">
        <v>19</v>
      </c>
      <c r="I837" s="6" t="s">
        <v>57</v>
      </c>
      <c r="J837" s="6" t="s">
        <v>21</v>
      </c>
      <c r="K837" s="6">
        <v>106777</v>
      </c>
      <c r="L837" s="6" t="s">
        <v>33</v>
      </c>
      <c r="M837" s="6">
        <v>0.28999999999999998</v>
      </c>
      <c r="N837" s="6">
        <v>0.65</v>
      </c>
      <c r="O837" s="6">
        <v>33220.53</v>
      </c>
      <c r="P837" s="6">
        <v>0</v>
      </c>
      <c r="Q837" s="6">
        <f t="shared" ca="1" si="41"/>
        <v>50</v>
      </c>
      <c r="R837" s="6">
        <f t="shared" si="39"/>
        <v>-5878.5299999999988</v>
      </c>
      <c r="S837" s="7" t="str">
        <f t="shared" si="40"/>
        <v>Loss</v>
      </c>
    </row>
    <row r="838" spans="1:19" x14ac:dyDescent="0.3">
      <c r="A838" s="4" t="s">
        <v>1717</v>
      </c>
      <c r="B838" s="5">
        <v>44592</v>
      </c>
      <c r="C838" s="6" t="s">
        <v>1718</v>
      </c>
      <c r="D838" s="6" t="s">
        <v>46</v>
      </c>
      <c r="E838" s="6">
        <v>5895</v>
      </c>
      <c r="F838" s="6">
        <v>7.6</v>
      </c>
      <c r="G838" s="6">
        <v>36</v>
      </c>
      <c r="H838" s="6" t="s">
        <v>80</v>
      </c>
      <c r="I838" s="6" t="s">
        <v>36</v>
      </c>
      <c r="J838" s="6" t="s">
        <v>21</v>
      </c>
      <c r="K838" s="6">
        <v>80248</v>
      </c>
      <c r="L838" s="6" t="s">
        <v>22</v>
      </c>
      <c r="M838" s="6">
        <v>0.42</v>
      </c>
      <c r="N838" s="6">
        <v>0.77</v>
      </c>
      <c r="O838" s="6">
        <v>1855.91</v>
      </c>
      <c r="P838" s="6">
        <v>1714.08</v>
      </c>
      <c r="Q838" s="6">
        <f t="shared" ca="1" si="41"/>
        <v>49</v>
      </c>
      <c r="R838" s="6">
        <f t="shared" si="39"/>
        <v>4039.09</v>
      </c>
      <c r="S838" s="7" t="str">
        <f t="shared" si="40"/>
        <v>Profit</v>
      </c>
    </row>
    <row r="839" spans="1:19" x14ac:dyDescent="0.3">
      <c r="A839" s="4" t="s">
        <v>1719</v>
      </c>
      <c r="B839" s="5">
        <v>44414</v>
      </c>
      <c r="C839" s="6" t="s">
        <v>1720</v>
      </c>
      <c r="D839" s="6" t="s">
        <v>18</v>
      </c>
      <c r="E839" s="6">
        <v>12023</v>
      </c>
      <c r="F839" s="6">
        <v>16.3</v>
      </c>
      <c r="G839" s="6">
        <v>36</v>
      </c>
      <c r="H839" s="6" t="s">
        <v>19</v>
      </c>
      <c r="I839" s="6" t="s">
        <v>27</v>
      </c>
      <c r="J839" s="6" t="s">
        <v>47</v>
      </c>
      <c r="K839" s="6">
        <v>105033</v>
      </c>
      <c r="L839" s="6" t="s">
        <v>33</v>
      </c>
      <c r="M839" s="6">
        <v>0.49</v>
      </c>
      <c r="N839" s="6">
        <v>0.65</v>
      </c>
      <c r="O839" s="6">
        <v>13982.75</v>
      </c>
      <c r="P839" s="6">
        <v>0</v>
      </c>
      <c r="Q839" s="6">
        <f t="shared" ca="1" si="41"/>
        <v>55</v>
      </c>
      <c r="R839" s="6">
        <f t="shared" si="39"/>
        <v>-1959.75</v>
      </c>
      <c r="S839" s="7" t="str">
        <f t="shared" si="40"/>
        <v>Loss</v>
      </c>
    </row>
    <row r="840" spans="1:19" x14ac:dyDescent="0.3">
      <c r="A840" s="4" t="s">
        <v>1721</v>
      </c>
      <c r="B840" s="5">
        <v>44337</v>
      </c>
      <c r="C840" s="6" t="s">
        <v>1722</v>
      </c>
      <c r="D840" s="6" t="s">
        <v>18</v>
      </c>
      <c r="E840" s="6">
        <v>11699</v>
      </c>
      <c r="F840" s="6">
        <v>22.3</v>
      </c>
      <c r="G840" s="6">
        <v>60</v>
      </c>
      <c r="H840" s="6" t="s">
        <v>26</v>
      </c>
      <c r="I840" s="6" t="s">
        <v>27</v>
      </c>
      <c r="J840" s="6" t="s">
        <v>21</v>
      </c>
      <c r="K840" s="6">
        <v>137411</v>
      </c>
      <c r="L840" s="6" t="s">
        <v>22</v>
      </c>
      <c r="M840" s="6">
        <v>0.47</v>
      </c>
      <c r="N840" s="6">
        <v>0.85</v>
      </c>
      <c r="O840" s="6">
        <v>2660.54</v>
      </c>
      <c r="P840" s="6">
        <v>0</v>
      </c>
      <c r="Q840" s="6">
        <f t="shared" ca="1" si="41"/>
        <v>57</v>
      </c>
      <c r="R840" s="6">
        <f t="shared" si="39"/>
        <v>9038.4599999999991</v>
      </c>
      <c r="S840" s="7" t="str">
        <f t="shared" si="40"/>
        <v>Profit</v>
      </c>
    </row>
    <row r="841" spans="1:19" x14ac:dyDescent="0.3">
      <c r="A841" s="4" t="s">
        <v>1723</v>
      </c>
      <c r="B841" s="5">
        <v>45154</v>
      </c>
      <c r="C841" s="6" t="s">
        <v>1724</v>
      </c>
      <c r="D841" s="6" t="s">
        <v>64</v>
      </c>
      <c r="E841" s="6">
        <v>10715</v>
      </c>
      <c r="F841" s="6">
        <v>16.399999999999999</v>
      </c>
      <c r="G841" s="6">
        <v>36</v>
      </c>
      <c r="H841" s="6" t="s">
        <v>19</v>
      </c>
      <c r="I841" s="6" t="s">
        <v>36</v>
      </c>
      <c r="J841" s="6" t="s">
        <v>47</v>
      </c>
      <c r="K841" s="6">
        <v>128239</v>
      </c>
      <c r="L841" s="6" t="s">
        <v>22</v>
      </c>
      <c r="M841" s="6">
        <v>0.47</v>
      </c>
      <c r="N841" s="6">
        <v>0.53</v>
      </c>
      <c r="O841" s="6">
        <v>12472.26</v>
      </c>
      <c r="P841" s="6">
        <v>0</v>
      </c>
      <c r="Q841" s="6">
        <f t="shared" ca="1" si="41"/>
        <v>31</v>
      </c>
      <c r="R841" s="6">
        <f t="shared" si="39"/>
        <v>-1757.2600000000002</v>
      </c>
      <c r="S841" s="7" t="str">
        <f t="shared" si="40"/>
        <v>Loss</v>
      </c>
    </row>
    <row r="842" spans="1:19" x14ac:dyDescent="0.3">
      <c r="A842" s="4" t="s">
        <v>1725</v>
      </c>
      <c r="B842" s="5">
        <v>45181</v>
      </c>
      <c r="C842" s="6" t="s">
        <v>1726</v>
      </c>
      <c r="D842" s="6" t="s">
        <v>64</v>
      </c>
      <c r="E842" s="6">
        <v>20169</v>
      </c>
      <c r="F842" s="6">
        <v>23.1</v>
      </c>
      <c r="G842" s="6">
        <v>36</v>
      </c>
      <c r="H842" s="6" t="s">
        <v>19</v>
      </c>
      <c r="I842" s="6" t="s">
        <v>36</v>
      </c>
      <c r="J842" s="6" t="s">
        <v>37</v>
      </c>
      <c r="K842" s="6">
        <v>74041</v>
      </c>
      <c r="L842" s="6" t="s">
        <v>22</v>
      </c>
      <c r="M842" s="6">
        <v>0.26</v>
      </c>
      <c r="N842" s="6">
        <v>0.8</v>
      </c>
      <c r="O842" s="6">
        <v>24828.04</v>
      </c>
      <c r="P842" s="6">
        <v>0</v>
      </c>
      <c r="Q842" s="6">
        <f t="shared" ca="1" si="41"/>
        <v>30</v>
      </c>
      <c r="R842" s="6">
        <f t="shared" si="39"/>
        <v>-4659.0400000000009</v>
      </c>
      <c r="S842" s="7" t="str">
        <f t="shared" si="40"/>
        <v>Loss</v>
      </c>
    </row>
    <row r="843" spans="1:19" x14ac:dyDescent="0.3">
      <c r="A843" s="4" t="s">
        <v>1727</v>
      </c>
      <c r="B843" s="5">
        <v>45189</v>
      </c>
      <c r="C843" s="6" t="s">
        <v>1728</v>
      </c>
      <c r="D843" s="6" t="s">
        <v>71</v>
      </c>
      <c r="E843" s="6">
        <v>17163</v>
      </c>
      <c r="F843" s="6">
        <v>23.9</v>
      </c>
      <c r="G843" s="6">
        <v>36</v>
      </c>
      <c r="H843" s="6" t="s">
        <v>19</v>
      </c>
      <c r="I843" s="6" t="s">
        <v>27</v>
      </c>
      <c r="J843" s="6" t="s">
        <v>32</v>
      </c>
      <c r="K843" s="6">
        <v>61954</v>
      </c>
      <c r="L843" s="6" t="s">
        <v>29</v>
      </c>
      <c r="M843" s="6">
        <v>0.28999999999999998</v>
      </c>
      <c r="N843" s="6">
        <v>0.86</v>
      </c>
      <c r="O843" s="6">
        <v>21264.959999999999</v>
      </c>
      <c r="P843" s="6">
        <v>0</v>
      </c>
      <c r="Q843" s="6">
        <f t="shared" ca="1" si="41"/>
        <v>30</v>
      </c>
      <c r="R843" s="6">
        <f t="shared" si="39"/>
        <v>-4101.9599999999991</v>
      </c>
      <c r="S843" s="7" t="str">
        <f t="shared" si="40"/>
        <v>Loss</v>
      </c>
    </row>
    <row r="844" spans="1:19" x14ac:dyDescent="0.3">
      <c r="A844" s="4" t="s">
        <v>1729</v>
      </c>
      <c r="B844" s="5">
        <v>45024</v>
      </c>
      <c r="C844" s="6" t="s">
        <v>1730</v>
      </c>
      <c r="D844" s="6" t="s">
        <v>56</v>
      </c>
      <c r="E844" s="6">
        <v>6782</v>
      </c>
      <c r="F844" s="6">
        <v>13.4</v>
      </c>
      <c r="G844" s="6">
        <v>36</v>
      </c>
      <c r="H844" s="6" t="s">
        <v>2045</v>
      </c>
      <c r="I844" s="6" t="s">
        <v>20</v>
      </c>
      <c r="J844" s="6" t="s">
        <v>32</v>
      </c>
      <c r="K844" s="6">
        <v>38002</v>
      </c>
      <c r="L844" s="6" t="s">
        <v>29</v>
      </c>
      <c r="M844" s="6">
        <v>0.38</v>
      </c>
      <c r="N844" s="6">
        <v>0.8</v>
      </c>
      <c r="O844" s="6">
        <v>0</v>
      </c>
      <c r="P844" s="6">
        <v>0</v>
      </c>
      <c r="Q844" s="6">
        <f t="shared" ca="1" si="41"/>
        <v>35</v>
      </c>
      <c r="R844" s="6">
        <f t="shared" si="39"/>
        <v>6782</v>
      </c>
      <c r="S844" s="7" t="str">
        <f t="shared" si="40"/>
        <v>Profit</v>
      </c>
    </row>
    <row r="845" spans="1:19" x14ac:dyDescent="0.3">
      <c r="A845" s="4" t="s">
        <v>1731</v>
      </c>
      <c r="B845" s="5">
        <v>44879</v>
      </c>
      <c r="C845" s="6" t="s">
        <v>1732</v>
      </c>
      <c r="D845" s="6" t="s">
        <v>56</v>
      </c>
      <c r="E845" s="6">
        <v>23641</v>
      </c>
      <c r="F845" s="6">
        <v>12.5</v>
      </c>
      <c r="G845" s="6">
        <v>60</v>
      </c>
      <c r="H845" s="6" t="s">
        <v>2045</v>
      </c>
      <c r="I845" s="6" t="s">
        <v>83</v>
      </c>
      <c r="J845" s="6" t="s">
        <v>37</v>
      </c>
      <c r="K845" s="6">
        <v>99783</v>
      </c>
      <c r="L845" s="6" t="s">
        <v>33</v>
      </c>
      <c r="M845" s="6">
        <v>0.47</v>
      </c>
      <c r="N845" s="6">
        <v>0.72</v>
      </c>
      <c r="O845" s="6">
        <v>0</v>
      </c>
      <c r="P845" s="6">
        <v>0</v>
      </c>
      <c r="Q845" s="6">
        <f t="shared" ca="1" si="41"/>
        <v>40</v>
      </c>
      <c r="R845" s="6">
        <f t="shared" si="39"/>
        <v>23641</v>
      </c>
      <c r="S845" s="7" t="str">
        <f t="shared" si="40"/>
        <v>Profit</v>
      </c>
    </row>
    <row r="846" spans="1:19" x14ac:dyDescent="0.3">
      <c r="A846" s="4" t="s">
        <v>1733</v>
      </c>
      <c r="B846" s="5">
        <v>45200</v>
      </c>
      <c r="C846" s="6" t="s">
        <v>1734</v>
      </c>
      <c r="D846" s="6" t="s">
        <v>71</v>
      </c>
      <c r="E846" s="6">
        <v>19792</v>
      </c>
      <c r="F846" s="6">
        <v>23.7</v>
      </c>
      <c r="G846" s="6">
        <v>36</v>
      </c>
      <c r="H846" s="6" t="s">
        <v>19</v>
      </c>
      <c r="I846" s="6" t="s">
        <v>20</v>
      </c>
      <c r="J846" s="6" t="s">
        <v>28</v>
      </c>
      <c r="K846" s="6">
        <v>137524</v>
      </c>
      <c r="L846" s="6" t="s">
        <v>22</v>
      </c>
      <c r="M846" s="6">
        <v>0.16</v>
      </c>
      <c r="N846" s="6">
        <v>0.93</v>
      </c>
      <c r="O846" s="6">
        <v>24482.7</v>
      </c>
      <c r="P846" s="6">
        <v>0</v>
      </c>
      <c r="Q846" s="6">
        <f t="shared" ca="1" si="41"/>
        <v>29</v>
      </c>
      <c r="R846" s="6">
        <f t="shared" si="39"/>
        <v>-4690.7000000000007</v>
      </c>
      <c r="S846" s="7" t="str">
        <f t="shared" si="40"/>
        <v>Loss</v>
      </c>
    </row>
    <row r="847" spans="1:19" x14ac:dyDescent="0.3">
      <c r="A847" s="4" t="s">
        <v>1735</v>
      </c>
      <c r="B847" s="5">
        <v>44552</v>
      </c>
      <c r="C847" s="6" t="s">
        <v>1736</v>
      </c>
      <c r="D847" s="6" t="s">
        <v>53</v>
      </c>
      <c r="E847" s="6">
        <v>36585</v>
      </c>
      <c r="F847" s="6">
        <v>18.5</v>
      </c>
      <c r="G847" s="6">
        <v>60</v>
      </c>
      <c r="H847" s="6" t="s">
        <v>314</v>
      </c>
      <c r="I847" s="6" t="s">
        <v>27</v>
      </c>
      <c r="J847" s="6" t="s">
        <v>28</v>
      </c>
      <c r="K847" s="6">
        <v>117234</v>
      </c>
      <c r="L847" s="6" t="s">
        <v>33</v>
      </c>
      <c r="M847" s="6">
        <v>0.22</v>
      </c>
      <c r="N847" s="6">
        <v>0.63</v>
      </c>
      <c r="O847" s="6">
        <v>0</v>
      </c>
      <c r="P847" s="6">
        <v>0</v>
      </c>
      <c r="Q847" s="6">
        <f t="shared" ca="1" si="41"/>
        <v>50</v>
      </c>
      <c r="R847" s="6">
        <f t="shared" si="39"/>
        <v>36585</v>
      </c>
      <c r="S847" s="7" t="str">
        <f t="shared" si="40"/>
        <v>Profit</v>
      </c>
    </row>
    <row r="848" spans="1:19" x14ac:dyDescent="0.3">
      <c r="A848" s="4" t="s">
        <v>1737</v>
      </c>
      <c r="B848" s="5">
        <v>45204</v>
      </c>
      <c r="C848" s="6" t="s">
        <v>1738</v>
      </c>
      <c r="D848" s="6" t="s">
        <v>18</v>
      </c>
      <c r="E848" s="6">
        <v>31682</v>
      </c>
      <c r="F848" s="6">
        <v>7.3</v>
      </c>
      <c r="G848" s="6">
        <v>36</v>
      </c>
      <c r="H848" s="6" t="s">
        <v>26</v>
      </c>
      <c r="I848" s="6" t="s">
        <v>27</v>
      </c>
      <c r="J848" s="6" t="s">
        <v>21</v>
      </c>
      <c r="K848" s="6">
        <v>49738</v>
      </c>
      <c r="L848" s="6" t="s">
        <v>29</v>
      </c>
      <c r="M848" s="6">
        <v>0.16</v>
      </c>
      <c r="N848" s="6">
        <v>0.51</v>
      </c>
      <c r="O848" s="6">
        <v>11237.19</v>
      </c>
      <c r="P848" s="6">
        <v>0</v>
      </c>
      <c r="Q848" s="6">
        <f t="shared" ca="1" si="41"/>
        <v>29</v>
      </c>
      <c r="R848" s="6">
        <f t="shared" si="39"/>
        <v>20444.809999999998</v>
      </c>
      <c r="S848" s="7" t="str">
        <f t="shared" si="40"/>
        <v>Profit</v>
      </c>
    </row>
    <row r="849" spans="1:19" x14ac:dyDescent="0.3">
      <c r="A849" s="4" t="s">
        <v>1739</v>
      </c>
      <c r="B849" s="5">
        <v>45084</v>
      </c>
      <c r="C849" s="6" t="s">
        <v>1740</v>
      </c>
      <c r="D849" s="6" t="s">
        <v>50</v>
      </c>
      <c r="E849" s="6">
        <v>19880</v>
      </c>
      <c r="F849" s="6">
        <v>5.8</v>
      </c>
      <c r="G849" s="6">
        <v>60</v>
      </c>
      <c r="H849" s="6" t="s">
        <v>26</v>
      </c>
      <c r="I849" s="6" t="s">
        <v>27</v>
      </c>
      <c r="J849" s="6" t="s">
        <v>47</v>
      </c>
      <c r="K849" s="6">
        <v>40703</v>
      </c>
      <c r="L849" s="6" t="s">
        <v>29</v>
      </c>
      <c r="M849" s="6">
        <v>0.34</v>
      </c>
      <c r="N849" s="6">
        <v>0.69</v>
      </c>
      <c r="O849" s="6">
        <v>5252.13</v>
      </c>
      <c r="P849" s="6">
        <v>0</v>
      </c>
      <c r="Q849" s="6">
        <f t="shared" ca="1" si="41"/>
        <v>33</v>
      </c>
      <c r="R849" s="6">
        <f t="shared" si="39"/>
        <v>14627.869999999999</v>
      </c>
      <c r="S849" s="7" t="str">
        <f t="shared" si="40"/>
        <v>Profit</v>
      </c>
    </row>
    <row r="850" spans="1:19" x14ac:dyDescent="0.3">
      <c r="A850" s="4" t="s">
        <v>1741</v>
      </c>
      <c r="B850" s="5">
        <v>44323</v>
      </c>
      <c r="C850" s="6" t="s">
        <v>1742</v>
      </c>
      <c r="D850" s="6" t="s">
        <v>18</v>
      </c>
      <c r="E850" s="6">
        <v>39067</v>
      </c>
      <c r="F850" s="6">
        <v>16.3</v>
      </c>
      <c r="G850" s="6">
        <v>36</v>
      </c>
      <c r="H850" s="6" t="s">
        <v>19</v>
      </c>
      <c r="I850" s="6" t="s">
        <v>72</v>
      </c>
      <c r="J850" s="6" t="s">
        <v>32</v>
      </c>
      <c r="K850" s="6">
        <v>143776</v>
      </c>
      <c r="L850" s="6" t="s">
        <v>29</v>
      </c>
      <c r="M850" s="6">
        <v>0.22</v>
      </c>
      <c r="N850" s="6">
        <v>0.51</v>
      </c>
      <c r="O850" s="6">
        <v>45434.92</v>
      </c>
      <c r="P850" s="6">
        <v>0</v>
      </c>
      <c r="Q850" s="6">
        <f t="shared" ca="1" si="41"/>
        <v>58</v>
      </c>
      <c r="R850" s="6">
        <f t="shared" si="39"/>
        <v>-6367.9199999999983</v>
      </c>
      <c r="S850" s="7" t="str">
        <f t="shared" si="40"/>
        <v>Loss</v>
      </c>
    </row>
    <row r="851" spans="1:19" x14ac:dyDescent="0.3">
      <c r="A851" s="4" t="s">
        <v>1743</v>
      </c>
      <c r="B851" s="5">
        <v>45205</v>
      </c>
      <c r="C851" s="6" t="s">
        <v>1744</v>
      </c>
      <c r="D851" s="6" t="s">
        <v>46</v>
      </c>
      <c r="E851" s="6">
        <v>19073</v>
      </c>
      <c r="F851" s="6">
        <v>23.6</v>
      </c>
      <c r="G851" s="6">
        <v>36</v>
      </c>
      <c r="H851" s="6" t="s">
        <v>80</v>
      </c>
      <c r="I851" s="6" t="s">
        <v>27</v>
      </c>
      <c r="J851" s="6" t="s">
        <v>21</v>
      </c>
      <c r="K851" s="6">
        <v>79422</v>
      </c>
      <c r="L851" s="6" t="s">
        <v>29</v>
      </c>
      <c r="M851" s="6">
        <v>0.23</v>
      </c>
      <c r="N851" s="6">
        <v>0.93</v>
      </c>
      <c r="O851" s="6">
        <v>7593.57</v>
      </c>
      <c r="P851" s="6">
        <v>6148.31</v>
      </c>
      <c r="Q851" s="6">
        <f t="shared" ca="1" si="41"/>
        <v>29</v>
      </c>
      <c r="R851" s="6">
        <f t="shared" si="39"/>
        <v>11479.43</v>
      </c>
      <c r="S851" s="7" t="str">
        <f t="shared" si="40"/>
        <v>Profit</v>
      </c>
    </row>
    <row r="852" spans="1:19" x14ac:dyDescent="0.3">
      <c r="A852" s="4" t="s">
        <v>1745</v>
      </c>
      <c r="B852" s="5">
        <v>44800</v>
      </c>
      <c r="C852" s="6" t="s">
        <v>1746</v>
      </c>
      <c r="D852" s="6" t="s">
        <v>64</v>
      </c>
      <c r="E852" s="6">
        <v>37035</v>
      </c>
      <c r="F852" s="6">
        <v>21.9</v>
      </c>
      <c r="G852" s="6">
        <v>60</v>
      </c>
      <c r="H852" s="6" t="s">
        <v>26</v>
      </c>
      <c r="I852" s="6" t="s">
        <v>36</v>
      </c>
      <c r="J852" s="6" t="s">
        <v>37</v>
      </c>
      <c r="K852" s="6">
        <v>113106</v>
      </c>
      <c r="L852" s="6" t="s">
        <v>33</v>
      </c>
      <c r="M852" s="6">
        <v>0.13</v>
      </c>
      <c r="N852" s="6">
        <v>0.59</v>
      </c>
      <c r="O852" s="6">
        <v>13999.45</v>
      </c>
      <c r="P852" s="6">
        <v>0</v>
      </c>
      <c r="Q852" s="6">
        <f t="shared" ca="1" si="41"/>
        <v>42</v>
      </c>
      <c r="R852" s="6">
        <f t="shared" si="39"/>
        <v>23035.55</v>
      </c>
      <c r="S852" s="7" t="str">
        <f t="shared" si="40"/>
        <v>Profit</v>
      </c>
    </row>
    <row r="853" spans="1:19" x14ac:dyDescent="0.3">
      <c r="A853" s="4" t="s">
        <v>1747</v>
      </c>
      <c r="B853" s="5">
        <v>45210</v>
      </c>
      <c r="C853" s="6" t="s">
        <v>1748</v>
      </c>
      <c r="D853" s="6" t="s">
        <v>18</v>
      </c>
      <c r="E853" s="6">
        <v>38174</v>
      </c>
      <c r="F853" s="6">
        <v>18.5</v>
      </c>
      <c r="G853" s="6">
        <v>36</v>
      </c>
      <c r="H853" s="6" t="s">
        <v>80</v>
      </c>
      <c r="I853" s="6" t="s">
        <v>20</v>
      </c>
      <c r="J853" s="6" t="s">
        <v>32</v>
      </c>
      <c r="K853" s="6">
        <v>91899</v>
      </c>
      <c r="L853" s="6" t="s">
        <v>22</v>
      </c>
      <c r="M853" s="6">
        <v>0.24</v>
      </c>
      <c r="N853" s="6">
        <v>0.86</v>
      </c>
      <c r="O853" s="6">
        <v>14725.52</v>
      </c>
      <c r="P853" s="6">
        <v>11118.32</v>
      </c>
      <c r="Q853" s="6">
        <f t="shared" ca="1" si="41"/>
        <v>29</v>
      </c>
      <c r="R853" s="6">
        <f t="shared" si="39"/>
        <v>23448.48</v>
      </c>
      <c r="S853" s="7" t="str">
        <f t="shared" si="40"/>
        <v>Profit</v>
      </c>
    </row>
    <row r="854" spans="1:19" x14ac:dyDescent="0.3">
      <c r="A854" s="4" t="s">
        <v>1749</v>
      </c>
      <c r="B854" s="5">
        <v>44247</v>
      </c>
      <c r="C854" s="6" t="s">
        <v>1750</v>
      </c>
      <c r="D854" s="6" t="s">
        <v>64</v>
      </c>
      <c r="E854" s="6">
        <v>25837</v>
      </c>
      <c r="F854" s="6">
        <v>7.8</v>
      </c>
      <c r="G854" s="6">
        <v>60</v>
      </c>
      <c r="H854" s="6" t="s">
        <v>26</v>
      </c>
      <c r="I854" s="6" t="s">
        <v>57</v>
      </c>
      <c r="J854" s="6" t="s">
        <v>47</v>
      </c>
      <c r="K854" s="6">
        <v>42392</v>
      </c>
      <c r="L854" s="6" t="s">
        <v>33</v>
      </c>
      <c r="M854" s="6">
        <v>0.44</v>
      </c>
      <c r="N854" s="6">
        <v>0.85</v>
      </c>
      <c r="O854" s="6">
        <v>10999.75</v>
      </c>
      <c r="P854" s="6">
        <v>0</v>
      </c>
      <c r="Q854" s="6">
        <f t="shared" ca="1" si="41"/>
        <v>61</v>
      </c>
      <c r="R854" s="6">
        <f t="shared" si="39"/>
        <v>14837.25</v>
      </c>
      <c r="S854" s="7" t="str">
        <f t="shared" si="40"/>
        <v>Profit</v>
      </c>
    </row>
    <row r="855" spans="1:19" x14ac:dyDescent="0.3">
      <c r="A855" s="4" t="s">
        <v>1751</v>
      </c>
      <c r="B855" s="5">
        <v>45249</v>
      </c>
      <c r="C855" s="6" t="s">
        <v>1752</v>
      </c>
      <c r="D855" s="6" t="s">
        <v>18</v>
      </c>
      <c r="E855" s="6">
        <v>18826</v>
      </c>
      <c r="F855" s="6">
        <v>10.1</v>
      </c>
      <c r="G855" s="6">
        <v>36</v>
      </c>
      <c r="H855" s="6" t="s">
        <v>26</v>
      </c>
      <c r="I855" s="6" t="s">
        <v>72</v>
      </c>
      <c r="J855" s="6" t="s">
        <v>47</v>
      </c>
      <c r="K855" s="6">
        <v>74724</v>
      </c>
      <c r="L855" s="6" t="s">
        <v>22</v>
      </c>
      <c r="M855" s="6">
        <v>0.19</v>
      </c>
      <c r="N855" s="6">
        <v>0.6</v>
      </c>
      <c r="O855" s="6">
        <v>8590.41</v>
      </c>
      <c r="P855" s="6">
        <v>0</v>
      </c>
      <c r="Q855" s="6">
        <f t="shared" ca="1" si="41"/>
        <v>28</v>
      </c>
      <c r="R855" s="6">
        <f t="shared" si="39"/>
        <v>10235.59</v>
      </c>
      <c r="S855" s="7" t="str">
        <f t="shared" si="40"/>
        <v>Profit</v>
      </c>
    </row>
    <row r="856" spans="1:19" x14ac:dyDescent="0.3">
      <c r="A856" s="4" t="s">
        <v>1753</v>
      </c>
      <c r="B856" s="5">
        <v>44975</v>
      </c>
      <c r="C856" s="6" t="s">
        <v>1754</v>
      </c>
      <c r="D856" s="6" t="s">
        <v>46</v>
      </c>
      <c r="E856" s="6">
        <v>25981</v>
      </c>
      <c r="F856" s="6">
        <v>22.5</v>
      </c>
      <c r="G856" s="6">
        <v>60</v>
      </c>
      <c r="H856" s="6" t="s">
        <v>26</v>
      </c>
      <c r="I856" s="6" t="s">
        <v>41</v>
      </c>
      <c r="J856" s="6" t="s">
        <v>28</v>
      </c>
      <c r="K856" s="6">
        <v>62299</v>
      </c>
      <c r="L856" s="6" t="s">
        <v>29</v>
      </c>
      <c r="M856" s="6">
        <v>0.38</v>
      </c>
      <c r="N856" s="6">
        <v>0.78</v>
      </c>
      <c r="O856" s="6">
        <v>10820.79</v>
      </c>
      <c r="P856" s="6">
        <v>0</v>
      </c>
      <c r="Q856" s="6">
        <f t="shared" ca="1" si="41"/>
        <v>37</v>
      </c>
      <c r="R856" s="6">
        <f t="shared" si="39"/>
        <v>15160.21</v>
      </c>
      <c r="S856" s="7" t="str">
        <f t="shared" si="40"/>
        <v>Profit</v>
      </c>
    </row>
    <row r="857" spans="1:19" x14ac:dyDescent="0.3">
      <c r="A857" s="4" t="s">
        <v>1755</v>
      </c>
      <c r="B857" s="5">
        <v>45010</v>
      </c>
      <c r="C857" s="6" t="s">
        <v>1756</v>
      </c>
      <c r="D857" s="6" t="s">
        <v>53</v>
      </c>
      <c r="E857" s="6">
        <v>11382</v>
      </c>
      <c r="F857" s="6">
        <v>8.6999999999999993</v>
      </c>
      <c r="G857" s="6">
        <v>36</v>
      </c>
      <c r="H857" s="6" t="s">
        <v>19</v>
      </c>
      <c r="I857" s="6" t="s">
        <v>20</v>
      </c>
      <c r="J857" s="6" t="s">
        <v>21</v>
      </c>
      <c r="K857" s="6">
        <v>45641</v>
      </c>
      <c r="L857" s="6" t="s">
        <v>22</v>
      </c>
      <c r="M857" s="6">
        <v>0.35</v>
      </c>
      <c r="N857" s="6">
        <v>0.52</v>
      </c>
      <c r="O857" s="6">
        <v>12372.23</v>
      </c>
      <c r="P857" s="6">
        <v>0</v>
      </c>
      <c r="Q857" s="6">
        <f t="shared" ca="1" si="41"/>
        <v>35</v>
      </c>
      <c r="R857" s="6">
        <f t="shared" si="39"/>
        <v>-990.22999999999956</v>
      </c>
      <c r="S857" s="7" t="str">
        <f t="shared" si="40"/>
        <v>Loss</v>
      </c>
    </row>
    <row r="858" spans="1:19" x14ac:dyDescent="0.3">
      <c r="A858" s="4" t="s">
        <v>1757</v>
      </c>
      <c r="B858" s="5">
        <v>44616</v>
      </c>
      <c r="C858" s="6" t="s">
        <v>1758</v>
      </c>
      <c r="D858" s="6" t="s">
        <v>50</v>
      </c>
      <c r="E858" s="6">
        <v>5437</v>
      </c>
      <c r="F858" s="6">
        <v>10.6</v>
      </c>
      <c r="G858" s="6">
        <v>36</v>
      </c>
      <c r="H858" s="6" t="s">
        <v>19</v>
      </c>
      <c r="I858" s="6" t="s">
        <v>20</v>
      </c>
      <c r="J858" s="6" t="s">
        <v>37</v>
      </c>
      <c r="K858" s="6">
        <v>109534</v>
      </c>
      <c r="L858" s="6" t="s">
        <v>29</v>
      </c>
      <c r="M858" s="6">
        <v>0.45</v>
      </c>
      <c r="N858" s="6">
        <v>0.72</v>
      </c>
      <c r="O858" s="6">
        <v>6013.32</v>
      </c>
      <c r="P858" s="6">
        <v>0</v>
      </c>
      <c r="Q858" s="6">
        <f t="shared" ca="1" si="41"/>
        <v>48</v>
      </c>
      <c r="R858" s="6">
        <f t="shared" si="39"/>
        <v>-576.31999999999971</v>
      </c>
      <c r="S858" s="7" t="str">
        <f t="shared" si="40"/>
        <v>Loss</v>
      </c>
    </row>
    <row r="859" spans="1:19" x14ac:dyDescent="0.3">
      <c r="A859" s="4" t="s">
        <v>1759</v>
      </c>
      <c r="B859" s="5">
        <v>45179</v>
      </c>
      <c r="C859" s="6" t="s">
        <v>1760</v>
      </c>
      <c r="D859" s="6" t="s">
        <v>40</v>
      </c>
      <c r="E859" s="6">
        <v>6435</v>
      </c>
      <c r="F859" s="6">
        <v>7.6</v>
      </c>
      <c r="G859" s="6">
        <v>60</v>
      </c>
      <c r="H859" s="6" t="s">
        <v>19</v>
      </c>
      <c r="I859" s="6" t="s">
        <v>20</v>
      </c>
      <c r="J859" s="6" t="s">
        <v>32</v>
      </c>
      <c r="K859" s="6">
        <v>36305</v>
      </c>
      <c r="L859" s="6" t="s">
        <v>33</v>
      </c>
      <c r="M859" s="6">
        <v>0.15</v>
      </c>
      <c r="N859" s="6">
        <v>0.51</v>
      </c>
      <c r="O859" s="6">
        <v>6924.06</v>
      </c>
      <c r="P859" s="6">
        <v>0</v>
      </c>
      <c r="Q859" s="6">
        <f t="shared" ca="1" si="41"/>
        <v>30</v>
      </c>
      <c r="R859" s="6">
        <f t="shared" si="39"/>
        <v>-489.0600000000004</v>
      </c>
      <c r="S859" s="7" t="str">
        <f t="shared" si="40"/>
        <v>Loss</v>
      </c>
    </row>
    <row r="860" spans="1:19" x14ac:dyDescent="0.3">
      <c r="A860" s="4" t="s">
        <v>1761</v>
      </c>
      <c r="B860" s="5">
        <v>45021</v>
      </c>
      <c r="C860" s="6" t="s">
        <v>1762</v>
      </c>
      <c r="D860" s="6" t="s">
        <v>71</v>
      </c>
      <c r="E860" s="6">
        <v>25819</v>
      </c>
      <c r="F860" s="6">
        <v>18.5</v>
      </c>
      <c r="G860" s="6">
        <v>36</v>
      </c>
      <c r="H860" s="6" t="s">
        <v>19</v>
      </c>
      <c r="I860" s="6" t="s">
        <v>20</v>
      </c>
      <c r="J860" s="6" t="s">
        <v>47</v>
      </c>
      <c r="K860" s="6">
        <v>128262</v>
      </c>
      <c r="L860" s="6" t="s">
        <v>22</v>
      </c>
      <c r="M860" s="6">
        <v>0.49</v>
      </c>
      <c r="N860" s="6">
        <v>0.91</v>
      </c>
      <c r="O860" s="6">
        <v>30595.52</v>
      </c>
      <c r="P860" s="6">
        <v>0</v>
      </c>
      <c r="Q860" s="6">
        <f t="shared" ca="1" si="41"/>
        <v>35</v>
      </c>
      <c r="R860" s="6">
        <f t="shared" si="39"/>
        <v>-4776.5200000000004</v>
      </c>
      <c r="S860" s="7" t="str">
        <f t="shared" si="40"/>
        <v>Loss</v>
      </c>
    </row>
    <row r="861" spans="1:19" x14ac:dyDescent="0.3">
      <c r="A861" s="4" t="s">
        <v>1763</v>
      </c>
      <c r="B861" s="5">
        <v>45221</v>
      </c>
      <c r="C861" s="6" t="s">
        <v>1764</v>
      </c>
      <c r="D861" s="6" t="s">
        <v>71</v>
      </c>
      <c r="E861" s="6">
        <v>37875</v>
      </c>
      <c r="F861" s="6">
        <v>23.9</v>
      </c>
      <c r="G861" s="6">
        <v>36</v>
      </c>
      <c r="H861" s="6" t="s">
        <v>26</v>
      </c>
      <c r="I861" s="6" t="s">
        <v>36</v>
      </c>
      <c r="J861" s="6" t="s">
        <v>32</v>
      </c>
      <c r="K861" s="6">
        <v>48782</v>
      </c>
      <c r="L861" s="6" t="s">
        <v>33</v>
      </c>
      <c r="M861" s="6">
        <v>0.33</v>
      </c>
      <c r="N861" s="6">
        <v>0.94</v>
      </c>
      <c r="O861" s="6">
        <v>9719.5400000000009</v>
      </c>
      <c r="P861" s="6">
        <v>0</v>
      </c>
      <c r="Q861" s="6">
        <f t="shared" ca="1" si="41"/>
        <v>28</v>
      </c>
      <c r="R861" s="6">
        <f t="shared" si="39"/>
        <v>28155.46</v>
      </c>
      <c r="S861" s="7" t="str">
        <f t="shared" si="40"/>
        <v>Profit</v>
      </c>
    </row>
    <row r="862" spans="1:19" x14ac:dyDescent="0.3">
      <c r="A862" s="4" t="s">
        <v>1765</v>
      </c>
      <c r="B862" s="5">
        <v>44763</v>
      </c>
      <c r="C862" s="6" t="s">
        <v>1766</v>
      </c>
      <c r="D862" s="6" t="s">
        <v>50</v>
      </c>
      <c r="E862" s="6">
        <v>32982</v>
      </c>
      <c r="F862" s="6">
        <v>10.4</v>
      </c>
      <c r="G862" s="6">
        <v>36</v>
      </c>
      <c r="H862" s="6" t="s">
        <v>26</v>
      </c>
      <c r="I862" s="6" t="s">
        <v>27</v>
      </c>
      <c r="J862" s="6" t="s">
        <v>37</v>
      </c>
      <c r="K862" s="6">
        <v>108257</v>
      </c>
      <c r="L862" s="6" t="s">
        <v>29</v>
      </c>
      <c r="M862" s="6">
        <v>0.5</v>
      </c>
      <c r="N862" s="6">
        <v>0.6</v>
      </c>
      <c r="O862" s="6">
        <v>5386.12</v>
      </c>
      <c r="P862" s="6">
        <v>0</v>
      </c>
      <c r="Q862" s="6">
        <f t="shared" ca="1" si="41"/>
        <v>43</v>
      </c>
      <c r="R862" s="6">
        <f t="shared" si="39"/>
        <v>27595.88</v>
      </c>
      <c r="S862" s="7" t="str">
        <f t="shared" si="40"/>
        <v>Profit</v>
      </c>
    </row>
    <row r="863" spans="1:19" x14ac:dyDescent="0.3">
      <c r="A863" s="4" t="s">
        <v>1767</v>
      </c>
      <c r="B863" s="5">
        <v>44567</v>
      </c>
      <c r="C863" s="6" t="s">
        <v>1768</v>
      </c>
      <c r="D863" s="6" t="s">
        <v>18</v>
      </c>
      <c r="E863" s="6">
        <v>34328</v>
      </c>
      <c r="F863" s="6">
        <v>14.5</v>
      </c>
      <c r="G863" s="6">
        <v>36</v>
      </c>
      <c r="H863" s="6" t="s">
        <v>80</v>
      </c>
      <c r="I863" s="6" t="s">
        <v>27</v>
      </c>
      <c r="J863" s="6" t="s">
        <v>32</v>
      </c>
      <c r="K863" s="6">
        <v>135299</v>
      </c>
      <c r="L863" s="6" t="s">
        <v>33</v>
      </c>
      <c r="M863" s="6">
        <v>0.46</v>
      </c>
      <c r="N863" s="6">
        <v>0.59</v>
      </c>
      <c r="O863" s="6">
        <v>7246.51</v>
      </c>
      <c r="P863" s="6">
        <v>14471.77</v>
      </c>
      <c r="Q863" s="6">
        <f t="shared" ca="1" si="41"/>
        <v>50</v>
      </c>
      <c r="R863" s="6">
        <f t="shared" si="39"/>
        <v>27081.489999999998</v>
      </c>
      <c r="S863" s="7" t="str">
        <f t="shared" si="40"/>
        <v>Profit</v>
      </c>
    </row>
    <row r="864" spans="1:19" x14ac:dyDescent="0.3">
      <c r="A864" s="4" t="s">
        <v>1769</v>
      </c>
      <c r="B864" s="5">
        <v>45132</v>
      </c>
      <c r="C864" s="6" t="s">
        <v>1770</v>
      </c>
      <c r="D864" s="6" t="s">
        <v>40</v>
      </c>
      <c r="E864" s="6">
        <v>13329</v>
      </c>
      <c r="F864" s="6">
        <v>17.7</v>
      </c>
      <c r="G864" s="6">
        <v>36</v>
      </c>
      <c r="H864" s="6" t="s">
        <v>19</v>
      </c>
      <c r="I864" s="6" t="s">
        <v>72</v>
      </c>
      <c r="J864" s="6" t="s">
        <v>21</v>
      </c>
      <c r="K864" s="6">
        <v>107963</v>
      </c>
      <c r="L864" s="6" t="s">
        <v>29</v>
      </c>
      <c r="M864" s="6">
        <v>0.19</v>
      </c>
      <c r="N864" s="6">
        <v>0.84</v>
      </c>
      <c r="O864" s="6">
        <v>15688.23</v>
      </c>
      <c r="P864" s="6">
        <v>0</v>
      </c>
      <c r="Q864" s="6">
        <f t="shared" ca="1" si="41"/>
        <v>31</v>
      </c>
      <c r="R864" s="6">
        <f t="shared" si="39"/>
        <v>-2359.2299999999996</v>
      </c>
      <c r="S864" s="7" t="str">
        <f t="shared" si="40"/>
        <v>Loss</v>
      </c>
    </row>
    <row r="865" spans="1:19" x14ac:dyDescent="0.3">
      <c r="A865" s="4" t="s">
        <v>1771</v>
      </c>
      <c r="B865" s="5">
        <v>44857</v>
      </c>
      <c r="C865" s="6" t="s">
        <v>1772</v>
      </c>
      <c r="D865" s="6" t="s">
        <v>46</v>
      </c>
      <c r="E865" s="6">
        <v>26169</v>
      </c>
      <c r="F865" s="6">
        <v>25</v>
      </c>
      <c r="G865" s="6">
        <v>36</v>
      </c>
      <c r="H865" s="6" t="s">
        <v>19</v>
      </c>
      <c r="I865" s="6" t="s">
        <v>83</v>
      </c>
      <c r="J865" s="6" t="s">
        <v>28</v>
      </c>
      <c r="K865" s="6">
        <v>142086</v>
      </c>
      <c r="L865" s="6" t="s">
        <v>29</v>
      </c>
      <c r="M865" s="6">
        <v>0.12</v>
      </c>
      <c r="N865" s="6">
        <v>0.61</v>
      </c>
      <c r="O865" s="6">
        <v>32711.25</v>
      </c>
      <c r="P865" s="6">
        <v>0</v>
      </c>
      <c r="Q865" s="6">
        <f t="shared" ca="1" si="41"/>
        <v>40</v>
      </c>
      <c r="R865" s="6">
        <f t="shared" si="39"/>
        <v>-6542.25</v>
      </c>
      <c r="S865" s="7" t="str">
        <f t="shared" si="40"/>
        <v>Loss</v>
      </c>
    </row>
    <row r="866" spans="1:19" x14ac:dyDescent="0.3">
      <c r="A866" s="4" t="s">
        <v>1773</v>
      </c>
      <c r="B866" s="5">
        <v>45165</v>
      </c>
      <c r="C866" s="6" t="s">
        <v>1774</v>
      </c>
      <c r="D866" s="6" t="s">
        <v>56</v>
      </c>
      <c r="E866" s="6">
        <v>22932</v>
      </c>
      <c r="F866" s="6">
        <v>7.1</v>
      </c>
      <c r="G866" s="6">
        <v>60</v>
      </c>
      <c r="H866" s="6" t="s">
        <v>19</v>
      </c>
      <c r="I866" s="6" t="s">
        <v>20</v>
      </c>
      <c r="J866" s="6" t="s">
        <v>32</v>
      </c>
      <c r="K866" s="6">
        <v>50566</v>
      </c>
      <c r="L866" s="6" t="s">
        <v>29</v>
      </c>
      <c r="M866" s="6">
        <v>0.2</v>
      </c>
      <c r="N866" s="6">
        <v>0.9</v>
      </c>
      <c r="O866" s="6">
        <v>24560.17</v>
      </c>
      <c r="P866" s="6">
        <v>0</v>
      </c>
      <c r="Q866" s="6">
        <f t="shared" ca="1" si="41"/>
        <v>30</v>
      </c>
      <c r="R866" s="6">
        <f t="shared" si="39"/>
        <v>-1628.1699999999983</v>
      </c>
      <c r="S866" s="7" t="str">
        <f t="shared" si="40"/>
        <v>Loss</v>
      </c>
    </row>
    <row r="867" spans="1:19" x14ac:dyDescent="0.3">
      <c r="A867" s="4" t="s">
        <v>1775</v>
      </c>
      <c r="B867" s="5">
        <v>44398</v>
      </c>
      <c r="C867" s="6" t="s">
        <v>1776</v>
      </c>
      <c r="D867" s="6" t="s">
        <v>18</v>
      </c>
      <c r="E867" s="6">
        <v>35594</v>
      </c>
      <c r="F867" s="6">
        <v>15</v>
      </c>
      <c r="G867" s="6">
        <v>60</v>
      </c>
      <c r="H867" s="6" t="s">
        <v>19</v>
      </c>
      <c r="I867" s="6" t="s">
        <v>57</v>
      </c>
      <c r="J867" s="6" t="s">
        <v>28</v>
      </c>
      <c r="K867" s="6">
        <v>97766</v>
      </c>
      <c r="L867" s="6" t="s">
        <v>33</v>
      </c>
      <c r="M867" s="6">
        <v>0.31</v>
      </c>
      <c r="N867" s="6">
        <v>0.76</v>
      </c>
      <c r="O867" s="6">
        <v>40933.1</v>
      </c>
      <c r="P867" s="6">
        <v>0</v>
      </c>
      <c r="Q867" s="6">
        <f t="shared" ca="1" si="41"/>
        <v>55</v>
      </c>
      <c r="R867" s="6">
        <f t="shared" si="39"/>
        <v>-5339.0999999999985</v>
      </c>
      <c r="S867" s="7" t="str">
        <f t="shared" si="40"/>
        <v>Loss</v>
      </c>
    </row>
    <row r="868" spans="1:19" x14ac:dyDescent="0.3">
      <c r="A868" s="4" t="s">
        <v>1777</v>
      </c>
      <c r="B868" s="5">
        <v>44509</v>
      </c>
      <c r="C868" s="6" t="s">
        <v>1778</v>
      </c>
      <c r="D868" s="6" t="s">
        <v>53</v>
      </c>
      <c r="E868" s="6">
        <v>12421</v>
      </c>
      <c r="F868" s="6">
        <v>12.7</v>
      </c>
      <c r="G868" s="6">
        <v>60</v>
      </c>
      <c r="H868" s="6" t="s">
        <v>19</v>
      </c>
      <c r="I868" s="6" t="s">
        <v>72</v>
      </c>
      <c r="J868" s="6" t="s">
        <v>37</v>
      </c>
      <c r="K868" s="6">
        <v>36511</v>
      </c>
      <c r="L868" s="6" t="s">
        <v>33</v>
      </c>
      <c r="M868" s="6">
        <v>0.17</v>
      </c>
      <c r="N868" s="6">
        <v>0.66</v>
      </c>
      <c r="O868" s="6">
        <v>13998.47</v>
      </c>
      <c r="P868" s="6">
        <v>0</v>
      </c>
      <c r="Q868" s="6">
        <f t="shared" ca="1" si="41"/>
        <v>52</v>
      </c>
      <c r="R868" s="6">
        <f t="shared" si="39"/>
        <v>-1577.4699999999993</v>
      </c>
      <c r="S868" s="7" t="str">
        <f t="shared" si="40"/>
        <v>Loss</v>
      </c>
    </row>
    <row r="869" spans="1:19" x14ac:dyDescent="0.3">
      <c r="A869" s="4" t="s">
        <v>1779</v>
      </c>
      <c r="B869" s="5">
        <v>44313</v>
      </c>
      <c r="C869" s="6" t="s">
        <v>1780</v>
      </c>
      <c r="D869" s="6" t="s">
        <v>64</v>
      </c>
      <c r="E869" s="6">
        <v>8629</v>
      </c>
      <c r="F869" s="6">
        <v>22.3</v>
      </c>
      <c r="G869" s="6">
        <v>36</v>
      </c>
      <c r="H869" s="6" t="s">
        <v>26</v>
      </c>
      <c r="I869" s="6" t="s">
        <v>20</v>
      </c>
      <c r="J869" s="6" t="s">
        <v>28</v>
      </c>
      <c r="K869" s="6">
        <v>144816</v>
      </c>
      <c r="L869" s="6" t="s">
        <v>22</v>
      </c>
      <c r="M869" s="6">
        <v>0.17</v>
      </c>
      <c r="N869" s="6">
        <v>0.87</v>
      </c>
      <c r="O869" s="6">
        <v>510.03</v>
      </c>
      <c r="P869" s="6">
        <v>0</v>
      </c>
      <c r="Q869" s="6">
        <f t="shared" ca="1" si="41"/>
        <v>58</v>
      </c>
      <c r="R869" s="6">
        <f t="shared" si="39"/>
        <v>8118.97</v>
      </c>
      <c r="S869" s="7" t="str">
        <f t="shared" si="40"/>
        <v>Profit</v>
      </c>
    </row>
    <row r="870" spans="1:19" x14ac:dyDescent="0.3">
      <c r="A870" s="4" t="s">
        <v>1781</v>
      </c>
      <c r="B870" s="5">
        <v>45133</v>
      </c>
      <c r="C870" s="6" t="s">
        <v>1782</v>
      </c>
      <c r="D870" s="6" t="s">
        <v>75</v>
      </c>
      <c r="E870" s="6">
        <v>9325</v>
      </c>
      <c r="F870" s="6">
        <v>14.5</v>
      </c>
      <c r="G870" s="6">
        <v>60</v>
      </c>
      <c r="H870" s="6" t="s">
        <v>19</v>
      </c>
      <c r="I870" s="6" t="s">
        <v>57</v>
      </c>
      <c r="J870" s="6" t="s">
        <v>32</v>
      </c>
      <c r="K870" s="6">
        <v>137765</v>
      </c>
      <c r="L870" s="6" t="s">
        <v>22</v>
      </c>
      <c r="M870" s="6">
        <v>0.28999999999999998</v>
      </c>
      <c r="N870" s="6">
        <v>0.72</v>
      </c>
      <c r="O870" s="6">
        <v>10677.12</v>
      </c>
      <c r="P870" s="6">
        <v>0</v>
      </c>
      <c r="Q870" s="6">
        <f t="shared" ca="1" si="41"/>
        <v>31</v>
      </c>
      <c r="R870" s="6">
        <f t="shared" si="39"/>
        <v>-1352.1200000000008</v>
      </c>
      <c r="S870" s="7" t="str">
        <f t="shared" si="40"/>
        <v>Loss</v>
      </c>
    </row>
    <row r="871" spans="1:19" x14ac:dyDescent="0.3">
      <c r="A871" s="4" t="s">
        <v>1783</v>
      </c>
      <c r="B871" s="5">
        <v>44771</v>
      </c>
      <c r="C871" s="6" t="s">
        <v>1784</v>
      </c>
      <c r="D871" s="6" t="s">
        <v>18</v>
      </c>
      <c r="E871" s="6">
        <v>29495</v>
      </c>
      <c r="F871" s="6">
        <v>7.2</v>
      </c>
      <c r="G871" s="6">
        <v>36</v>
      </c>
      <c r="H871" s="6" t="s">
        <v>26</v>
      </c>
      <c r="I871" s="6" t="s">
        <v>57</v>
      </c>
      <c r="J871" s="6" t="s">
        <v>32</v>
      </c>
      <c r="K871" s="6">
        <v>148360</v>
      </c>
      <c r="L871" s="6" t="s">
        <v>33</v>
      </c>
      <c r="M871" s="6">
        <v>0.11</v>
      </c>
      <c r="N871" s="6">
        <v>0.91</v>
      </c>
      <c r="O871" s="6">
        <v>8429.58</v>
      </c>
      <c r="P871" s="6">
        <v>0</v>
      </c>
      <c r="Q871" s="6">
        <f t="shared" ca="1" si="41"/>
        <v>43</v>
      </c>
      <c r="R871" s="6">
        <f t="shared" si="39"/>
        <v>21065.42</v>
      </c>
      <c r="S871" s="7" t="str">
        <f t="shared" si="40"/>
        <v>Profit</v>
      </c>
    </row>
    <row r="872" spans="1:19" x14ac:dyDescent="0.3">
      <c r="A872" s="4" t="s">
        <v>1785</v>
      </c>
      <c r="B872" s="5">
        <v>44440</v>
      </c>
      <c r="C872" s="6" t="s">
        <v>1786</v>
      </c>
      <c r="D872" s="6" t="s">
        <v>75</v>
      </c>
      <c r="E872" s="6">
        <v>32750</v>
      </c>
      <c r="F872" s="6">
        <v>17.7</v>
      </c>
      <c r="G872" s="6">
        <v>36</v>
      </c>
      <c r="H872" s="6" t="s">
        <v>19</v>
      </c>
      <c r="I872" s="6" t="s">
        <v>20</v>
      </c>
      <c r="J872" s="6" t="s">
        <v>47</v>
      </c>
      <c r="K872" s="6">
        <v>56177</v>
      </c>
      <c r="L872" s="6" t="s">
        <v>33</v>
      </c>
      <c r="M872" s="6">
        <v>0.15</v>
      </c>
      <c r="N872" s="6">
        <v>0.92</v>
      </c>
      <c r="O872" s="6">
        <v>38546.75</v>
      </c>
      <c r="P872" s="6">
        <v>0</v>
      </c>
      <c r="Q872" s="6">
        <f t="shared" ca="1" si="41"/>
        <v>54</v>
      </c>
      <c r="R872" s="6">
        <f t="shared" si="39"/>
        <v>-5796.75</v>
      </c>
      <c r="S872" s="7" t="str">
        <f t="shared" si="40"/>
        <v>Loss</v>
      </c>
    </row>
    <row r="873" spans="1:19" x14ac:dyDescent="0.3">
      <c r="A873" s="4" t="s">
        <v>1787</v>
      </c>
      <c r="B873" s="5">
        <v>44733</v>
      </c>
      <c r="C873" s="6" t="s">
        <v>1788</v>
      </c>
      <c r="D873" s="6" t="s">
        <v>18</v>
      </c>
      <c r="E873" s="6">
        <v>30619</v>
      </c>
      <c r="F873" s="6">
        <v>20.399999999999999</v>
      </c>
      <c r="G873" s="6">
        <v>36</v>
      </c>
      <c r="H873" s="6" t="s">
        <v>80</v>
      </c>
      <c r="I873" s="6" t="s">
        <v>20</v>
      </c>
      <c r="J873" s="6" t="s">
        <v>32</v>
      </c>
      <c r="K873" s="6">
        <v>34765</v>
      </c>
      <c r="L873" s="6" t="s">
        <v>33</v>
      </c>
      <c r="M873" s="6">
        <v>0.27</v>
      </c>
      <c r="N873" s="6">
        <v>0.56999999999999995</v>
      </c>
      <c r="O873" s="6">
        <v>7701.21</v>
      </c>
      <c r="P873" s="6">
        <v>8440.1</v>
      </c>
      <c r="Q873" s="6">
        <f t="shared" ca="1" si="41"/>
        <v>44</v>
      </c>
      <c r="R873" s="6">
        <f t="shared" si="39"/>
        <v>22917.79</v>
      </c>
      <c r="S873" s="7" t="str">
        <f t="shared" si="40"/>
        <v>Profit</v>
      </c>
    </row>
    <row r="874" spans="1:19" x14ac:dyDescent="0.3">
      <c r="A874" s="4" t="s">
        <v>1789</v>
      </c>
      <c r="B874" s="5">
        <v>44271</v>
      </c>
      <c r="C874" s="6" t="s">
        <v>1790</v>
      </c>
      <c r="D874" s="6" t="s">
        <v>50</v>
      </c>
      <c r="E874" s="6">
        <v>9264</v>
      </c>
      <c r="F874" s="6">
        <v>5.0999999999999996</v>
      </c>
      <c r="G874" s="6">
        <v>36</v>
      </c>
      <c r="H874" s="6" t="s">
        <v>26</v>
      </c>
      <c r="I874" s="6" t="s">
        <v>27</v>
      </c>
      <c r="J874" s="6" t="s">
        <v>28</v>
      </c>
      <c r="K874" s="6">
        <v>50354</v>
      </c>
      <c r="L874" s="6" t="s">
        <v>33</v>
      </c>
      <c r="M874" s="6">
        <v>0.13</v>
      </c>
      <c r="N874" s="6">
        <v>0.5</v>
      </c>
      <c r="O874" s="6">
        <v>2652.86</v>
      </c>
      <c r="P874" s="6">
        <v>0</v>
      </c>
      <c r="Q874" s="6">
        <f t="shared" ca="1" si="41"/>
        <v>60</v>
      </c>
      <c r="R874" s="6">
        <f t="shared" si="39"/>
        <v>6611.1399999999994</v>
      </c>
      <c r="S874" s="7" t="str">
        <f t="shared" si="40"/>
        <v>Profit</v>
      </c>
    </row>
    <row r="875" spans="1:19" x14ac:dyDescent="0.3">
      <c r="A875" s="4" t="s">
        <v>1791</v>
      </c>
      <c r="B875" s="5">
        <v>44582</v>
      </c>
      <c r="C875" s="6" t="s">
        <v>1792</v>
      </c>
      <c r="D875" s="6" t="s">
        <v>75</v>
      </c>
      <c r="E875" s="6">
        <v>13686</v>
      </c>
      <c r="F875" s="6">
        <v>22.2</v>
      </c>
      <c r="G875" s="6">
        <v>60</v>
      </c>
      <c r="H875" s="6" t="s">
        <v>2045</v>
      </c>
      <c r="I875" s="6" t="s">
        <v>20</v>
      </c>
      <c r="J875" s="6" t="s">
        <v>47</v>
      </c>
      <c r="K875" s="6">
        <v>53929</v>
      </c>
      <c r="L875" s="6" t="s">
        <v>29</v>
      </c>
      <c r="M875" s="6">
        <v>0.26</v>
      </c>
      <c r="N875" s="6">
        <v>0.94</v>
      </c>
      <c r="O875" s="6">
        <v>0</v>
      </c>
      <c r="P875" s="6">
        <v>0</v>
      </c>
      <c r="Q875" s="6">
        <f t="shared" ca="1" si="41"/>
        <v>49</v>
      </c>
      <c r="R875" s="6">
        <f t="shared" si="39"/>
        <v>13686</v>
      </c>
      <c r="S875" s="7" t="str">
        <f t="shared" si="40"/>
        <v>Profit</v>
      </c>
    </row>
    <row r="876" spans="1:19" x14ac:dyDescent="0.3">
      <c r="A876" s="4" t="s">
        <v>1793</v>
      </c>
      <c r="B876" s="5">
        <v>44671</v>
      </c>
      <c r="C876" s="6" t="s">
        <v>1794</v>
      </c>
      <c r="D876" s="6" t="s">
        <v>18</v>
      </c>
      <c r="E876" s="6">
        <v>25226</v>
      </c>
      <c r="F876" s="6">
        <v>8.6999999999999993</v>
      </c>
      <c r="G876" s="6">
        <v>36</v>
      </c>
      <c r="H876" s="6" t="s">
        <v>80</v>
      </c>
      <c r="I876" s="6" t="s">
        <v>36</v>
      </c>
      <c r="J876" s="6" t="s">
        <v>32</v>
      </c>
      <c r="K876" s="6">
        <v>58820</v>
      </c>
      <c r="L876" s="6" t="s">
        <v>29</v>
      </c>
      <c r="M876" s="6">
        <v>0.28999999999999998</v>
      </c>
      <c r="N876" s="6">
        <v>0.91</v>
      </c>
      <c r="O876" s="6">
        <v>9893.8700000000008</v>
      </c>
      <c r="P876" s="6">
        <v>7297.15</v>
      </c>
      <c r="Q876" s="6">
        <f t="shared" ca="1" si="41"/>
        <v>47</v>
      </c>
      <c r="R876" s="6">
        <f t="shared" si="39"/>
        <v>15332.13</v>
      </c>
      <c r="S876" s="7" t="str">
        <f t="shared" si="40"/>
        <v>Profit</v>
      </c>
    </row>
    <row r="877" spans="1:19" x14ac:dyDescent="0.3">
      <c r="A877" s="4" t="s">
        <v>1795</v>
      </c>
      <c r="B877" s="5">
        <v>44614</v>
      </c>
      <c r="C877" s="6" t="s">
        <v>1796</v>
      </c>
      <c r="D877" s="6" t="s">
        <v>71</v>
      </c>
      <c r="E877" s="6">
        <v>7721</v>
      </c>
      <c r="F877" s="6">
        <v>16</v>
      </c>
      <c r="G877" s="6">
        <v>60</v>
      </c>
      <c r="H877" s="6" t="s">
        <v>80</v>
      </c>
      <c r="I877" s="6" t="s">
        <v>20</v>
      </c>
      <c r="J877" s="6" t="s">
        <v>32</v>
      </c>
      <c r="K877" s="6">
        <v>141576</v>
      </c>
      <c r="L877" s="6" t="s">
        <v>29</v>
      </c>
      <c r="M877" s="6">
        <v>0.28000000000000003</v>
      </c>
      <c r="N877" s="6">
        <v>0.52</v>
      </c>
      <c r="O877" s="6">
        <v>2883.3</v>
      </c>
      <c r="P877" s="6">
        <v>822.57</v>
      </c>
      <c r="Q877" s="6">
        <f t="shared" ca="1" si="41"/>
        <v>48</v>
      </c>
      <c r="R877" s="6">
        <f t="shared" si="39"/>
        <v>4837.7</v>
      </c>
      <c r="S877" s="7" t="str">
        <f t="shared" si="40"/>
        <v>Profit</v>
      </c>
    </row>
    <row r="878" spans="1:19" x14ac:dyDescent="0.3">
      <c r="A878" s="4" t="s">
        <v>1797</v>
      </c>
      <c r="B878" s="5">
        <v>44543</v>
      </c>
      <c r="C878" s="6" t="s">
        <v>1798</v>
      </c>
      <c r="D878" s="6" t="s">
        <v>75</v>
      </c>
      <c r="E878" s="6">
        <v>21609</v>
      </c>
      <c r="F878" s="6">
        <v>13.3</v>
      </c>
      <c r="G878" s="6">
        <v>36</v>
      </c>
      <c r="H878" s="6" t="s">
        <v>80</v>
      </c>
      <c r="I878" s="6" t="s">
        <v>83</v>
      </c>
      <c r="J878" s="6" t="s">
        <v>37</v>
      </c>
      <c r="K878" s="6">
        <v>59523</v>
      </c>
      <c r="L878" s="6" t="s">
        <v>33</v>
      </c>
      <c r="M878" s="6">
        <v>0.45</v>
      </c>
      <c r="N878" s="6">
        <v>0.87</v>
      </c>
      <c r="O878" s="6">
        <v>3209.24</v>
      </c>
      <c r="P878" s="6">
        <v>5044.0600000000004</v>
      </c>
      <c r="Q878" s="6">
        <f t="shared" ca="1" si="41"/>
        <v>51</v>
      </c>
      <c r="R878" s="6">
        <f t="shared" si="39"/>
        <v>18399.760000000002</v>
      </c>
      <c r="S878" s="7" t="str">
        <f t="shared" si="40"/>
        <v>Profit</v>
      </c>
    </row>
    <row r="879" spans="1:19" x14ac:dyDescent="0.3">
      <c r="A879" s="4" t="s">
        <v>1799</v>
      </c>
      <c r="B879" s="5">
        <v>44836</v>
      </c>
      <c r="C879" s="6" t="s">
        <v>1800</v>
      </c>
      <c r="D879" s="6" t="s">
        <v>18</v>
      </c>
      <c r="E879" s="6">
        <v>8373</v>
      </c>
      <c r="F879" s="6">
        <v>19.399999999999999</v>
      </c>
      <c r="G879" s="6">
        <v>60</v>
      </c>
      <c r="H879" s="6" t="s">
        <v>26</v>
      </c>
      <c r="I879" s="6" t="s">
        <v>36</v>
      </c>
      <c r="J879" s="6" t="s">
        <v>47</v>
      </c>
      <c r="K879" s="6">
        <v>101088</v>
      </c>
      <c r="L879" s="6" t="s">
        <v>29</v>
      </c>
      <c r="M879" s="6">
        <v>0.31</v>
      </c>
      <c r="N879" s="6">
        <v>0.71</v>
      </c>
      <c r="O879" s="6">
        <v>1808.54</v>
      </c>
      <c r="P879" s="6">
        <v>0</v>
      </c>
      <c r="Q879" s="6">
        <f t="shared" ca="1" si="41"/>
        <v>41</v>
      </c>
      <c r="R879" s="6">
        <f t="shared" si="39"/>
        <v>6564.46</v>
      </c>
      <c r="S879" s="7" t="str">
        <f t="shared" si="40"/>
        <v>Profit</v>
      </c>
    </row>
    <row r="880" spans="1:19" x14ac:dyDescent="0.3">
      <c r="A880" s="4" t="s">
        <v>1801</v>
      </c>
      <c r="B880" s="5">
        <v>45135</v>
      </c>
      <c r="C880" s="6" t="s">
        <v>1802</v>
      </c>
      <c r="D880" s="6" t="s">
        <v>56</v>
      </c>
      <c r="E880" s="6">
        <v>39675</v>
      </c>
      <c r="F880" s="6">
        <v>12.4</v>
      </c>
      <c r="G880" s="6">
        <v>60</v>
      </c>
      <c r="H880" s="6" t="s">
        <v>19</v>
      </c>
      <c r="I880" s="6" t="s">
        <v>36</v>
      </c>
      <c r="J880" s="6" t="s">
        <v>37</v>
      </c>
      <c r="K880" s="6">
        <v>96163</v>
      </c>
      <c r="L880" s="6" t="s">
        <v>29</v>
      </c>
      <c r="M880" s="6">
        <v>0.28999999999999998</v>
      </c>
      <c r="N880" s="6">
        <v>0.62</v>
      </c>
      <c r="O880" s="6">
        <v>44594.7</v>
      </c>
      <c r="P880" s="6">
        <v>0</v>
      </c>
      <c r="Q880" s="6">
        <f t="shared" ca="1" si="41"/>
        <v>31</v>
      </c>
      <c r="R880" s="6">
        <f t="shared" si="39"/>
        <v>-4919.6999999999971</v>
      </c>
      <c r="S880" s="7" t="str">
        <f t="shared" si="40"/>
        <v>Loss</v>
      </c>
    </row>
    <row r="881" spans="1:19" x14ac:dyDescent="0.3">
      <c r="A881" s="4" t="s">
        <v>1803</v>
      </c>
      <c r="B881" s="5">
        <v>45151</v>
      </c>
      <c r="C881" s="6" t="s">
        <v>1804</v>
      </c>
      <c r="D881" s="6" t="s">
        <v>64</v>
      </c>
      <c r="E881" s="6">
        <v>29937</v>
      </c>
      <c r="F881" s="6">
        <v>22.4</v>
      </c>
      <c r="G881" s="6">
        <v>60</v>
      </c>
      <c r="H881" s="6" t="s">
        <v>19</v>
      </c>
      <c r="I881" s="6" t="s">
        <v>83</v>
      </c>
      <c r="J881" s="6" t="s">
        <v>37</v>
      </c>
      <c r="K881" s="6">
        <v>107525</v>
      </c>
      <c r="L881" s="6" t="s">
        <v>22</v>
      </c>
      <c r="M881" s="6">
        <v>0.26</v>
      </c>
      <c r="N881" s="6">
        <v>0.9</v>
      </c>
      <c r="O881" s="6">
        <v>36642.89</v>
      </c>
      <c r="P881" s="6">
        <v>0</v>
      </c>
      <c r="Q881" s="6">
        <f t="shared" ca="1" si="41"/>
        <v>31</v>
      </c>
      <c r="R881" s="6">
        <f t="shared" si="39"/>
        <v>-6705.8899999999994</v>
      </c>
      <c r="S881" s="7" t="str">
        <f t="shared" si="40"/>
        <v>Loss</v>
      </c>
    </row>
    <row r="882" spans="1:19" x14ac:dyDescent="0.3">
      <c r="A882" s="4" t="s">
        <v>1805</v>
      </c>
      <c r="B882" s="5">
        <v>45072</v>
      </c>
      <c r="C882" s="6" t="s">
        <v>1806</v>
      </c>
      <c r="D882" s="6" t="s">
        <v>56</v>
      </c>
      <c r="E882" s="6">
        <v>6656</v>
      </c>
      <c r="F882" s="6">
        <v>19.600000000000001</v>
      </c>
      <c r="G882" s="6">
        <v>60</v>
      </c>
      <c r="H882" s="6" t="s">
        <v>19</v>
      </c>
      <c r="I882" s="6" t="s">
        <v>57</v>
      </c>
      <c r="J882" s="6" t="s">
        <v>37</v>
      </c>
      <c r="K882" s="6">
        <v>43780</v>
      </c>
      <c r="L882" s="6" t="s">
        <v>22</v>
      </c>
      <c r="M882" s="6">
        <v>0.43</v>
      </c>
      <c r="N882" s="6">
        <v>0.59</v>
      </c>
      <c r="O882" s="6">
        <v>7960.58</v>
      </c>
      <c r="P882" s="6">
        <v>0</v>
      </c>
      <c r="Q882" s="6">
        <f t="shared" ca="1" si="41"/>
        <v>33</v>
      </c>
      <c r="R882" s="6">
        <f t="shared" si="39"/>
        <v>-1304.58</v>
      </c>
      <c r="S882" s="7" t="str">
        <f t="shared" si="40"/>
        <v>Loss</v>
      </c>
    </row>
    <row r="883" spans="1:19" x14ac:dyDescent="0.3">
      <c r="A883" s="4" t="s">
        <v>1807</v>
      </c>
      <c r="B883" s="5">
        <v>44959</v>
      </c>
      <c r="C883" s="6" t="s">
        <v>1808</v>
      </c>
      <c r="D883" s="6" t="s">
        <v>40</v>
      </c>
      <c r="E883" s="6">
        <v>9984</v>
      </c>
      <c r="F883" s="6">
        <v>18</v>
      </c>
      <c r="G883" s="6">
        <v>60</v>
      </c>
      <c r="H883" s="6" t="s">
        <v>26</v>
      </c>
      <c r="I883" s="6" t="s">
        <v>57</v>
      </c>
      <c r="J883" s="6" t="s">
        <v>21</v>
      </c>
      <c r="K883" s="6">
        <v>36589</v>
      </c>
      <c r="L883" s="6" t="s">
        <v>29</v>
      </c>
      <c r="M883" s="6">
        <v>0.46</v>
      </c>
      <c r="N883" s="6">
        <v>0.93</v>
      </c>
      <c r="O883" s="6">
        <v>2403.9499999999998</v>
      </c>
      <c r="P883" s="6">
        <v>0</v>
      </c>
      <c r="Q883" s="6">
        <f t="shared" ca="1" si="41"/>
        <v>37</v>
      </c>
      <c r="R883" s="6">
        <f t="shared" si="39"/>
        <v>7580.05</v>
      </c>
      <c r="S883" s="7" t="str">
        <f t="shared" si="40"/>
        <v>Profit</v>
      </c>
    </row>
    <row r="884" spans="1:19" x14ac:dyDescent="0.3">
      <c r="A884" s="4" t="s">
        <v>1809</v>
      </c>
      <c r="B884" s="5">
        <v>44860</v>
      </c>
      <c r="C884" s="6" t="s">
        <v>1810</v>
      </c>
      <c r="D884" s="6" t="s">
        <v>18</v>
      </c>
      <c r="E884" s="6">
        <v>30984</v>
      </c>
      <c r="F884" s="6">
        <v>20.9</v>
      </c>
      <c r="G884" s="6">
        <v>60</v>
      </c>
      <c r="H884" s="6" t="s">
        <v>19</v>
      </c>
      <c r="I884" s="6" t="s">
        <v>57</v>
      </c>
      <c r="J884" s="6" t="s">
        <v>37</v>
      </c>
      <c r="K884" s="6">
        <v>64812</v>
      </c>
      <c r="L884" s="6" t="s">
        <v>29</v>
      </c>
      <c r="M884" s="6">
        <v>0.44</v>
      </c>
      <c r="N884" s="6">
        <v>0.59</v>
      </c>
      <c r="O884" s="6">
        <v>37459.660000000003</v>
      </c>
      <c r="P884" s="6">
        <v>0</v>
      </c>
      <c r="Q884" s="6">
        <f t="shared" ca="1" si="41"/>
        <v>40</v>
      </c>
      <c r="R884" s="6">
        <f t="shared" si="39"/>
        <v>-6475.6600000000035</v>
      </c>
      <c r="S884" s="7" t="str">
        <f t="shared" si="40"/>
        <v>Loss</v>
      </c>
    </row>
    <row r="885" spans="1:19" x14ac:dyDescent="0.3">
      <c r="A885" s="4" t="s">
        <v>1811</v>
      </c>
      <c r="B885" s="5">
        <v>44221</v>
      </c>
      <c r="C885" s="6" t="s">
        <v>1812</v>
      </c>
      <c r="D885" s="6" t="s">
        <v>25</v>
      </c>
      <c r="E885" s="6">
        <v>9286</v>
      </c>
      <c r="F885" s="6">
        <v>20.100000000000001</v>
      </c>
      <c r="G885" s="6">
        <v>36</v>
      </c>
      <c r="H885" s="6" t="s">
        <v>80</v>
      </c>
      <c r="I885" s="6" t="s">
        <v>20</v>
      </c>
      <c r="J885" s="6" t="s">
        <v>28</v>
      </c>
      <c r="K885" s="6">
        <v>123664</v>
      </c>
      <c r="L885" s="6" t="s">
        <v>29</v>
      </c>
      <c r="M885" s="6">
        <v>0.37</v>
      </c>
      <c r="N885" s="6">
        <v>0.78</v>
      </c>
      <c r="O885" s="6">
        <v>1932.97</v>
      </c>
      <c r="P885" s="6">
        <v>2167.4899999999998</v>
      </c>
      <c r="Q885" s="6">
        <f t="shared" ca="1" si="41"/>
        <v>61</v>
      </c>
      <c r="R885" s="6">
        <f t="shared" si="39"/>
        <v>7353.03</v>
      </c>
      <c r="S885" s="7" t="str">
        <f t="shared" si="40"/>
        <v>Profit</v>
      </c>
    </row>
    <row r="886" spans="1:19" x14ac:dyDescent="0.3">
      <c r="A886" s="4" t="s">
        <v>1813</v>
      </c>
      <c r="B886" s="5">
        <v>44906</v>
      </c>
      <c r="C886" s="6" t="s">
        <v>1814</v>
      </c>
      <c r="D886" s="6" t="s">
        <v>53</v>
      </c>
      <c r="E886" s="6">
        <v>6901</v>
      </c>
      <c r="F886" s="6">
        <v>5.7</v>
      </c>
      <c r="G886" s="6">
        <v>60</v>
      </c>
      <c r="H886" s="6" t="s">
        <v>2045</v>
      </c>
      <c r="I886" s="6" t="s">
        <v>20</v>
      </c>
      <c r="J886" s="6" t="s">
        <v>32</v>
      </c>
      <c r="K886" s="6">
        <v>75939</v>
      </c>
      <c r="L886" s="6" t="s">
        <v>33</v>
      </c>
      <c r="M886" s="6">
        <v>0.15</v>
      </c>
      <c r="N886" s="6">
        <v>0.6</v>
      </c>
      <c r="O886" s="6">
        <v>0</v>
      </c>
      <c r="P886" s="6">
        <v>0</v>
      </c>
      <c r="Q886" s="6">
        <f t="shared" ca="1" si="41"/>
        <v>39</v>
      </c>
      <c r="R886" s="6">
        <f t="shared" si="39"/>
        <v>6901</v>
      </c>
      <c r="S886" s="7" t="str">
        <f t="shared" si="40"/>
        <v>Profit</v>
      </c>
    </row>
    <row r="887" spans="1:19" x14ac:dyDescent="0.3">
      <c r="A887" s="4" t="s">
        <v>1815</v>
      </c>
      <c r="B887" s="5">
        <v>44373</v>
      </c>
      <c r="C887" s="6" t="s">
        <v>1816</v>
      </c>
      <c r="D887" s="6" t="s">
        <v>56</v>
      </c>
      <c r="E887" s="6">
        <v>32552</v>
      </c>
      <c r="F887" s="6">
        <v>12.9</v>
      </c>
      <c r="G887" s="6">
        <v>36</v>
      </c>
      <c r="H887" s="6" t="s">
        <v>19</v>
      </c>
      <c r="I887" s="6" t="s">
        <v>83</v>
      </c>
      <c r="J887" s="6" t="s">
        <v>21</v>
      </c>
      <c r="K887" s="6">
        <v>81493</v>
      </c>
      <c r="L887" s="6" t="s">
        <v>22</v>
      </c>
      <c r="M887" s="6">
        <v>0.21</v>
      </c>
      <c r="N887" s="6">
        <v>0.75</v>
      </c>
      <c r="O887" s="6">
        <v>36751.21</v>
      </c>
      <c r="P887" s="6">
        <v>0</v>
      </c>
      <c r="Q887" s="6">
        <f t="shared" ca="1" si="41"/>
        <v>56</v>
      </c>
      <c r="R887" s="6">
        <f t="shared" si="39"/>
        <v>-4199.2099999999991</v>
      </c>
      <c r="S887" s="7" t="str">
        <f t="shared" si="40"/>
        <v>Loss</v>
      </c>
    </row>
    <row r="888" spans="1:19" x14ac:dyDescent="0.3">
      <c r="A888" s="4" t="s">
        <v>1817</v>
      </c>
      <c r="B888" s="5">
        <v>44481</v>
      </c>
      <c r="C888" s="6" t="s">
        <v>1818</v>
      </c>
      <c r="D888" s="6" t="s">
        <v>75</v>
      </c>
      <c r="E888" s="6">
        <v>26709</v>
      </c>
      <c r="F888" s="6">
        <v>23.6</v>
      </c>
      <c r="G888" s="6">
        <v>60</v>
      </c>
      <c r="H888" s="6" t="s">
        <v>19</v>
      </c>
      <c r="I888" s="6" t="s">
        <v>72</v>
      </c>
      <c r="J888" s="6" t="s">
        <v>37</v>
      </c>
      <c r="K888" s="6">
        <v>134188</v>
      </c>
      <c r="L888" s="6" t="s">
        <v>22</v>
      </c>
      <c r="M888" s="6">
        <v>0.12</v>
      </c>
      <c r="N888" s="6">
        <v>0.81</v>
      </c>
      <c r="O888" s="6">
        <v>33012.32</v>
      </c>
      <c r="P888" s="6">
        <v>0</v>
      </c>
      <c r="Q888" s="6">
        <f t="shared" ca="1" si="41"/>
        <v>53</v>
      </c>
      <c r="R888" s="6">
        <f t="shared" si="39"/>
        <v>-6303.32</v>
      </c>
      <c r="S888" s="7" t="str">
        <f t="shared" si="40"/>
        <v>Loss</v>
      </c>
    </row>
    <row r="889" spans="1:19" x14ac:dyDescent="0.3">
      <c r="A889" s="4" t="s">
        <v>1819</v>
      </c>
      <c r="B889" s="5">
        <v>44259</v>
      </c>
      <c r="C889" s="6" t="s">
        <v>1820</v>
      </c>
      <c r="D889" s="6" t="s">
        <v>50</v>
      </c>
      <c r="E889" s="6">
        <v>32055</v>
      </c>
      <c r="F889" s="6">
        <v>7.5</v>
      </c>
      <c r="G889" s="6">
        <v>36</v>
      </c>
      <c r="H889" s="6" t="s">
        <v>2045</v>
      </c>
      <c r="I889" s="6" t="s">
        <v>72</v>
      </c>
      <c r="J889" s="6" t="s">
        <v>32</v>
      </c>
      <c r="K889" s="6">
        <v>123326</v>
      </c>
      <c r="L889" s="6" t="s">
        <v>22</v>
      </c>
      <c r="M889" s="6">
        <v>0.47</v>
      </c>
      <c r="N889" s="6">
        <v>0.59</v>
      </c>
      <c r="O889" s="6">
        <v>0</v>
      </c>
      <c r="P889" s="6">
        <v>0</v>
      </c>
      <c r="Q889" s="6">
        <f t="shared" ca="1" si="41"/>
        <v>60</v>
      </c>
      <c r="R889" s="6">
        <f t="shared" si="39"/>
        <v>32055</v>
      </c>
      <c r="S889" s="7" t="str">
        <f t="shared" si="40"/>
        <v>Profit</v>
      </c>
    </row>
    <row r="890" spans="1:19" x14ac:dyDescent="0.3">
      <c r="A890" s="4" t="s">
        <v>1821</v>
      </c>
      <c r="B890" s="5">
        <v>45199</v>
      </c>
      <c r="C890" s="6" t="s">
        <v>1822</v>
      </c>
      <c r="D890" s="6" t="s">
        <v>53</v>
      </c>
      <c r="E890" s="6">
        <v>38685</v>
      </c>
      <c r="F890" s="6">
        <v>19.7</v>
      </c>
      <c r="G890" s="6">
        <v>60</v>
      </c>
      <c r="H890" s="6" t="s">
        <v>19</v>
      </c>
      <c r="I890" s="6" t="s">
        <v>36</v>
      </c>
      <c r="J890" s="6" t="s">
        <v>47</v>
      </c>
      <c r="K890" s="6">
        <v>70953</v>
      </c>
      <c r="L890" s="6" t="s">
        <v>29</v>
      </c>
      <c r="M890" s="6">
        <v>0.36</v>
      </c>
      <c r="N890" s="6">
        <v>0.73</v>
      </c>
      <c r="O890" s="6">
        <v>46305.94</v>
      </c>
      <c r="P890" s="6">
        <v>0</v>
      </c>
      <c r="Q890" s="6">
        <f t="shared" ca="1" si="41"/>
        <v>29</v>
      </c>
      <c r="R890" s="6">
        <f t="shared" si="39"/>
        <v>-7620.9400000000023</v>
      </c>
      <c r="S890" s="7" t="str">
        <f t="shared" si="40"/>
        <v>Loss</v>
      </c>
    </row>
    <row r="891" spans="1:19" x14ac:dyDescent="0.3">
      <c r="A891" s="4" t="s">
        <v>1823</v>
      </c>
      <c r="B891" s="5">
        <v>44858</v>
      </c>
      <c r="C891" s="6" t="s">
        <v>1824</v>
      </c>
      <c r="D891" s="6" t="s">
        <v>25</v>
      </c>
      <c r="E891" s="6">
        <v>9429</v>
      </c>
      <c r="F891" s="6">
        <v>24.5</v>
      </c>
      <c r="G891" s="6">
        <v>60</v>
      </c>
      <c r="H891" s="6" t="s">
        <v>26</v>
      </c>
      <c r="I891" s="6" t="s">
        <v>27</v>
      </c>
      <c r="J891" s="6" t="s">
        <v>47</v>
      </c>
      <c r="K891" s="6">
        <v>95785</v>
      </c>
      <c r="L891" s="6" t="s">
        <v>33</v>
      </c>
      <c r="M891" s="6">
        <v>0.4</v>
      </c>
      <c r="N891" s="6">
        <v>0.71</v>
      </c>
      <c r="O891" s="6">
        <v>3859.51</v>
      </c>
      <c r="P891" s="6">
        <v>0</v>
      </c>
      <c r="Q891" s="6">
        <f t="shared" ca="1" si="41"/>
        <v>40</v>
      </c>
      <c r="R891" s="6">
        <f t="shared" si="39"/>
        <v>5569.49</v>
      </c>
      <c r="S891" s="7" t="str">
        <f t="shared" si="40"/>
        <v>Profit</v>
      </c>
    </row>
    <row r="892" spans="1:19" x14ac:dyDescent="0.3">
      <c r="A892" s="4" t="s">
        <v>1825</v>
      </c>
      <c r="B892" s="5">
        <v>44862</v>
      </c>
      <c r="C892" s="6" t="s">
        <v>1826</v>
      </c>
      <c r="D892" s="6" t="s">
        <v>46</v>
      </c>
      <c r="E892" s="6">
        <v>15716</v>
      </c>
      <c r="F892" s="6">
        <v>6</v>
      </c>
      <c r="G892" s="6">
        <v>36</v>
      </c>
      <c r="H892" s="6" t="s">
        <v>19</v>
      </c>
      <c r="I892" s="6" t="s">
        <v>27</v>
      </c>
      <c r="J892" s="6" t="s">
        <v>32</v>
      </c>
      <c r="K892" s="6">
        <v>49309</v>
      </c>
      <c r="L892" s="6" t="s">
        <v>22</v>
      </c>
      <c r="M892" s="6">
        <v>0.22</v>
      </c>
      <c r="N892" s="6">
        <v>0.53</v>
      </c>
      <c r="O892" s="6">
        <v>16658.96</v>
      </c>
      <c r="P892" s="6">
        <v>0</v>
      </c>
      <c r="Q892" s="6">
        <f t="shared" ca="1" si="41"/>
        <v>40</v>
      </c>
      <c r="R892" s="6">
        <f t="shared" si="39"/>
        <v>-942.95999999999913</v>
      </c>
      <c r="S892" s="7" t="str">
        <f t="shared" si="40"/>
        <v>Loss</v>
      </c>
    </row>
    <row r="893" spans="1:19" x14ac:dyDescent="0.3">
      <c r="A893" s="4" t="s">
        <v>1827</v>
      </c>
      <c r="B893" s="5">
        <v>44352</v>
      </c>
      <c r="C893" s="6" t="s">
        <v>1828</v>
      </c>
      <c r="D893" s="6" t="s">
        <v>18</v>
      </c>
      <c r="E893" s="6">
        <v>12138</v>
      </c>
      <c r="F893" s="6">
        <v>18.600000000000001</v>
      </c>
      <c r="G893" s="6">
        <v>60</v>
      </c>
      <c r="H893" s="6" t="s">
        <v>26</v>
      </c>
      <c r="I893" s="6" t="s">
        <v>83</v>
      </c>
      <c r="J893" s="6" t="s">
        <v>28</v>
      </c>
      <c r="K893" s="6">
        <v>84195</v>
      </c>
      <c r="L893" s="6" t="s">
        <v>22</v>
      </c>
      <c r="M893" s="6">
        <v>0.44</v>
      </c>
      <c r="N893" s="6">
        <v>0.87</v>
      </c>
      <c r="O893" s="6">
        <v>3469.25</v>
      </c>
      <c r="P893" s="6">
        <v>0</v>
      </c>
      <c r="Q893" s="6">
        <f t="shared" ca="1" si="41"/>
        <v>57</v>
      </c>
      <c r="R893" s="6">
        <f t="shared" si="39"/>
        <v>8668.75</v>
      </c>
      <c r="S893" s="7" t="str">
        <f t="shared" si="40"/>
        <v>Profit</v>
      </c>
    </row>
    <row r="894" spans="1:19" x14ac:dyDescent="0.3">
      <c r="A894" s="4" t="s">
        <v>1829</v>
      </c>
      <c r="B894" s="5">
        <v>45269</v>
      </c>
      <c r="C894" s="6" t="s">
        <v>1830</v>
      </c>
      <c r="D894" s="6" t="s">
        <v>50</v>
      </c>
      <c r="E894" s="6">
        <v>36298</v>
      </c>
      <c r="F894" s="6">
        <v>14.4</v>
      </c>
      <c r="G894" s="6">
        <v>60</v>
      </c>
      <c r="H894" s="6" t="s">
        <v>19</v>
      </c>
      <c r="I894" s="6" t="s">
        <v>20</v>
      </c>
      <c r="J894" s="6" t="s">
        <v>32</v>
      </c>
      <c r="K894" s="6">
        <v>145662</v>
      </c>
      <c r="L894" s="6" t="s">
        <v>33</v>
      </c>
      <c r="M894" s="6">
        <v>0.2</v>
      </c>
      <c r="N894" s="6">
        <v>0.65</v>
      </c>
      <c r="O894" s="6">
        <v>41524.910000000003</v>
      </c>
      <c r="P894" s="6">
        <v>0</v>
      </c>
      <c r="Q894" s="6">
        <f t="shared" ca="1" si="41"/>
        <v>27</v>
      </c>
      <c r="R894" s="6">
        <f t="shared" si="39"/>
        <v>-5226.9100000000035</v>
      </c>
      <c r="S894" s="7" t="str">
        <f t="shared" si="40"/>
        <v>Loss</v>
      </c>
    </row>
    <row r="895" spans="1:19" x14ac:dyDescent="0.3">
      <c r="A895" s="4" t="s">
        <v>1831</v>
      </c>
      <c r="B895" s="5">
        <v>45163</v>
      </c>
      <c r="C895" s="6" t="s">
        <v>1832</v>
      </c>
      <c r="D895" s="6" t="s">
        <v>18</v>
      </c>
      <c r="E895" s="6">
        <v>24429</v>
      </c>
      <c r="F895" s="6">
        <v>16.600000000000001</v>
      </c>
      <c r="G895" s="6">
        <v>60</v>
      </c>
      <c r="H895" s="6" t="s">
        <v>80</v>
      </c>
      <c r="I895" s="6" t="s">
        <v>57</v>
      </c>
      <c r="J895" s="6" t="s">
        <v>32</v>
      </c>
      <c r="K895" s="6">
        <v>55901</v>
      </c>
      <c r="L895" s="6" t="s">
        <v>29</v>
      </c>
      <c r="M895" s="6">
        <v>0.1</v>
      </c>
      <c r="N895" s="6">
        <v>0.76</v>
      </c>
      <c r="O895" s="6">
        <v>6635.65</v>
      </c>
      <c r="P895" s="6">
        <v>6328.17</v>
      </c>
      <c r="Q895" s="6">
        <f t="shared" ca="1" si="41"/>
        <v>30</v>
      </c>
      <c r="R895" s="6">
        <f t="shared" si="39"/>
        <v>17793.349999999999</v>
      </c>
      <c r="S895" s="7" t="str">
        <f t="shared" si="40"/>
        <v>Profit</v>
      </c>
    </row>
    <row r="896" spans="1:19" x14ac:dyDescent="0.3">
      <c r="A896" s="4" t="s">
        <v>1833</v>
      </c>
      <c r="B896" s="5">
        <v>45045</v>
      </c>
      <c r="C896" s="6" t="s">
        <v>1834</v>
      </c>
      <c r="D896" s="6" t="s">
        <v>40</v>
      </c>
      <c r="E896" s="6">
        <v>6772</v>
      </c>
      <c r="F896" s="6">
        <v>6.7</v>
      </c>
      <c r="G896" s="6">
        <v>36</v>
      </c>
      <c r="H896" s="6" t="s">
        <v>26</v>
      </c>
      <c r="I896" s="6" t="s">
        <v>41</v>
      </c>
      <c r="J896" s="6" t="s">
        <v>21</v>
      </c>
      <c r="K896" s="6">
        <v>53576</v>
      </c>
      <c r="L896" s="6" t="s">
        <v>29</v>
      </c>
      <c r="M896" s="6">
        <v>0.25</v>
      </c>
      <c r="N896" s="6">
        <v>0.73</v>
      </c>
      <c r="O896" s="6">
        <v>2938.07</v>
      </c>
      <c r="P896" s="6">
        <v>0</v>
      </c>
      <c r="Q896" s="6">
        <f t="shared" ca="1" si="41"/>
        <v>34</v>
      </c>
      <c r="R896" s="6">
        <f t="shared" si="39"/>
        <v>3833.93</v>
      </c>
      <c r="S896" s="7" t="str">
        <f t="shared" si="40"/>
        <v>Profit</v>
      </c>
    </row>
    <row r="897" spans="1:19" x14ac:dyDescent="0.3">
      <c r="A897" s="4" t="s">
        <v>1835</v>
      </c>
      <c r="B897" s="5">
        <v>44885</v>
      </c>
      <c r="C897" s="6" t="s">
        <v>1836</v>
      </c>
      <c r="D897" s="6" t="s">
        <v>25</v>
      </c>
      <c r="E897" s="6">
        <v>36732</v>
      </c>
      <c r="F897" s="6">
        <v>5.9</v>
      </c>
      <c r="G897" s="6">
        <v>60</v>
      </c>
      <c r="H897" s="6" t="s">
        <v>19</v>
      </c>
      <c r="I897" s="6" t="s">
        <v>36</v>
      </c>
      <c r="J897" s="6" t="s">
        <v>47</v>
      </c>
      <c r="K897" s="6">
        <v>61508</v>
      </c>
      <c r="L897" s="6" t="s">
        <v>22</v>
      </c>
      <c r="M897" s="6">
        <v>0.33</v>
      </c>
      <c r="N897" s="6">
        <v>0.73</v>
      </c>
      <c r="O897" s="6">
        <v>38899.19</v>
      </c>
      <c r="P897" s="6">
        <v>0</v>
      </c>
      <c r="Q897" s="6">
        <f t="shared" ca="1" si="41"/>
        <v>40</v>
      </c>
      <c r="R897" s="6">
        <f t="shared" si="39"/>
        <v>-2167.1900000000023</v>
      </c>
      <c r="S897" s="7" t="str">
        <f t="shared" si="40"/>
        <v>Loss</v>
      </c>
    </row>
    <row r="898" spans="1:19" x14ac:dyDescent="0.3">
      <c r="A898" s="4" t="s">
        <v>1837</v>
      </c>
      <c r="B898" s="5">
        <v>44344</v>
      </c>
      <c r="C898" s="6" t="s">
        <v>1838</v>
      </c>
      <c r="D898" s="6" t="s">
        <v>18</v>
      </c>
      <c r="E898" s="6">
        <v>18347</v>
      </c>
      <c r="F898" s="6">
        <v>18.3</v>
      </c>
      <c r="G898" s="6">
        <v>36</v>
      </c>
      <c r="H898" s="6" t="s">
        <v>19</v>
      </c>
      <c r="I898" s="6" t="s">
        <v>36</v>
      </c>
      <c r="J898" s="6" t="s">
        <v>47</v>
      </c>
      <c r="K898" s="6">
        <v>104711</v>
      </c>
      <c r="L898" s="6" t="s">
        <v>22</v>
      </c>
      <c r="M898" s="6">
        <v>0.28999999999999998</v>
      </c>
      <c r="N898" s="6">
        <v>0.55000000000000004</v>
      </c>
      <c r="O898" s="6">
        <v>21704.5</v>
      </c>
      <c r="P898" s="6">
        <v>0</v>
      </c>
      <c r="Q898" s="6">
        <f t="shared" ca="1" si="41"/>
        <v>57</v>
      </c>
      <c r="R898" s="6">
        <f t="shared" ref="R898:R961" si="42">E898-O898</f>
        <v>-3357.5</v>
      </c>
      <c r="S898" s="7" t="str">
        <f t="shared" ref="S898:S961" si="43">IF(R898&gt;=0, "Profit","Loss")</f>
        <v>Loss</v>
      </c>
    </row>
    <row r="899" spans="1:19" x14ac:dyDescent="0.3">
      <c r="A899" s="4" t="s">
        <v>1839</v>
      </c>
      <c r="B899" s="5">
        <v>44538</v>
      </c>
      <c r="C899" s="6" t="s">
        <v>1840</v>
      </c>
      <c r="D899" s="6" t="s">
        <v>75</v>
      </c>
      <c r="E899" s="6">
        <v>17920</v>
      </c>
      <c r="F899" s="6">
        <v>21.5</v>
      </c>
      <c r="G899" s="6">
        <v>60</v>
      </c>
      <c r="H899" s="6" t="s">
        <v>19</v>
      </c>
      <c r="I899" s="6" t="s">
        <v>72</v>
      </c>
      <c r="J899" s="6" t="s">
        <v>37</v>
      </c>
      <c r="K899" s="6">
        <v>55464</v>
      </c>
      <c r="L899" s="6" t="s">
        <v>33</v>
      </c>
      <c r="M899" s="6">
        <v>0.44</v>
      </c>
      <c r="N899" s="6">
        <v>0.69</v>
      </c>
      <c r="O899" s="6">
        <v>21772.799999999999</v>
      </c>
      <c r="P899" s="6">
        <v>0</v>
      </c>
      <c r="Q899" s="6">
        <f t="shared" ref="Q899:Q962" ca="1" si="44">DATEDIF(B899,TODAY(),"M")</f>
        <v>51</v>
      </c>
      <c r="R899" s="6">
        <f t="shared" si="42"/>
        <v>-3852.7999999999993</v>
      </c>
      <c r="S899" s="7" t="str">
        <f t="shared" si="43"/>
        <v>Loss</v>
      </c>
    </row>
    <row r="900" spans="1:19" x14ac:dyDescent="0.3">
      <c r="A900" s="4" t="s">
        <v>1841</v>
      </c>
      <c r="B900" s="5">
        <v>44672</v>
      </c>
      <c r="C900" s="6" t="s">
        <v>1842</v>
      </c>
      <c r="D900" s="6" t="s">
        <v>40</v>
      </c>
      <c r="E900" s="6">
        <v>32822</v>
      </c>
      <c r="F900" s="6">
        <v>20.6</v>
      </c>
      <c r="G900" s="6">
        <v>60</v>
      </c>
      <c r="H900" s="6" t="s">
        <v>2045</v>
      </c>
      <c r="I900" s="6" t="s">
        <v>83</v>
      </c>
      <c r="J900" s="6" t="s">
        <v>32</v>
      </c>
      <c r="K900" s="6">
        <v>90281</v>
      </c>
      <c r="L900" s="6" t="s">
        <v>22</v>
      </c>
      <c r="M900" s="6">
        <v>0.14000000000000001</v>
      </c>
      <c r="N900" s="6">
        <v>0.7</v>
      </c>
      <c r="O900" s="6">
        <v>0</v>
      </c>
      <c r="P900" s="6">
        <v>0</v>
      </c>
      <c r="Q900" s="6">
        <f t="shared" ca="1" si="44"/>
        <v>46</v>
      </c>
      <c r="R900" s="6">
        <f t="shared" si="42"/>
        <v>32822</v>
      </c>
      <c r="S900" s="7" t="str">
        <f t="shared" si="43"/>
        <v>Profit</v>
      </c>
    </row>
    <row r="901" spans="1:19" x14ac:dyDescent="0.3">
      <c r="A901" s="4" t="s">
        <v>1843</v>
      </c>
      <c r="B901" s="5">
        <v>45283</v>
      </c>
      <c r="C901" s="6" t="s">
        <v>1844</v>
      </c>
      <c r="D901" s="6" t="s">
        <v>71</v>
      </c>
      <c r="E901" s="6">
        <v>24563</v>
      </c>
      <c r="F901" s="6">
        <v>15.9</v>
      </c>
      <c r="G901" s="6">
        <v>36</v>
      </c>
      <c r="H901" s="6" t="s">
        <v>26</v>
      </c>
      <c r="I901" s="6" t="s">
        <v>20</v>
      </c>
      <c r="J901" s="6" t="s">
        <v>32</v>
      </c>
      <c r="K901" s="6">
        <v>46260</v>
      </c>
      <c r="L901" s="6" t="s">
        <v>33</v>
      </c>
      <c r="M901" s="6">
        <v>0.32</v>
      </c>
      <c r="N901" s="6">
        <v>0.83</v>
      </c>
      <c r="O901" s="6">
        <v>10136.36</v>
      </c>
      <c r="P901" s="6">
        <v>0</v>
      </c>
      <c r="Q901" s="6">
        <f t="shared" ca="1" si="44"/>
        <v>26</v>
      </c>
      <c r="R901" s="6">
        <f t="shared" si="42"/>
        <v>14426.64</v>
      </c>
      <c r="S901" s="7" t="str">
        <f t="shared" si="43"/>
        <v>Profit</v>
      </c>
    </row>
    <row r="902" spans="1:19" x14ac:dyDescent="0.3">
      <c r="A902" s="4" t="s">
        <v>1845</v>
      </c>
      <c r="B902" s="5">
        <v>44757</v>
      </c>
      <c r="C902" s="6" t="s">
        <v>1846</v>
      </c>
      <c r="D902" s="6" t="s">
        <v>46</v>
      </c>
      <c r="E902" s="6">
        <v>8967</v>
      </c>
      <c r="F902" s="6">
        <v>7</v>
      </c>
      <c r="G902" s="6">
        <v>60</v>
      </c>
      <c r="H902" s="6" t="s">
        <v>19</v>
      </c>
      <c r="I902" s="6" t="s">
        <v>20</v>
      </c>
      <c r="J902" s="6" t="s">
        <v>28</v>
      </c>
      <c r="K902" s="6">
        <v>65440</v>
      </c>
      <c r="L902" s="6" t="s">
        <v>22</v>
      </c>
      <c r="M902" s="6">
        <v>0.31</v>
      </c>
      <c r="N902" s="6">
        <v>0.88</v>
      </c>
      <c r="O902" s="6">
        <v>9594.69</v>
      </c>
      <c r="P902" s="6">
        <v>0</v>
      </c>
      <c r="Q902" s="6">
        <f t="shared" ca="1" si="44"/>
        <v>44</v>
      </c>
      <c r="R902" s="6">
        <f t="shared" si="42"/>
        <v>-627.69000000000051</v>
      </c>
      <c r="S902" s="7" t="str">
        <f t="shared" si="43"/>
        <v>Loss</v>
      </c>
    </row>
    <row r="903" spans="1:19" x14ac:dyDescent="0.3">
      <c r="A903" s="4" t="s">
        <v>1847</v>
      </c>
      <c r="B903" s="5">
        <v>44523</v>
      </c>
      <c r="C903" s="6" t="s">
        <v>1848</v>
      </c>
      <c r="D903" s="6" t="s">
        <v>25</v>
      </c>
      <c r="E903" s="6">
        <v>12871</v>
      </c>
      <c r="F903" s="6">
        <v>18.8</v>
      </c>
      <c r="G903" s="6">
        <v>60</v>
      </c>
      <c r="H903" s="6" t="s">
        <v>19</v>
      </c>
      <c r="I903" s="6" t="s">
        <v>57</v>
      </c>
      <c r="J903" s="6" t="s">
        <v>47</v>
      </c>
      <c r="K903" s="6">
        <v>125082</v>
      </c>
      <c r="L903" s="6" t="s">
        <v>22</v>
      </c>
      <c r="M903" s="6">
        <v>0.21</v>
      </c>
      <c r="N903" s="6">
        <v>0.75</v>
      </c>
      <c r="O903" s="6">
        <v>15290.75</v>
      </c>
      <c r="P903" s="6">
        <v>0</v>
      </c>
      <c r="Q903" s="6">
        <f t="shared" ca="1" si="44"/>
        <v>51</v>
      </c>
      <c r="R903" s="6">
        <f t="shared" si="42"/>
        <v>-2419.75</v>
      </c>
      <c r="S903" s="7" t="str">
        <f t="shared" si="43"/>
        <v>Loss</v>
      </c>
    </row>
    <row r="904" spans="1:19" x14ac:dyDescent="0.3">
      <c r="A904" s="4" t="s">
        <v>1849</v>
      </c>
      <c r="B904" s="5">
        <v>45186</v>
      </c>
      <c r="C904" s="6" t="s">
        <v>1850</v>
      </c>
      <c r="D904" s="6" t="s">
        <v>64</v>
      </c>
      <c r="E904" s="6">
        <v>29763</v>
      </c>
      <c r="F904" s="6">
        <v>9.8000000000000007</v>
      </c>
      <c r="G904" s="6">
        <v>36</v>
      </c>
      <c r="H904" s="6" t="s">
        <v>19</v>
      </c>
      <c r="I904" s="6" t="s">
        <v>72</v>
      </c>
      <c r="J904" s="6" t="s">
        <v>28</v>
      </c>
      <c r="K904" s="6">
        <v>135583</v>
      </c>
      <c r="L904" s="6" t="s">
        <v>22</v>
      </c>
      <c r="M904" s="6">
        <v>0.43</v>
      </c>
      <c r="N904" s="6">
        <v>0.54</v>
      </c>
      <c r="O904" s="6">
        <v>32679.77</v>
      </c>
      <c r="P904" s="6">
        <v>0</v>
      </c>
      <c r="Q904" s="6">
        <f t="shared" ca="1" si="44"/>
        <v>30</v>
      </c>
      <c r="R904" s="6">
        <f t="shared" si="42"/>
        <v>-2916.7700000000004</v>
      </c>
      <c r="S904" s="7" t="str">
        <f t="shared" si="43"/>
        <v>Loss</v>
      </c>
    </row>
    <row r="905" spans="1:19" x14ac:dyDescent="0.3">
      <c r="A905" s="4" t="s">
        <v>1851</v>
      </c>
      <c r="B905" s="5">
        <v>44411</v>
      </c>
      <c r="C905" s="6" t="s">
        <v>1852</v>
      </c>
      <c r="D905" s="6" t="s">
        <v>50</v>
      </c>
      <c r="E905" s="6">
        <v>12916</v>
      </c>
      <c r="F905" s="6">
        <v>23.2</v>
      </c>
      <c r="G905" s="6">
        <v>60</v>
      </c>
      <c r="H905" s="6" t="s">
        <v>26</v>
      </c>
      <c r="I905" s="6" t="s">
        <v>57</v>
      </c>
      <c r="J905" s="6" t="s">
        <v>21</v>
      </c>
      <c r="K905" s="6">
        <v>86683</v>
      </c>
      <c r="L905" s="6" t="s">
        <v>29</v>
      </c>
      <c r="M905" s="6">
        <v>0.4</v>
      </c>
      <c r="N905" s="6">
        <v>0.61</v>
      </c>
      <c r="O905" s="6">
        <v>1414.24</v>
      </c>
      <c r="P905" s="6">
        <v>0</v>
      </c>
      <c r="Q905" s="6">
        <f t="shared" ca="1" si="44"/>
        <v>55</v>
      </c>
      <c r="R905" s="6">
        <f t="shared" si="42"/>
        <v>11501.76</v>
      </c>
      <c r="S905" s="7" t="str">
        <f t="shared" si="43"/>
        <v>Profit</v>
      </c>
    </row>
    <row r="906" spans="1:19" x14ac:dyDescent="0.3">
      <c r="A906" s="4" t="s">
        <v>1853</v>
      </c>
      <c r="B906" s="5">
        <v>44631</v>
      </c>
      <c r="C906" s="6" t="s">
        <v>1854</v>
      </c>
      <c r="D906" s="6" t="s">
        <v>56</v>
      </c>
      <c r="E906" s="6">
        <v>9734</v>
      </c>
      <c r="F906" s="6">
        <v>21.8</v>
      </c>
      <c r="G906" s="6">
        <v>36</v>
      </c>
      <c r="H906" s="6" t="s">
        <v>26</v>
      </c>
      <c r="I906" s="6" t="s">
        <v>57</v>
      </c>
      <c r="J906" s="6" t="s">
        <v>37</v>
      </c>
      <c r="K906" s="6">
        <v>71430</v>
      </c>
      <c r="L906" s="6" t="s">
        <v>33</v>
      </c>
      <c r="M906" s="6">
        <v>0.39</v>
      </c>
      <c r="N906" s="6">
        <v>0.56999999999999995</v>
      </c>
      <c r="O906" s="6">
        <v>3613.86</v>
      </c>
      <c r="P906" s="6">
        <v>0</v>
      </c>
      <c r="Q906" s="6">
        <f t="shared" ca="1" si="44"/>
        <v>48</v>
      </c>
      <c r="R906" s="6">
        <f t="shared" si="42"/>
        <v>6120.1399999999994</v>
      </c>
      <c r="S906" s="7" t="str">
        <f t="shared" si="43"/>
        <v>Profit</v>
      </c>
    </row>
    <row r="907" spans="1:19" x14ac:dyDescent="0.3">
      <c r="A907" s="4" t="s">
        <v>1855</v>
      </c>
      <c r="B907" s="5">
        <v>45148</v>
      </c>
      <c r="C907" s="6" t="s">
        <v>1856</v>
      </c>
      <c r="D907" s="6" t="s">
        <v>18</v>
      </c>
      <c r="E907" s="6">
        <v>34613</v>
      </c>
      <c r="F907" s="6">
        <v>19.2</v>
      </c>
      <c r="G907" s="6">
        <v>36</v>
      </c>
      <c r="H907" s="6" t="s">
        <v>19</v>
      </c>
      <c r="I907" s="6" t="s">
        <v>20</v>
      </c>
      <c r="J907" s="6" t="s">
        <v>28</v>
      </c>
      <c r="K907" s="6">
        <v>31987</v>
      </c>
      <c r="L907" s="6" t="s">
        <v>33</v>
      </c>
      <c r="M907" s="6">
        <v>0.45</v>
      </c>
      <c r="N907" s="6">
        <v>0.56000000000000005</v>
      </c>
      <c r="O907" s="6">
        <v>41258.699999999997</v>
      </c>
      <c r="P907" s="6">
        <v>0</v>
      </c>
      <c r="Q907" s="6">
        <f t="shared" ca="1" si="44"/>
        <v>31</v>
      </c>
      <c r="R907" s="6">
        <f t="shared" si="42"/>
        <v>-6645.6999999999971</v>
      </c>
      <c r="S907" s="7" t="str">
        <f t="shared" si="43"/>
        <v>Loss</v>
      </c>
    </row>
    <row r="908" spans="1:19" x14ac:dyDescent="0.3">
      <c r="A908" s="4" t="s">
        <v>1857</v>
      </c>
      <c r="B908" s="5">
        <v>44919</v>
      </c>
      <c r="C908" s="6" t="s">
        <v>1858</v>
      </c>
      <c r="D908" s="6" t="s">
        <v>50</v>
      </c>
      <c r="E908" s="6">
        <v>29179</v>
      </c>
      <c r="F908" s="6">
        <v>24</v>
      </c>
      <c r="G908" s="6">
        <v>36</v>
      </c>
      <c r="H908" s="6" t="s">
        <v>26</v>
      </c>
      <c r="I908" s="6" t="s">
        <v>72</v>
      </c>
      <c r="J908" s="6" t="s">
        <v>47</v>
      </c>
      <c r="K908" s="6">
        <v>144778</v>
      </c>
      <c r="L908" s="6" t="s">
        <v>29</v>
      </c>
      <c r="M908" s="6">
        <v>0.39</v>
      </c>
      <c r="N908" s="6">
        <v>0.66</v>
      </c>
      <c r="O908" s="6">
        <v>7176.47</v>
      </c>
      <c r="P908" s="6">
        <v>0</v>
      </c>
      <c r="Q908" s="6">
        <f t="shared" ca="1" si="44"/>
        <v>38</v>
      </c>
      <c r="R908" s="6">
        <f t="shared" si="42"/>
        <v>22002.53</v>
      </c>
      <c r="S908" s="7" t="str">
        <f t="shared" si="43"/>
        <v>Profit</v>
      </c>
    </row>
    <row r="909" spans="1:19" x14ac:dyDescent="0.3">
      <c r="A909" s="4" t="s">
        <v>1859</v>
      </c>
      <c r="B909" s="5">
        <v>44228</v>
      </c>
      <c r="C909" s="6" t="s">
        <v>1860</v>
      </c>
      <c r="D909" s="6" t="s">
        <v>50</v>
      </c>
      <c r="E909" s="6">
        <v>36262</v>
      </c>
      <c r="F909" s="6">
        <v>5.6</v>
      </c>
      <c r="G909" s="6">
        <v>60</v>
      </c>
      <c r="H909" s="6" t="s">
        <v>26</v>
      </c>
      <c r="I909" s="6" t="s">
        <v>83</v>
      </c>
      <c r="J909" s="6" t="s">
        <v>21</v>
      </c>
      <c r="K909" s="6">
        <v>55105</v>
      </c>
      <c r="L909" s="6" t="s">
        <v>29</v>
      </c>
      <c r="M909" s="6">
        <v>0.19</v>
      </c>
      <c r="N909" s="6">
        <v>0.6</v>
      </c>
      <c r="O909" s="6">
        <v>6621.15</v>
      </c>
      <c r="P909" s="6">
        <v>0</v>
      </c>
      <c r="Q909" s="6">
        <f t="shared" ca="1" si="44"/>
        <v>61</v>
      </c>
      <c r="R909" s="6">
        <f t="shared" si="42"/>
        <v>29640.85</v>
      </c>
      <c r="S909" s="7" t="str">
        <f t="shared" si="43"/>
        <v>Profit</v>
      </c>
    </row>
    <row r="910" spans="1:19" x14ac:dyDescent="0.3">
      <c r="A910" s="4" t="s">
        <v>1861</v>
      </c>
      <c r="B910" s="5">
        <v>44866</v>
      </c>
      <c r="C910" s="6" t="s">
        <v>1862</v>
      </c>
      <c r="D910" s="6" t="s">
        <v>64</v>
      </c>
      <c r="E910" s="6">
        <v>13677</v>
      </c>
      <c r="F910" s="6">
        <v>19.7</v>
      </c>
      <c r="G910" s="6">
        <v>36</v>
      </c>
      <c r="H910" s="6" t="s">
        <v>2045</v>
      </c>
      <c r="I910" s="6" t="s">
        <v>27</v>
      </c>
      <c r="J910" s="6" t="s">
        <v>32</v>
      </c>
      <c r="K910" s="6">
        <v>108484</v>
      </c>
      <c r="L910" s="6" t="s">
        <v>29</v>
      </c>
      <c r="M910" s="6">
        <v>0.38</v>
      </c>
      <c r="N910" s="6">
        <v>0.6</v>
      </c>
      <c r="O910" s="6">
        <v>0</v>
      </c>
      <c r="P910" s="6">
        <v>0</v>
      </c>
      <c r="Q910" s="6">
        <f t="shared" ca="1" si="44"/>
        <v>40</v>
      </c>
      <c r="R910" s="6">
        <f t="shared" si="42"/>
        <v>13677</v>
      </c>
      <c r="S910" s="7" t="str">
        <f t="shared" si="43"/>
        <v>Profit</v>
      </c>
    </row>
    <row r="911" spans="1:19" x14ac:dyDescent="0.3">
      <c r="A911" s="4" t="s">
        <v>1863</v>
      </c>
      <c r="B911" s="5">
        <v>44481</v>
      </c>
      <c r="C911" s="6" t="s">
        <v>1864</v>
      </c>
      <c r="D911" s="6" t="s">
        <v>64</v>
      </c>
      <c r="E911" s="6">
        <v>19268</v>
      </c>
      <c r="F911" s="6">
        <v>11.6</v>
      </c>
      <c r="G911" s="6">
        <v>36</v>
      </c>
      <c r="H911" s="6" t="s">
        <v>80</v>
      </c>
      <c r="I911" s="6" t="s">
        <v>20</v>
      </c>
      <c r="J911" s="6" t="s">
        <v>21</v>
      </c>
      <c r="K911" s="6">
        <v>148747</v>
      </c>
      <c r="L911" s="6" t="s">
        <v>33</v>
      </c>
      <c r="M911" s="6">
        <v>0.22</v>
      </c>
      <c r="N911" s="6">
        <v>0.52</v>
      </c>
      <c r="O911" s="6">
        <v>2215.9299999999998</v>
      </c>
      <c r="P911" s="6">
        <v>9626.5400000000009</v>
      </c>
      <c r="Q911" s="6">
        <f t="shared" ca="1" si="44"/>
        <v>53</v>
      </c>
      <c r="R911" s="6">
        <f t="shared" si="42"/>
        <v>17052.07</v>
      </c>
      <c r="S911" s="7" t="str">
        <f t="shared" si="43"/>
        <v>Profit</v>
      </c>
    </row>
    <row r="912" spans="1:19" x14ac:dyDescent="0.3">
      <c r="A912" s="4" t="s">
        <v>1865</v>
      </c>
      <c r="B912" s="5">
        <v>44625</v>
      </c>
      <c r="C912" s="6" t="s">
        <v>1866</v>
      </c>
      <c r="D912" s="6" t="s">
        <v>40</v>
      </c>
      <c r="E912" s="6">
        <v>13330</v>
      </c>
      <c r="F912" s="6">
        <v>23.1</v>
      </c>
      <c r="G912" s="6">
        <v>60</v>
      </c>
      <c r="H912" s="6" t="s">
        <v>26</v>
      </c>
      <c r="I912" s="6" t="s">
        <v>72</v>
      </c>
      <c r="J912" s="6" t="s">
        <v>28</v>
      </c>
      <c r="K912" s="6">
        <v>43026</v>
      </c>
      <c r="L912" s="6" t="s">
        <v>22</v>
      </c>
      <c r="M912" s="6">
        <v>0.2</v>
      </c>
      <c r="N912" s="6">
        <v>0.51</v>
      </c>
      <c r="O912" s="6">
        <v>3589.27</v>
      </c>
      <c r="P912" s="6">
        <v>0</v>
      </c>
      <c r="Q912" s="6">
        <f t="shared" ca="1" si="44"/>
        <v>48</v>
      </c>
      <c r="R912" s="6">
        <f t="shared" si="42"/>
        <v>9740.73</v>
      </c>
      <c r="S912" s="7" t="str">
        <f t="shared" si="43"/>
        <v>Profit</v>
      </c>
    </row>
    <row r="913" spans="1:19" x14ac:dyDescent="0.3">
      <c r="A913" s="4" t="s">
        <v>1867</v>
      </c>
      <c r="B913" s="5">
        <v>44482</v>
      </c>
      <c r="C913" s="6" t="s">
        <v>1868</v>
      </c>
      <c r="D913" s="6" t="s">
        <v>25</v>
      </c>
      <c r="E913" s="6">
        <v>21733</v>
      </c>
      <c r="F913" s="6">
        <v>10.3</v>
      </c>
      <c r="G913" s="6">
        <v>36</v>
      </c>
      <c r="H913" s="6" t="s">
        <v>26</v>
      </c>
      <c r="I913" s="6" t="s">
        <v>27</v>
      </c>
      <c r="J913" s="6" t="s">
        <v>47</v>
      </c>
      <c r="K913" s="6">
        <v>98309</v>
      </c>
      <c r="L913" s="6" t="s">
        <v>29</v>
      </c>
      <c r="M913" s="6">
        <v>0.13</v>
      </c>
      <c r="N913" s="6">
        <v>0.55000000000000004</v>
      </c>
      <c r="O913" s="6">
        <v>4562.7700000000004</v>
      </c>
      <c r="P913" s="6">
        <v>0</v>
      </c>
      <c r="Q913" s="6">
        <f t="shared" ca="1" si="44"/>
        <v>53</v>
      </c>
      <c r="R913" s="6">
        <f t="shared" si="42"/>
        <v>17170.23</v>
      </c>
      <c r="S913" s="7" t="str">
        <f t="shared" si="43"/>
        <v>Profit</v>
      </c>
    </row>
    <row r="914" spans="1:19" x14ac:dyDescent="0.3">
      <c r="A914" s="4" t="s">
        <v>1869</v>
      </c>
      <c r="B914" s="5">
        <v>45239</v>
      </c>
      <c r="C914" s="6" t="s">
        <v>1870</v>
      </c>
      <c r="D914" s="6" t="s">
        <v>75</v>
      </c>
      <c r="E914" s="6">
        <v>38947</v>
      </c>
      <c r="F914" s="6">
        <v>19.5</v>
      </c>
      <c r="G914" s="6">
        <v>60</v>
      </c>
      <c r="H914" s="6" t="s">
        <v>19</v>
      </c>
      <c r="I914" s="6" t="s">
        <v>72</v>
      </c>
      <c r="J914" s="6" t="s">
        <v>28</v>
      </c>
      <c r="K914" s="6">
        <v>75927</v>
      </c>
      <c r="L914" s="6" t="s">
        <v>29</v>
      </c>
      <c r="M914" s="6">
        <v>0.4</v>
      </c>
      <c r="N914" s="6">
        <v>0.57999999999999996</v>
      </c>
      <c r="O914" s="6">
        <v>46541.66</v>
      </c>
      <c r="P914" s="6">
        <v>0</v>
      </c>
      <c r="Q914" s="6">
        <f t="shared" ca="1" si="44"/>
        <v>28</v>
      </c>
      <c r="R914" s="6">
        <f t="shared" si="42"/>
        <v>-7594.6600000000035</v>
      </c>
      <c r="S914" s="7" t="str">
        <f t="shared" si="43"/>
        <v>Loss</v>
      </c>
    </row>
    <row r="915" spans="1:19" x14ac:dyDescent="0.3">
      <c r="A915" s="4" t="s">
        <v>1871</v>
      </c>
      <c r="B915" s="5">
        <v>44214</v>
      </c>
      <c r="C915" s="6" t="s">
        <v>1872</v>
      </c>
      <c r="D915" s="6" t="s">
        <v>46</v>
      </c>
      <c r="E915" s="6">
        <v>28286</v>
      </c>
      <c r="F915" s="6">
        <v>22.6</v>
      </c>
      <c r="G915" s="6">
        <v>60</v>
      </c>
      <c r="H915" s="6" t="s">
        <v>26</v>
      </c>
      <c r="I915" s="6" t="s">
        <v>57</v>
      </c>
      <c r="J915" s="6" t="s">
        <v>32</v>
      </c>
      <c r="K915" s="6">
        <v>105414</v>
      </c>
      <c r="L915" s="6" t="s">
        <v>29</v>
      </c>
      <c r="M915" s="6">
        <v>0.38</v>
      </c>
      <c r="N915" s="6">
        <v>0.69</v>
      </c>
      <c r="O915" s="6">
        <v>4615.7299999999996</v>
      </c>
      <c r="P915" s="6">
        <v>0</v>
      </c>
      <c r="Q915" s="6">
        <f t="shared" ca="1" si="44"/>
        <v>62</v>
      </c>
      <c r="R915" s="6">
        <f t="shared" si="42"/>
        <v>23670.27</v>
      </c>
      <c r="S915" s="7" t="str">
        <f t="shared" si="43"/>
        <v>Profit</v>
      </c>
    </row>
    <row r="916" spans="1:19" x14ac:dyDescent="0.3">
      <c r="A916" s="4" t="s">
        <v>1873</v>
      </c>
      <c r="B916" s="5">
        <v>44965</v>
      </c>
      <c r="C916" s="6" t="s">
        <v>1874</v>
      </c>
      <c r="D916" s="6" t="s">
        <v>64</v>
      </c>
      <c r="E916" s="6">
        <v>7610</v>
      </c>
      <c r="F916" s="6">
        <v>5.8</v>
      </c>
      <c r="G916" s="6">
        <v>60</v>
      </c>
      <c r="H916" s="6" t="s">
        <v>19</v>
      </c>
      <c r="I916" s="6" t="s">
        <v>72</v>
      </c>
      <c r="J916" s="6" t="s">
        <v>32</v>
      </c>
      <c r="K916" s="6">
        <v>87535</v>
      </c>
      <c r="L916" s="6" t="s">
        <v>22</v>
      </c>
      <c r="M916" s="6">
        <v>0.19</v>
      </c>
      <c r="N916" s="6">
        <v>0.73</v>
      </c>
      <c r="O916" s="6">
        <v>8051.38</v>
      </c>
      <c r="P916" s="6">
        <v>0</v>
      </c>
      <c r="Q916" s="6">
        <f t="shared" ca="1" si="44"/>
        <v>37</v>
      </c>
      <c r="R916" s="6">
        <f t="shared" si="42"/>
        <v>-441.38000000000011</v>
      </c>
      <c r="S916" s="7" t="str">
        <f t="shared" si="43"/>
        <v>Loss</v>
      </c>
    </row>
    <row r="917" spans="1:19" x14ac:dyDescent="0.3">
      <c r="A917" s="4" t="s">
        <v>1875</v>
      </c>
      <c r="B917" s="5">
        <v>44786</v>
      </c>
      <c r="C917" s="6" t="s">
        <v>1876</v>
      </c>
      <c r="D917" s="6" t="s">
        <v>64</v>
      </c>
      <c r="E917" s="6">
        <v>7430</v>
      </c>
      <c r="F917" s="6">
        <v>13</v>
      </c>
      <c r="G917" s="6">
        <v>60</v>
      </c>
      <c r="H917" s="6" t="s">
        <v>19</v>
      </c>
      <c r="I917" s="6" t="s">
        <v>41</v>
      </c>
      <c r="J917" s="6" t="s">
        <v>47</v>
      </c>
      <c r="K917" s="6">
        <v>72946</v>
      </c>
      <c r="L917" s="6" t="s">
        <v>22</v>
      </c>
      <c r="M917" s="6">
        <v>0.4</v>
      </c>
      <c r="N917" s="6">
        <v>0.56000000000000005</v>
      </c>
      <c r="O917" s="6">
        <v>8395.9</v>
      </c>
      <c r="P917" s="6">
        <v>0</v>
      </c>
      <c r="Q917" s="6">
        <f t="shared" ca="1" si="44"/>
        <v>43</v>
      </c>
      <c r="R917" s="6">
        <f t="shared" si="42"/>
        <v>-965.89999999999964</v>
      </c>
      <c r="S917" s="7" t="str">
        <f t="shared" si="43"/>
        <v>Loss</v>
      </c>
    </row>
    <row r="918" spans="1:19" x14ac:dyDescent="0.3">
      <c r="A918" s="4" t="s">
        <v>1877</v>
      </c>
      <c r="B918" s="5">
        <v>45206</v>
      </c>
      <c r="C918" s="6" t="s">
        <v>1878</v>
      </c>
      <c r="D918" s="6" t="s">
        <v>56</v>
      </c>
      <c r="E918" s="6">
        <v>14828</v>
      </c>
      <c r="F918" s="6">
        <v>20.2</v>
      </c>
      <c r="G918" s="6">
        <v>36</v>
      </c>
      <c r="H918" s="6" t="s">
        <v>19</v>
      </c>
      <c r="I918" s="6" t="s">
        <v>20</v>
      </c>
      <c r="J918" s="6" t="s">
        <v>37</v>
      </c>
      <c r="K918" s="6">
        <v>86561</v>
      </c>
      <c r="L918" s="6" t="s">
        <v>29</v>
      </c>
      <c r="M918" s="6">
        <v>0.47</v>
      </c>
      <c r="N918" s="6">
        <v>0.69</v>
      </c>
      <c r="O918" s="6">
        <v>17823.259999999998</v>
      </c>
      <c r="P918" s="6">
        <v>0</v>
      </c>
      <c r="Q918" s="6">
        <f t="shared" ca="1" si="44"/>
        <v>29</v>
      </c>
      <c r="R918" s="6">
        <f t="shared" si="42"/>
        <v>-2995.2599999999984</v>
      </c>
      <c r="S918" s="7" t="str">
        <f t="shared" si="43"/>
        <v>Loss</v>
      </c>
    </row>
    <row r="919" spans="1:19" x14ac:dyDescent="0.3">
      <c r="A919" s="4" t="s">
        <v>1879</v>
      </c>
      <c r="B919" s="5">
        <v>44390</v>
      </c>
      <c r="C919" s="6" t="s">
        <v>1880</v>
      </c>
      <c r="D919" s="6" t="s">
        <v>71</v>
      </c>
      <c r="E919" s="6">
        <v>32497</v>
      </c>
      <c r="F919" s="6">
        <v>14.1</v>
      </c>
      <c r="G919" s="6">
        <v>36</v>
      </c>
      <c r="H919" s="6" t="s">
        <v>26</v>
      </c>
      <c r="I919" s="6" t="s">
        <v>57</v>
      </c>
      <c r="J919" s="6" t="s">
        <v>21</v>
      </c>
      <c r="K919" s="6">
        <v>40377</v>
      </c>
      <c r="L919" s="6" t="s">
        <v>22</v>
      </c>
      <c r="M919" s="6">
        <v>0.14000000000000001</v>
      </c>
      <c r="N919" s="6">
        <v>0.65</v>
      </c>
      <c r="O919" s="6">
        <v>11783.49</v>
      </c>
      <c r="P919" s="6">
        <v>0</v>
      </c>
      <c r="Q919" s="6">
        <f t="shared" ca="1" si="44"/>
        <v>56</v>
      </c>
      <c r="R919" s="6">
        <f t="shared" si="42"/>
        <v>20713.510000000002</v>
      </c>
      <c r="S919" s="7" t="str">
        <f t="shared" si="43"/>
        <v>Profit</v>
      </c>
    </row>
    <row r="920" spans="1:19" x14ac:dyDescent="0.3">
      <c r="A920" s="4" t="s">
        <v>1881</v>
      </c>
      <c r="B920" s="5">
        <v>44698</v>
      </c>
      <c r="C920" s="6" t="s">
        <v>1882</v>
      </c>
      <c r="D920" s="6" t="s">
        <v>64</v>
      </c>
      <c r="E920" s="6">
        <v>37618</v>
      </c>
      <c r="F920" s="6">
        <v>10.3</v>
      </c>
      <c r="G920" s="6">
        <v>36</v>
      </c>
      <c r="H920" s="6" t="s">
        <v>19</v>
      </c>
      <c r="I920" s="6" t="s">
        <v>57</v>
      </c>
      <c r="J920" s="6" t="s">
        <v>21</v>
      </c>
      <c r="K920" s="6">
        <v>83592</v>
      </c>
      <c r="L920" s="6" t="s">
        <v>29</v>
      </c>
      <c r="M920" s="6">
        <v>0.19</v>
      </c>
      <c r="N920" s="6">
        <v>0.57999999999999996</v>
      </c>
      <c r="O920" s="6">
        <v>41492.65</v>
      </c>
      <c r="P920" s="6">
        <v>0</v>
      </c>
      <c r="Q920" s="6">
        <f t="shared" ca="1" si="44"/>
        <v>46</v>
      </c>
      <c r="R920" s="6">
        <f t="shared" si="42"/>
        <v>-3874.6500000000015</v>
      </c>
      <c r="S920" s="7" t="str">
        <f t="shared" si="43"/>
        <v>Loss</v>
      </c>
    </row>
    <row r="921" spans="1:19" x14ac:dyDescent="0.3">
      <c r="A921" s="4" t="s">
        <v>1883</v>
      </c>
      <c r="B921" s="5">
        <v>45184</v>
      </c>
      <c r="C921" s="6" t="s">
        <v>1884</v>
      </c>
      <c r="D921" s="6" t="s">
        <v>71</v>
      </c>
      <c r="E921" s="6">
        <v>27526</v>
      </c>
      <c r="F921" s="6">
        <v>9.4</v>
      </c>
      <c r="G921" s="6">
        <v>36</v>
      </c>
      <c r="H921" s="6" t="s">
        <v>19</v>
      </c>
      <c r="I921" s="6" t="s">
        <v>72</v>
      </c>
      <c r="J921" s="6" t="s">
        <v>32</v>
      </c>
      <c r="K921" s="6">
        <v>37347</v>
      </c>
      <c r="L921" s="6" t="s">
        <v>22</v>
      </c>
      <c r="M921" s="6">
        <v>0.4</v>
      </c>
      <c r="N921" s="6">
        <v>0.5</v>
      </c>
      <c r="O921" s="6">
        <v>30113.439999999999</v>
      </c>
      <c r="P921" s="6">
        <v>0</v>
      </c>
      <c r="Q921" s="6">
        <f t="shared" ca="1" si="44"/>
        <v>30</v>
      </c>
      <c r="R921" s="6">
        <f t="shared" si="42"/>
        <v>-2587.4399999999987</v>
      </c>
      <c r="S921" s="7" t="str">
        <f t="shared" si="43"/>
        <v>Loss</v>
      </c>
    </row>
    <row r="922" spans="1:19" x14ac:dyDescent="0.3">
      <c r="A922" s="4" t="s">
        <v>1885</v>
      </c>
      <c r="B922" s="5">
        <v>44310</v>
      </c>
      <c r="C922" s="6" t="s">
        <v>1886</v>
      </c>
      <c r="D922" s="6" t="s">
        <v>40</v>
      </c>
      <c r="E922" s="6">
        <v>31158</v>
      </c>
      <c r="F922" s="6">
        <v>7.6</v>
      </c>
      <c r="G922" s="6">
        <v>36</v>
      </c>
      <c r="H922" s="6" t="s">
        <v>19</v>
      </c>
      <c r="I922" s="6" t="s">
        <v>20</v>
      </c>
      <c r="J922" s="6" t="s">
        <v>28</v>
      </c>
      <c r="K922" s="6">
        <v>63776</v>
      </c>
      <c r="L922" s="6" t="s">
        <v>33</v>
      </c>
      <c r="M922" s="6">
        <v>0.21</v>
      </c>
      <c r="N922" s="6">
        <v>0.71</v>
      </c>
      <c r="O922" s="6">
        <v>33526.01</v>
      </c>
      <c r="P922" s="6">
        <v>0</v>
      </c>
      <c r="Q922" s="6">
        <f t="shared" ca="1" si="44"/>
        <v>58</v>
      </c>
      <c r="R922" s="6">
        <f t="shared" si="42"/>
        <v>-2368.010000000002</v>
      </c>
      <c r="S922" s="7" t="str">
        <f t="shared" si="43"/>
        <v>Loss</v>
      </c>
    </row>
    <row r="923" spans="1:19" x14ac:dyDescent="0.3">
      <c r="A923" s="4" t="s">
        <v>1887</v>
      </c>
      <c r="B923" s="5">
        <v>45143</v>
      </c>
      <c r="C923" s="6" t="s">
        <v>1888</v>
      </c>
      <c r="D923" s="6" t="s">
        <v>75</v>
      </c>
      <c r="E923" s="6">
        <v>26032</v>
      </c>
      <c r="F923" s="6">
        <v>22.1</v>
      </c>
      <c r="G923" s="6">
        <v>60</v>
      </c>
      <c r="H923" s="6" t="s">
        <v>19</v>
      </c>
      <c r="I923" s="6" t="s">
        <v>20</v>
      </c>
      <c r="J923" s="6" t="s">
        <v>28</v>
      </c>
      <c r="K923" s="6">
        <v>33783</v>
      </c>
      <c r="L923" s="6" t="s">
        <v>33</v>
      </c>
      <c r="M923" s="6">
        <v>0.35</v>
      </c>
      <c r="N923" s="6">
        <v>0.81</v>
      </c>
      <c r="O923" s="6">
        <v>31785.07</v>
      </c>
      <c r="P923" s="6">
        <v>0</v>
      </c>
      <c r="Q923" s="6">
        <f t="shared" ca="1" si="44"/>
        <v>31</v>
      </c>
      <c r="R923" s="6">
        <f t="shared" si="42"/>
        <v>-5753.07</v>
      </c>
      <c r="S923" s="7" t="str">
        <f t="shared" si="43"/>
        <v>Loss</v>
      </c>
    </row>
    <row r="924" spans="1:19" x14ac:dyDescent="0.3">
      <c r="A924" s="4" t="s">
        <v>1889</v>
      </c>
      <c r="B924" s="5">
        <v>45027</v>
      </c>
      <c r="C924" s="6" t="s">
        <v>1890</v>
      </c>
      <c r="D924" s="6" t="s">
        <v>50</v>
      </c>
      <c r="E924" s="6">
        <v>38846</v>
      </c>
      <c r="F924" s="6">
        <v>16.5</v>
      </c>
      <c r="G924" s="6">
        <v>36</v>
      </c>
      <c r="H924" s="6" t="s">
        <v>19</v>
      </c>
      <c r="I924" s="6" t="s">
        <v>57</v>
      </c>
      <c r="J924" s="6" t="s">
        <v>37</v>
      </c>
      <c r="K924" s="6">
        <v>85798</v>
      </c>
      <c r="L924" s="6" t="s">
        <v>22</v>
      </c>
      <c r="M924" s="6">
        <v>0.13</v>
      </c>
      <c r="N924" s="6">
        <v>0.6</v>
      </c>
      <c r="O924" s="6">
        <v>45255.59</v>
      </c>
      <c r="P924" s="6">
        <v>0</v>
      </c>
      <c r="Q924" s="6">
        <f t="shared" ca="1" si="44"/>
        <v>35</v>
      </c>
      <c r="R924" s="6">
        <f t="shared" si="42"/>
        <v>-6409.5899999999965</v>
      </c>
      <c r="S924" s="7" t="str">
        <f t="shared" si="43"/>
        <v>Loss</v>
      </c>
    </row>
    <row r="925" spans="1:19" x14ac:dyDescent="0.3">
      <c r="A925" s="4" t="s">
        <v>1891</v>
      </c>
      <c r="B925" s="5">
        <v>45121</v>
      </c>
      <c r="C925" s="6" t="s">
        <v>1892</v>
      </c>
      <c r="D925" s="6" t="s">
        <v>64</v>
      </c>
      <c r="E925" s="6">
        <v>30794</v>
      </c>
      <c r="F925" s="6">
        <v>6.5</v>
      </c>
      <c r="G925" s="6">
        <v>36</v>
      </c>
      <c r="H925" s="6" t="s">
        <v>26</v>
      </c>
      <c r="I925" s="6" t="s">
        <v>36</v>
      </c>
      <c r="J925" s="6" t="s">
        <v>28</v>
      </c>
      <c r="K925" s="6">
        <v>34298</v>
      </c>
      <c r="L925" s="6" t="s">
        <v>33</v>
      </c>
      <c r="M925" s="6">
        <v>0.28000000000000003</v>
      </c>
      <c r="N925" s="6">
        <v>0.56000000000000005</v>
      </c>
      <c r="O925" s="6">
        <v>12202.69</v>
      </c>
      <c r="P925" s="6">
        <v>0</v>
      </c>
      <c r="Q925" s="6">
        <f t="shared" ca="1" si="44"/>
        <v>32</v>
      </c>
      <c r="R925" s="6">
        <f t="shared" si="42"/>
        <v>18591.309999999998</v>
      </c>
      <c r="S925" s="7" t="str">
        <f t="shared" si="43"/>
        <v>Profit</v>
      </c>
    </row>
    <row r="926" spans="1:19" x14ac:dyDescent="0.3">
      <c r="A926" s="4" t="s">
        <v>1893</v>
      </c>
      <c r="B926" s="5">
        <v>44251</v>
      </c>
      <c r="C926" s="6" t="s">
        <v>1894</v>
      </c>
      <c r="D926" s="6" t="s">
        <v>18</v>
      </c>
      <c r="E926" s="6">
        <v>6448</v>
      </c>
      <c r="F926" s="6">
        <v>12.7</v>
      </c>
      <c r="G926" s="6">
        <v>36</v>
      </c>
      <c r="H926" s="6" t="s">
        <v>26</v>
      </c>
      <c r="I926" s="6" t="s">
        <v>27</v>
      </c>
      <c r="J926" s="6" t="s">
        <v>21</v>
      </c>
      <c r="K926" s="6">
        <v>100204</v>
      </c>
      <c r="L926" s="6" t="s">
        <v>33</v>
      </c>
      <c r="M926" s="6">
        <v>0.4</v>
      </c>
      <c r="N926" s="6">
        <v>0.9</v>
      </c>
      <c r="O926" s="6">
        <v>1032.68</v>
      </c>
      <c r="P926" s="6">
        <v>0</v>
      </c>
      <c r="Q926" s="6">
        <f t="shared" ca="1" si="44"/>
        <v>60</v>
      </c>
      <c r="R926" s="6">
        <f t="shared" si="42"/>
        <v>5415.32</v>
      </c>
      <c r="S926" s="7" t="str">
        <f t="shared" si="43"/>
        <v>Profit</v>
      </c>
    </row>
    <row r="927" spans="1:19" x14ac:dyDescent="0.3">
      <c r="A927" s="4" t="s">
        <v>1895</v>
      </c>
      <c r="B927" s="5">
        <v>44996</v>
      </c>
      <c r="C927" s="6" t="s">
        <v>1896</v>
      </c>
      <c r="D927" s="6" t="s">
        <v>71</v>
      </c>
      <c r="E927" s="6">
        <v>29861</v>
      </c>
      <c r="F927" s="6">
        <v>12.4</v>
      </c>
      <c r="G927" s="6">
        <v>60</v>
      </c>
      <c r="H927" s="6" t="s">
        <v>19</v>
      </c>
      <c r="I927" s="6" t="s">
        <v>27</v>
      </c>
      <c r="J927" s="6" t="s">
        <v>28</v>
      </c>
      <c r="K927" s="6">
        <v>116207</v>
      </c>
      <c r="L927" s="6" t="s">
        <v>33</v>
      </c>
      <c r="M927" s="6">
        <v>0.37</v>
      </c>
      <c r="N927" s="6">
        <v>0.62</v>
      </c>
      <c r="O927" s="6">
        <v>33563.760000000002</v>
      </c>
      <c r="P927" s="6">
        <v>0</v>
      </c>
      <c r="Q927" s="6">
        <f t="shared" ca="1" si="44"/>
        <v>36</v>
      </c>
      <c r="R927" s="6">
        <f t="shared" si="42"/>
        <v>-3702.760000000002</v>
      </c>
      <c r="S927" s="7" t="str">
        <f t="shared" si="43"/>
        <v>Loss</v>
      </c>
    </row>
    <row r="928" spans="1:19" x14ac:dyDescent="0.3">
      <c r="A928" s="4" t="s">
        <v>1897</v>
      </c>
      <c r="B928" s="5">
        <v>44974</v>
      </c>
      <c r="C928" s="6" t="s">
        <v>1898</v>
      </c>
      <c r="D928" s="6" t="s">
        <v>56</v>
      </c>
      <c r="E928" s="6">
        <v>29141</v>
      </c>
      <c r="F928" s="6">
        <v>8.6</v>
      </c>
      <c r="G928" s="6">
        <v>60</v>
      </c>
      <c r="H928" s="6" t="s">
        <v>80</v>
      </c>
      <c r="I928" s="6" t="s">
        <v>83</v>
      </c>
      <c r="J928" s="6" t="s">
        <v>37</v>
      </c>
      <c r="K928" s="6">
        <v>130356</v>
      </c>
      <c r="L928" s="6" t="s">
        <v>29</v>
      </c>
      <c r="M928" s="6">
        <v>0.43</v>
      </c>
      <c r="N928" s="6">
        <v>0.6</v>
      </c>
      <c r="O928" s="6">
        <v>3346.38</v>
      </c>
      <c r="P928" s="6">
        <v>13855.54</v>
      </c>
      <c r="Q928" s="6">
        <f t="shared" ca="1" si="44"/>
        <v>37</v>
      </c>
      <c r="R928" s="6">
        <f t="shared" si="42"/>
        <v>25794.62</v>
      </c>
      <c r="S928" s="7" t="str">
        <f t="shared" si="43"/>
        <v>Profit</v>
      </c>
    </row>
    <row r="929" spans="1:19" x14ac:dyDescent="0.3">
      <c r="A929" s="4" t="s">
        <v>1899</v>
      </c>
      <c r="B929" s="5">
        <v>44358</v>
      </c>
      <c r="C929" s="6" t="s">
        <v>1900</v>
      </c>
      <c r="D929" s="6" t="s">
        <v>46</v>
      </c>
      <c r="E929" s="6">
        <v>10074</v>
      </c>
      <c r="F929" s="6">
        <v>13.7</v>
      </c>
      <c r="G929" s="6">
        <v>36</v>
      </c>
      <c r="H929" s="6" t="s">
        <v>26</v>
      </c>
      <c r="I929" s="6" t="s">
        <v>20</v>
      </c>
      <c r="J929" s="6" t="s">
        <v>21</v>
      </c>
      <c r="K929" s="6">
        <v>85161</v>
      </c>
      <c r="L929" s="6" t="s">
        <v>22</v>
      </c>
      <c r="M929" s="6">
        <v>0.45</v>
      </c>
      <c r="N929" s="6">
        <v>0.89</v>
      </c>
      <c r="O929" s="6">
        <v>4351.3500000000004</v>
      </c>
      <c r="P929" s="6">
        <v>0</v>
      </c>
      <c r="Q929" s="6">
        <f t="shared" ca="1" si="44"/>
        <v>57</v>
      </c>
      <c r="R929" s="6">
        <f t="shared" si="42"/>
        <v>5722.65</v>
      </c>
      <c r="S929" s="7" t="str">
        <f t="shared" si="43"/>
        <v>Profit</v>
      </c>
    </row>
    <row r="930" spans="1:19" x14ac:dyDescent="0.3">
      <c r="A930" s="4" t="s">
        <v>1901</v>
      </c>
      <c r="B930" s="5">
        <v>44283</v>
      </c>
      <c r="C930" s="6" t="s">
        <v>1902</v>
      </c>
      <c r="D930" s="6" t="s">
        <v>56</v>
      </c>
      <c r="E930" s="6">
        <v>7406</v>
      </c>
      <c r="F930" s="6">
        <v>11.6</v>
      </c>
      <c r="G930" s="6">
        <v>60</v>
      </c>
      <c r="H930" s="6" t="s">
        <v>19</v>
      </c>
      <c r="I930" s="6" t="s">
        <v>83</v>
      </c>
      <c r="J930" s="6" t="s">
        <v>28</v>
      </c>
      <c r="K930" s="6">
        <v>90652</v>
      </c>
      <c r="L930" s="6" t="s">
        <v>22</v>
      </c>
      <c r="M930" s="6">
        <v>0.41</v>
      </c>
      <c r="N930" s="6">
        <v>0.87</v>
      </c>
      <c r="O930" s="6">
        <v>8265.1</v>
      </c>
      <c r="P930" s="6">
        <v>0</v>
      </c>
      <c r="Q930" s="6">
        <f t="shared" ca="1" si="44"/>
        <v>59</v>
      </c>
      <c r="R930" s="6">
        <f t="shared" si="42"/>
        <v>-859.10000000000036</v>
      </c>
      <c r="S930" s="7" t="str">
        <f t="shared" si="43"/>
        <v>Loss</v>
      </c>
    </row>
    <row r="931" spans="1:19" x14ac:dyDescent="0.3">
      <c r="A931" s="4" t="s">
        <v>1903</v>
      </c>
      <c r="B931" s="5">
        <v>44251</v>
      </c>
      <c r="C931" s="6" t="s">
        <v>1904</v>
      </c>
      <c r="D931" s="6" t="s">
        <v>64</v>
      </c>
      <c r="E931" s="6">
        <v>32823</v>
      </c>
      <c r="F931" s="6">
        <v>11.8</v>
      </c>
      <c r="G931" s="6">
        <v>36</v>
      </c>
      <c r="H931" s="6" t="s">
        <v>26</v>
      </c>
      <c r="I931" s="6" t="s">
        <v>72</v>
      </c>
      <c r="J931" s="6" t="s">
        <v>21</v>
      </c>
      <c r="K931" s="6">
        <v>64484</v>
      </c>
      <c r="L931" s="6" t="s">
        <v>22</v>
      </c>
      <c r="M931" s="6">
        <v>0.37</v>
      </c>
      <c r="N931" s="6">
        <v>0.7</v>
      </c>
      <c r="O931" s="6">
        <v>1788.26</v>
      </c>
      <c r="P931" s="6">
        <v>0</v>
      </c>
      <c r="Q931" s="6">
        <f t="shared" ca="1" si="44"/>
        <v>60</v>
      </c>
      <c r="R931" s="6">
        <f t="shared" si="42"/>
        <v>31034.74</v>
      </c>
      <c r="S931" s="7" t="str">
        <f t="shared" si="43"/>
        <v>Profit</v>
      </c>
    </row>
    <row r="932" spans="1:19" x14ac:dyDescent="0.3">
      <c r="A932" s="4" t="s">
        <v>1905</v>
      </c>
      <c r="B932" s="5">
        <v>45228</v>
      </c>
      <c r="C932" s="6" t="s">
        <v>1906</v>
      </c>
      <c r="D932" s="6" t="s">
        <v>25</v>
      </c>
      <c r="E932" s="6">
        <v>24291</v>
      </c>
      <c r="F932" s="6">
        <v>19.8</v>
      </c>
      <c r="G932" s="6">
        <v>36</v>
      </c>
      <c r="H932" s="6" t="s">
        <v>2045</v>
      </c>
      <c r="I932" s="6" t="s">
        <v>57</v>
      </c>
      <c r="J932" s="6" t="s">
        <v>32</v>
      </c>
      <c r="K932" s="6">
        <v>128614</v>
      </c>
      <c r="L932" s="6" t="s">
        <v>33</v>
      </c>
      <c r="M932" s="6">
        <v>0.11</v>
      </c>
      <c r="N932" s="6">
        <v>0.72</v>
      </c>
      <c r="O932" s="6">
        <v>0</v>
      </c>
      <c r="P932" s="6">
        <v>0</v>
      </c>
      <c r="Q932" s="6">
        <f t="shared" ca="1" si="44"/>
        <v>28</v>
      </c>
      <c r="R932" s="6">
        <f t="shared" si="42"/>
        <v>24291</v>
      </c>
      <c r="S932" s="7" t="str">
        <f t="shared" si="43"/>
        <v>Profit</v>
      </c>
    </row>
    <row r="933" spans="1:19" x14ac:dyDescent="0.3">
      <c r="A933" s="4" t="s">
        <v>1907</v>
      </c>
      <c r="B933" s="5">
        <v>45029</v>
      </c>
      <c r="C933" s="6" t="s">
        <v>1908</v>
      </c>
      <c r="D933" s="6" t="s">
        <v>50</v>
      </c>
      <c r="E933" s="6">
        <v>33003</v>
      </c>
      <c r="F933" s="6">
        <v>9.5</v>
      </c>
      <c r="G933" s="6">
        <v>60</v>
      </c>
      <c r="H933" s="6" t="s">
        <v>19</v>
      </c>
      <c r="I933" s="6" t="s">
        <v>83</v>
      </c>
      <c r="J933" s="6" t="s">
        <v>32</v>
      </c>
      <c r="K933" s="6">
        <v>142695</v>
      </c>
      <c r="L933" s="6" t="s">
        <v>29</v>
      </c>
      <c r="M933" s="6">
        <v>0.31</v>
      </c>
      <c r="N933" s="6">
        <v>0.6</v>
      </c>
      <c r="O933" s="6">
        <v>36138.28</v>
      </c>
      <c r="P933" s="6">
        <v>0</v>
      </c>
      <c r="Q933" s="6">
        <f t="shared" ca="1" si="44"/>
        <v>35</v>
      </c>
      <c r="R933" s="6">
        <f t="shared" si="42"/>
        <v>-3135.2799999999988</v>
      </c>
      <c r="S933" s="7" t="str">
        <f t="shared" si="43"/>
        <v>Loss</v>
      </c>
    </row>
    <row r="934" spans="1:19" x14ac:dyDescent="0.3">
      <c r="A934" s="4" t="s">
        <v>1909</v>
      </c>
      <c r="B934" s="5">
        <v>44509</v>
      </c>
      <c r="C934" s="6" t="s">
        <v>1910</v>
      </c>
      <c r="D934" s="6" t="s">
        <v>75</v>
      </c>
      <c r="E934" s="6">
        <v>35406</v>
      </c>
      <c r="F934" s="6">
        <v>17.8</v>
      </c>
      <c r="G934" s="6">
        <v>60</v>
      </c>
      <c r="H934" s="6" t="s">
        <v>19</v>
      </c>
      <c r="I934" s="6" t="s">
        <v>83</v>
      </c>
      <c r="J934" s="6" t="s">
        <v>32</v>
      </c>
      <c r="K934" s="6">
        <v>50922</v>
      </c>
      <c r="L934" s="6" t="s">
        <v>22</v>
      </c>
      <c r="M934" s="6">
        <v>0.12</v>
      </c>
      <c r="N934" s="6">
        <v>0.54</v>
      </c>
      <c r="O934" s="6">
        <v>41708.269999999997</v>
      </c>
      <c r="P934" s="6">
        <v>0</v>
      </c>
      <c r="Q934" s="6">
        <f t="shared" ca="1" si="44"/>
        <v>52</v>
      </c>
      <c r="R934" s="6">
        <f t="shared" si="42"/>
        <v>-6302.2699999999968</v>
      </c>
      <c r="S934" s="7" t="str">
        <f t="shared" si="43"/>
        <v>Loss</v>
      </c>
    </row>
    <row r="935" spans="1:19" x14ac:dyDescent="0.3">
      <c r="A935" s="4" t="s">
        <v>1911</v>
      </c>
      <c r="B935" s="5">
        <v>44955</v>
      </c>
      <c r="C935" s="6" t="s">
        <v>1912</v>
      </c>
      <c r="D935" s="6" t="s">
        <v>18</v>
      </c>
      <c r="E935" s="6">
        <v>24312</v>
      </c>
      <c r="F935" s="6">
        <v>16.399999999999999</v>
      </c>
      <c r="G935" s="6">
        <v>36</v>
      </c>
      <c r="H935" s="6" t="s">
        <v>80</v>
      </c>
      <c r="I935" s="6" t="s">
        <v>83</v>
      </c>
      <c r="J935" s="6" t="s">
        <v>28</v>
      </c>
      <c r="K935" s="6">
        <v>64028</v>
      </c>
      <c r="L935" s="6" t="s">
        <v>33</v>
      </c>
      <c r="M935" s="6">
        <v>0.42</v>
      </c>
      <c r="N935" s="6">
        <v>0.76</v>
      </c>
      <c r="O935" s="6">
        <v>9266.1200000000008</v>
      </c>
      <c r="P935" s="6">
        <v>2516.62</v>
      </c>
      <c r="Q935" s="6">
        <f t="shared" ca="1" si="44"/>
        <v>37</v>
      </c>
      <c r="R935" s="6">
        <f t="shared" si="42"/>
        <v>15045.88</v>
      </c>
      <c r="S935" s="7" t="str">
        <f t="shared" si="43"/>
        <v>Profit</v>
      </c>
    </row>
    <row r="936" spans="1:19" x14ac:dyDescent="0.3">
      <c r="A936" s="4" t="s">
        <v>1913</v>
      </c>
      <c r="B936" s="5">
        <v>44639</v>
      </c>
      <c r="C936" s="6" t="s">
        <v>1914</v>
      </c>
      <c r="D936" s="6" t="s">
        <v>25</v>
      </c>
      <c r="E936" s="6">
        <v>2382</v>
      </c>
      <c r="F936" s="6">
        <v>16.399999999999999</v>
      </c>
      <c r="G936" s="6">
        <v>36</v>
      </c>
      <c r="H936" s="6" t="s">
        <v>26</v>
      </c>
      <c r="I936" s="6" t="s">
        <v>20</v>
      </c>
      <c r="J936" s="6" t="s">
        <v>37</v>
      </c>
      <c r="K936" s="6">
        <v>141461</v>
      </c>
      <c r="L936" s="6" t="s">
        <v>29</v>
      </c>
      <c r="M936" s="6">
        <v>0.23</v>
      </c>
      <c r="N936" s="6">
        <v>0.54</v>
      </c>
      <c r="O936" s="6">
        <v>791.85</v>
      </c>
      <c r="P936" s="6">
        <v>0</v>
      </c>
      <c r="Q936" s="6">
        <f t="shared" ca="1" si="44"/>
        <v>48</v>
      </c>
      <c r="R936" s="6">
        <f t="shared" si="42"/>
        <v>1590.15</v>
      </c>
      <c r="S936" s="7" t="str">
        <f t="shared" si="43"/>
        <v>Profit</v>
      </c>
    </row>
    <row r="937" spans="1:19" x14ac:dyDescent="0.3">
      <c r="A937" s="4" t="s">
        <v>1915</v>
      </c>
      <c r="B937" s="5">
        <v>44524</v>
      </c>
      <c r="C937" s="6" t="s">
        <v>1916</v>
      </c>
      <c r="D937" s="6" t="s">
        <v>56</v>
      </c>
      <c r="E937" s="6">
        <v>35171</v>
      </c>
      <c r="F937" s="6">
        <v>18.3</v>
      </c>
      <c r="G937" s="6">
        <v>60</v>
      </c>
      <c r="H937" s="6" t="s">
        <v>19</v>
      </c>
      <c r="I937" s="6" t="s">
        <v>41</v>
      </c>
      <c r="J937" s="6" t="s">
        <v>21</v>
      </c>
      <c r="K937" s="6">
        <v>50316</v>
      </c>
      <c r="L937" s="6" t="s">
        <v>29</v>
      </c>
      <c r="M937" s="6">
        <v>0.32</v>
      </c>
      <c r="N937" s="6">
        <v>0.7</v>
      </c>
      <c r="O937" s="6">
        <v>41607.29</v>
      </c>
      <c r="P937" s="6">
        <v>0</v>
      </c>
      <c r="Q937" s="6">
        <f t="shared" ca="1" si="44"/>
        <v>51</v>
      </c>
      <c r="R937" s="6">
        <f t="shared" si="42"/>
        <v>-6436.2900000000009</v>
      </c>
      <c r="S937" s="7" t="str">
        <f t="shared" si="43"/>
        <v>Loss</v>
      </c>
    </row>
    <row r="938" spans="1:19" x14ac:dyDescent="0.3">
      <c r="A938" s="4" t="s">
        <v>1917</v>
      </c>
      <c r="B938" s="5">
        <v>45274</v>
      </c>
      <c r="C938" s="6" t="s">
        <v>1918</v>
      </c>
      <c r="D938" s="6" t="s">
        <v>71</v>
      </c>
      <c r="E938" s="6">
        <v>4292</v>
      </c>
      <c r="F938" s="6">
        <v>16</v>
      </c>
      <c r="G938" s="6">
        <v>36</v>
      </c>
      <c r="H938" s="6" t="s">
        <v>26</v>
      </c>
      <c r="I938" s="6" t="s">
        <v>36</v>
      </c>
      <c r="J938" s="6" t="s">
        <v>47</v>
      </c>
      <c r="K938" s="6">
        <v>106996</v>
      </c>
      <c r="L938" s="6" t="s">
        <v>22</v>
      </c>
      <c r="M938" s="6">
        <v>0.21</v>
      </c>
      <c r="N938" s="6">
        <v>0.92</v>
      </c>
      <c r="O938" s="6">
        <v>836.21</v>
      </c>
      <c r="P938" s="6">
        <v>0</v>
      </c>
      <c r="Q938" s="6">
        <f t="shared" ca="1" si="44"/>
        <v>27</v>
      </c>
      <c r="R938" s="6">
        <f t="shared" si="42"/>
        <v>3455.79</v>
      </c>
      <c r="S938" s="7" t="str">
        <f t="shared" si="43"/>
        <v>Profit</v>
      </c>
    </row>
    <row r="939" spans="1:19" x14ac:dyDescent="0.3">
      <c r="A939" s="4" t="s">
        <v>1919</v>
      </c>
      <c r="B939" s="5">
        <v>44957</v>
      </c>
      <c r="C939" s="6" t="s">
        <v>1920</v>
      </c>
      <c r="D939" s="6" t="s">
        <v>71</v>
      </c>
      <c r="E939" s="6">
        <v>34187</v>
      </c>
      <c r="F939" s="6">
        <v>22.6</v>
      </c>
      <c r="G939" s="6">
        <v>60</v>
      </c>
      <c r="H939" s="6" t="s">
        <v>19</v>
      </c>
      <c r="I939" s="6" t="s">
        <v>57</v>
      </c>
      <c r="J939" s="6" t="s">
        <v>32</v>
      </c>
      <c r="K939" s="6">
        <v>46968</v>
      </c>
      <c r="L939" s="6" t="s">
        <v>22</v>
      </c>
      <c r="M939" s="6">
        <v>0.41</v>
      </c>
      <c r="N939" s="6">
        <v>0.93</v>
      </c>
      <c r="O939" s="6">
        <v>41913.26</v>
      </c>
      <c r="P939" s="6">
        <v>0</v>
      </c>
      <c r="Q939" s="6">
        <f t="shared" ca="1" si="44"/>
        <v>37</v>
      </c>
      <c r="R939" s="6">
        <f t="shared" si="42"/>
        <v>-7726.260000000002</v>
      </c>
      <c r="S939" s="7" t="str">
        <f t="shared" si="43"/>
        <v>Loss</v>
      </c>
    </row>
    <row r="940" spans="1:19" x14ac:dyDescent="0.3">
      <c r="A940" s="4" t="s">
        <v>1921</v>
      </c>
      <c r="B940" s="5">
        <v>44775</v>
      </c>
      <c r="C940" s="6" t="s">
        <v>1922</v>
      </c>
      <c r="D940" s="6" t="s">
        <v>25</v>
      </c>
      <c r="E940" s="6">
        <v>13411</v>
      </c>
      <c r="F940" s="6">
        <v>18.5</v>
      </c>
      <c r="G940" s="6">
        <v>36</v>
      </c>
      <c r="H940" s="6" t="s">
        <v>80</v>
      </c>
      <c r="I940" s="6" t="s">
        <v>20</v>
      </c>
      <c r="J940" s="6" t="s">
        <v>32</v>
      </c>
      <c r="K940" s="6">
        <v>60266</v>
      </c>
      <c r="L940" s="6" t="s">
        <v>33</v>
      </c>
      <c r="M940" s="6">
        <v>0.45</v>
      </c>
      <c r="N940" s="6">
        <v>0.61</v>
      </c>
      <c r="O940" s="6">
        <v>2332.75</v>
      </c>
      <c r="P940" s="6">
        <v>2064.9299999999998</v>
      </c>
      <c r="Q940" s="6">
        <f t="shared" ca="1" si="44"/>
        <v>43</v>
      </c>
      <c r="R940" s="6">
        <f t="shared" si="42"/>
        <v>11078.25</v>
      </c>
      <c r="S940" s="7" t="str">
        <f t="shared" si="43"/>
        <v>Profit</v>
      </c>
    </row>
    <row r="941" spans="1:19" x14ac:dyDescent="0.3">
      <c r="A941" s="4" t="s">
        <v>1923</v>
      </c>
      <c r="B941" s="5">
        <v>45271</v>
      </c>
      <c r="C941" s="6" t="s">
        <v>1924</v>
      </c>
      <c r="D941" s="6" t="s">
        <v>71</v>
      </c>
      <c r="E941" s="6">
        <v>38285</v>
      </c>
      <c r="F941" s="6">
        <v>15.9</v>
      </c>
      <c r="G941" s="6">
        <v>60</v>
      </c>
      <c r="H941" s="6" t="s">
        <v>19</v>
      </c>
      <c r="I941" s="6" t="s">
        <v>20</v>
      </c>
      <c r="J941" s="6" t="s">
        <v>47</v>
      </c>
      <c r="K941" s="6">
        <v>125745</v>
      </c>
      <c r="L941" s="6" t="s">
        <v>22</v>
      </c>
      <c r="M941" s="6">
        <v>0.26</v>
      </c>
      <c r="N941" s="6">
        <v>0.78</v>
      </c>
      <c r="O941" s="6">
        <v>44372.32</v>
      </c>
      <c r="P941" s="6">
        <v>0</v>
      </c>
      <c r="Q941" s="6">
        <f t="shared" ca="1" si="44"/>
        <v>27</v>
      </c>
      <c r="R941" s="6">
        <f t="shared" si="42"/>
        <v>-6087.32</v>
      </c>
      <c r="S941" s="7" t="str">
        <f t="shared" si="43"/>
        <v>Loss</v>
      </c>
    </row>
    <row r="942" spans="1:19" x14ac:dyDescent="0.3">
      <c r="A942" s="4" t="s">
        <v>1925</v>
      </c>
      <c r="B942" s="5">
        <v>45203</v>
      </c>
      <c r="C942" s="6" t="s">
        <v>1926</v>
      </c>
      <c r="D942" s="6" t="s">
        <v>56</v>
      </c>
      <c r="E942" s="6">
        <v>16422</v>
      </c>
      <c r="F942" s="6">
        <v>21.6</v>
      </c>
      <c r="G942" s="6">
        <v>36</v>
      </c>
      <c r="H942" s="6" t="s">
        <v>19</v>
      </c>
      <c r="I942" s="6" t="s">
        <v>41</v>
      </c>
      <c r="J942" s="6" t="s">
        <v>47</v>
      </c>
      <c r="K942" s="6">
        <v>54000</v>
      </c>
      <c r="L942" s="6" t="s">
        <v>33</v>
      </c>
      <c r="M942" s="6">
        <v>0.45</v>
      </c>
      <c r="N942" s="6">
        <v>0.71</v>
      </c>
      <c r="O942" s="6">
        <v>19969.150000000001</v>
      </c>
      <c r="P942" s="6">
        <v>0</v>
      </c>
      <c r="Q942" s="6">
        <f t="shared" ca="1" si="44"/>
        <v>29</v>
      </c>
      <c r="R942" s="6">
        <f t="shared" si="42"/>
        <v>-3547.1500000000015</v>
      </c>
      <c r="S942" s="7" t="str">
        <f t="shared" si="43"/>
        <v>Loss</v>
      </c>
    </row>
    <row r="943" spans="1:19" x14ac:dyDescent="0.3">
      <c r="A943" s="4" t="s">
        <v>1927</v>
      </c>
      <c r="B943" s="5">
        <v>44292</v>
      </c>
      <c r="C943" s="6" t="s">
        <v>1928</v>
      </c>
      <c r="D943" s="6" t="s">
        <v>25</v>
      </c>
      <c r="E943" s="6">
        <v>33371</v>
      </c>
      <c r="F943" s="6">
        <v>17.100000000000001</v>
      </c>
      <c r="G943" s="6">
        <v>36</v>
      </c>
      <c r="H943" s="6" t="s">
        <v>26</v>
      </c>
      <c r="I943" s="6" t="s">
        <v>72</v>
      </c>
      <c r="J943" s="6" t="s">
        <v>28</v>
      </c>
      <c r="K943" s="6">
        <v>44011</v>
      </c>
      <c r="L943" s="6" t="s">
        <v>29</v>
      </c>
      <c r="M943" s="6">
        <v>0.21</v>
      </c>
      <c r="N943" s="6">
        <v>0.89</v>
      </c>
      <c r="O943" s="6">
        <v>1803.79</v>
      </c>
      <c r="P943" s="6">
        <v>0</v>
      </c>
      <c r="Q943" s="6">
        <f t="shared" ca="1" si="44"/>
        <v>59</v>
      </c>
      <c r="R943" s="6">
        <f t="shared" si="42"/>
        <v>31567.21</v>
      </c>
      <c r="S943" s="7" t="str">
        <f t="shared" si="43"/>
        <v>Profit</v>
      </c>
    </row>
    <row r="944" spans="1:19" x14ac:dyDescent="0.3">
      <c r="A944" s="4" t="s">
        <v>1929</v>
      </c>
      <c r="B944" s="5">
        <v>45010</v>
      </c>
      <c r="C944" s="6" t="s">
        <v>1930</v>
      </c>
      <c r="D944" s="6" t="s">
        <v>56</v>
      </c>
      <c r="E944" s="6">
        <v>6693</v>
      </c>
      <c r="F944" s="6">
        <v>10.8</v>
      </c>
      <c r="G944" s="6">
        <v>60</v>
      </c>
      <c r="H944" s="6" t="s">
        <v>19</v>
      </c>
      <c r="I944" s="6" t="s">
        <v>57</v>
      </c>
      <c r="J944" s="6" t="s">
        <v>21</v>
      </c>
      <c r="K944" s="6">
        <v>32866</v>
      </c>
      <c r="L944" s="6" t="s">
        <v>29</v>
      </c>
      <c r="M944" s="6">
        <v>0.31</v>
      </c>
      <c r="N944" s="6">
        <v>0.62</v>
      </c>
      <c r="O944" s="6">
        <v>7415.84</v>
      </c>
      <c r="P944" s="6">
        <v>0</v>
      </c>
      <c r="Q944" s="6">
        <f t="shared" ca="1" si="44"/>
        <v>35</v>
      </c>
      <c r="R944" s="6">
        <f t="shared" si="42"/>
        <v>-722.84000000000015</v>
      </c>
      <c r="S944" s="7" t="str">
        <f t="shared" si="43"/>
        <v>Loss</v>
      </c>
    </row>
    <row r="945" spans="1:19" x14ac:dyDescent="0.3">
      <c r="A945" s="4" t="s">
        <v>1931</v>
      </c>
      <c r="B945" s="5">
        <v>44687</v>
      </c>
      <c r="C945" s="6" t="s">
        <v>1932</v>
      </c>
      <c r="D945" s="6" t="s">
        <v>18</v>
      </c>
      <c r="E945" s="6">
        <v>34535</v>
      </c>
      <c r="F945" s="6">
        <v>9.1</v>
      </c>
      <c r="G945" s="6">
        <v>36</v>
      </c>
      <c r="H945" s="6" t="s">
        <v>19</v>
      </c>
      <c r="I945" s="6" t="s">
        <v>57</v>
      </c>
      <c r="J945" s="6" t="s">
        <v>32</v>
      </c>
      <c r="K945" s="6">
        <v>142669</v>
      </c>
      <c r="L945" s="6" t="s">
        <v>29</v>
      </c>
      <c r="M945" s="6">
        <v>0.44</v>
      </c>
      <c r="N945" s="6">
        <v>0.5</v>
      </c>
      <c r="O945" s="6">
        <v>37677.68</v>
      </c>
      <c r="P945" s="6">
        <v>0</v>
      </c>
      <c r="Q945" s="6">
        <f t="shared" ca="1" si="44"/>
        <v>46</v>
      </c>
      <c r="R945" s="6">
        <f t="shared" si="42"/>
        <v>-3142.6800000000003</v>
      </c>
      <c r="S945" s="7" t="str">
        <f t="shared" si="43"/>
        <v>Loss</v>
      </c>
    </row>
    <row r="946" spans="1:19" x14ac:dyDescent="0.3">
      <c r="A946" s="4" t="s">
        <v>1933</v>
      </c>
      <c r="B946" s="5">
        <v>44648</v>
      </c>
      <c r="C946" s="6" t="s">
        <v>1934</v>
      </c>
      <c r="D946" s="6" t="s">
        <v>50</v>
      </c>
      <c r="E946" s="6">
        <v>15818</v>
      </c>
      <c r="F946" s="6">
        <v>8</v>
      </c>
      <c r="G946" s="6">
        <v>36</v>
      </c>
      <c r="H946" s="6" t="s">
        <v>26</v>
      </c>
      <c r="I946" s="6" t="s">
        <v>57</v>
      </c>
      <c r="J946" s="6" t="s">
        <v>37</v>
      </c>
      <c r="K946" s="6">
        <v>35898</v>
      </c>
      <c r="L946" s="6" t="s">
        <v>29</v>
      </c>
      <c r="M946" s="6">
        <v>0.23</v>
      </c>
      <c r="N946" s="6">
        <v>0.56999999999999995</v>
      </c>
      <c r="O946" s="6">
        <v>2467.0100000000002</v>
      </c>
      <c r="P946" s="6">
        <v>0</v>
      </c>
      <c r="Q946" s="6">
        <f t="shared" ca="1" si="44"/>
        <v>47</v>
      </c>
      <c r="R946" s="6">
        <f t="shared" si="42"/>
        <v>13350.99</v>
      </c>
      <c r="S946" s="7" t="str">
        <f t="shared" si="43"/>
        <v>Profit</v>
      </c>
    </row>
    <row r="947" spans="1:19" x14ac:dyDescent="0.3">
      <c r="A947" s="4" t="s">
        <v>1935</v>
      </c>
      <c r="B947" s="5">
        <v>44361</v>
      </c>
      <c r="C947" s="6" t="s">
        <v>1936</v>
      </c>
      <c r="D947" s="6" t="s">
        <v>46</v>
      </c>
      <c r="E947" s="6">
        <v>32238</v>
      </c>
      <c r="F947" s="6">
        <v>23</v>
      </c>
      <c r="G947" s="6">
        <v>60</v>
      </c>
      <c r="H947" s="6" t="s">
        <v>26</v>
      </c>
      <c r="I947" s="6" t="s">
        <v>27</v>
      </c>
      <c r="J947" s="6" t="s">
        <v>28</v>
      </c>
      <c r="K947" s="6">
        <v>48395</v>
      </c>
      <c r="L947" s="6" t="s">
        <v>22</v>
      </c>
      <c r="M947" s="6">
        <v>0.48</v>
      </c>
      <c r="N947" s="6">
        <v>0.66</v>
      </c>
      <c r="O947" s="6">
        <v>3609.94</v>
      </c>
      <c r="P947" s="6">
        <v>0</v>
      </c>
      <c r="Q947" s="6">
        <f t="shared" ca="1" si="44"/>
        <v>57</v>
      </c>
      <c r="R947" s="6">
        <f t="shared" si="42"/>
        <v>28628.06</v>
      </c>
      <c r="S947" s="7" t="str">
        <f t="shared" si="43"/>
        <v>Profit</v>
      </c>
    </row>
    <row r="948" spans="1:19" x14ac:dyDescent="0.3">
      <c r="A948" s="4" t="s">
        <v>1937</v>
      </c>
      <c r="B948" s="5">
        <v>44378</v>
      </c>
      <c r="C948" s="6" t="s">
        <v>1938</v>
      </c>
      <c r="D948" s="6" t="s">
        <v>18</v>
      </c>
      <c r="E948" s="6">
        <v>31874</v>
      </c>
      <c r="F948" s="6">
        <v>19.2</v>
      </c>
      <c r="G948" s="6">
        <v>36</v>
      </c>
      <c r="H948" s="6" t="s">
        <v>19</v>
      </c>
      <c r="I948" s="6" t="s">
        <v>57</v>
      </c>
      <c r="J948" s="6" t="s">
        <v>28</v>
      </c>
      <c r="K948" s="6">
        <v>69019</v>
      </c>
      <c r="L948" s="6" t="s">
        <v>22</v>
      </c>
      <c r="M948" s="6">
        <v>0.15</v>
      </c>
      <c r="N948" s="6">
        <v>0.64</v>
      </c>
      <c r="O948" s="6">
        <v>37993.81</v>
      </c>
      <c r="P948" s="6">
        <v>0</v>
      </c>
      <c r="Q948" s="6">
        <f t="shared" ca="1" si="44"/>
        <v>56</v>
      </c>
      <c r="R948" s="6">
        <f t="shared" si="42"/>
        <v>-6119.8099999999977</v>
      </c>
      <c r="S948" s="7" t="str">
        <f t="shared" si="43"/>
        <v>Loss</v>
      </c>
    </row>
    <row r="949" spans="1:19" x14ac:dyDescent="0.3">
      <c r="A949" s="4" t="s">
        <v>1939</v>
      </c>
      <c r="B949" s="5">
        <v>44665</v>
      </c>
      <c r="C949" s="6" t="s">
        <v>1940</v>
      </c>
      <c r="D949" s="6" t="s">
        <v>18</v>
      </c>
      <c r="E949" s="6">
        <v>27715</v>
      </c>
      <c r="F949" s="6">
        <v>23.7</v>
      </c>
      <c r="G949" s="6">
        <v>36</v>
      </c>
      <c r="H949" s="6" t="s">
        <v>26</v>
      </c>
      <c r="I949" s="6" t="s">
        <v>41</v>
      </c>
      <c r="J949" s="6" t="s">
        <v>37</v>
      </c>
      <c r="K949" s="6">
        <v>133243</v>
      </c>
      <c r="L949" s="6" t="s">
        <v>33</v>
      </c>
      <c r="M949" s="6">
        <v>0.11</v>
      </c>
      <c r="N949" s="6">
        <v>0.86</v>
      </c>
      <c r="O949" s="6">
        <v>9020.5300000000007</v>
      </c>
      <c r="P949" s="6">
        <v>0</v>
      </c>
      <c r="Q949" s="6">
        <f t="shared" ca="1" si="44"/>
        <v>47</v>
      </c>
      <c r="R949" s="6">
        <f t="shared" si="42"/>
        <v>18694.47</v>
      </c>
      <c r="S949" s="7" t="str">
        <f t="shared" si="43"/>
        <v>Profit</v>
      </c>
    </row>
    <row r="950" spans="1:19" x14ac:dyDescent="0.3">
      <c r="A950" s="4" t="s">
        <v>1941</v>
      </c>
      <c r="B950" s="5">
        <v>45106</v>
      </c>
      <c r="C950" s="6" t="s">
        <v>1942</v>
      </c>
      <c r="D950" s="6" t="s">
        <v>71</v>
      </c>
      <c r="E950" s="6">
        <v>28605</v>
      </c>
      <c r="F950" s="6">
        <v>17.100000000000001</v>
      </c>
      <c r="G950" s="6">
        <v>36</v>
      </c>
      <c r="H950" s="6" t="s">
        <v>19</v>
      </c>
      <c r="I950" s="6" t="s">
        <v>27</v>
      </c>
      <c r="J950" s="6" t="s">
        <v>37</v>
      </c>
      <c r="K950" s="6">
        <v>34006</v>
      </c>
      <c r="L950" s="6" t="s">
        <v>33</v>
      </c>
      <c r="M950" s="6">
        <v>0.46</v>
      </c>
      <c r="N950" s="6">
        <v>0.81</v>
      </c>
      <c r="O950" s="6">
        <v>33496.46</v>
      </c>
      <c r="P950" s="6">
        <v>0</v>
      </c>
      <c r="Q950" s="6">
        <f t="shared" ca="1" si="44"/>
        <v>32</v>
      </c>
      <c r="R950" s="6">
        <f t="shared" si="42"/>
        <v>-4891.4599999999991</v>
      </c>
      <c r="S950" s="7" t="str">
        <f t="shared" si="43"/>
        <v>Loss</v>
      </c>
    </row>
    <row r="951" spans="1:19" x14ac:dyDescent="0.3">
      <c r="A951" s="4" t="s">
        <v>1943</v>
      </c>
      <c r="B951" s="5">
        <v>44931</v>
      </c>
      <c r="C951" s="6" t="s">
        <v>1944</v>
      </c>
      <c r="D951" s="6" t="s">
        <v>64</v>
      </c>
      <c r="E951" s="6">
        <v>35317</v>
      </c>
      <c r="F951" s="6">
        <v>14.5</v>
      </c>
      <c r="G951" s="6">
        <v>60</v>
      </c>
      <c r="H951" s="6" t="s">
        <v>19</v>
      </c>
      <c r="I951" s="6" t="s">
        <v>83</v>
      </c>
      <c r="J951" s="6" t="s">
        <v>37</v>
      </c>
      <c r="K951" s="6">
        <v>64393</v>
      </c>
      <c r="L951" s="6" t="s">
        <v>33</v>
      </c>
      <c r="M951" s="6">
        <v>0.13</v>
      </c>
      <c r="N951" s="6">
        <v>0.63</v>
      </c>
      <c r="O951" s="6">
        <v>40437.97</v>
      </c>
      <c r="P951" s="6">
        <v>0</v>
      </c>
      <c r="Q951" s="6">
        <f t="shared" ca="1" si="44"/>
        <v>38</v>
      </c>
      <c r="R951" s="6">
        <f t="shared" si="42"/>
        <v>-5120.9700000000012</v>
      </c>
      <c r="S951" s="7" t="str">
        <f t="shared" si="43"/>
        <v>Loss</v>
      </c>
    </row>
    <row r="952" spans="1:19" x14ac:dyDescent="0.3">
      <c r="A952" s="4" t="s">
        <v>1945</v>
      </c>
      <c r="B952" s="5">
        <v>45019</v>
      </c>
      <c r="C952" s="6" t="s">
        <v>1946</v>
      </c>
      <c r="D952" s="6" t="s">
        <v>53</v>
      </c>
      <c r="E952" s="6">
        <v>32174</v>
      </c>
      <c r="F952" s="6">
        <v>6.2</v>
      </c>
      <c r="G952" s="6">
        <v>60</v>
      </c>
      <c r="H952" s="6" t="s">
        <v>19</v>
      </c>
      <c r="I952" s="6" t="s">
        <v>57</v>
      </c>
      <c r="J952" s="6" t="s">
        <v>47</v>
      </c>
      <c r="K952" s="6">
        <v>40956</v>
      </c>
      <c r="L952" s="6" t="s">
        <v>33</v>
      </c>
      <c r="M952" s="6">
        <v>0.5</v>
      </c>
      <c r="N952" s="6">
        <v>0.71</v>
      </c>
      <c r="O952" s="6">
        <v>34168.79</v>
      </c>
      <c r="P952" s="6">
        <v>0</v>
      </c>
      <c r="Q952" s="6">
        <f t="shared" ca="1" si="44"/>
        <v>35</v>
      </c>
      <c r="R952" s="6">
        <f t="shared" si="42"/>
        <v>-1994.7900000000009</v>
      </c>
      <c r="S952" s="7" t="str">
        <f t="shared" si="43"/>
        <v>Loss</v>
      </c>
    </row>
    <row r="953" spans="1:19" x14ac:dyDescent="0.3">
      <c r="A953" s="4" t="s">
        <v>1947</v>
      </c>
      <c r="B953" s="5">
        <v>45140</v>
      </c>
      <c r="C953" s="6" t="s">
        <v>1948</v>
      </c>
      <c r="D953" s="6" t="s">
        <v>71</v>
      </c>
      <c r="E953" s="6">
        <v>10956</v>
      </c>
      <c r="F953" s="6">
        <v>18.399999999999999</v>
      </c>
      <c r="G953" s="6">
        <v>60</v>
      </c>
      <c r="H953" s="6" t="s">
        <v>19</v>
      </c>
      <c r="I953" s="6" t="s">
        <v>20</v>
      </c>
      <c r="J953" s="6" t="s">
        <v>32</v>
      </c>
      <c r="K953" s="6">
        <v>80042</v>
      </c>
      <c r="L953" s="6" t="s">
        <v>33</v>
      </c>
      <c r="M953" s="6">
        <v>0.48</v>
      </c>
      <c r="N953" s="6">
        <v>0.54</v>
      </c>
      <c r="O953" s="6">
        <v>12971.9</v>
      </c>
      <c r="P953" s="6">
        <v>0</v>
      </c>
      <c r="Q953" s="6">
        <f t="shared" ca="1" si="44"/>
        <v>31</v>
      </c>
      <c r="R953" s="6">
        <f t="shared" si="42"/>
        <v>-2015.8999999999996</v>
      </c>
      <c r="S953" s="7" t="str">
        <f t="shared" si="43"/>
        <v>Loss</v>
      </c>
    </row>
    <row r="954" spans="1:19" x14ac:dyDescent="0.3">
      <c r="A954" s="4" t="s">
        <v>1949</v>
      </c>
      <c r="B954" s="5">
        <v>44203</v>
      </c>
      <c r="C954" s="6" t="s">
        <v>1950</v>
      </c>
      <c r="D954" s="6" t="s">
        <v>64</v>
      </c>
      <c r="E954" s="6">
        <v>39908</v>
      </c>
      <c r="F954" s="6">
        <v>16.600000000000001</v>
      </c>
      <c r="G954" s="6">
        <v>36</v>
      </c>
      <c r="H954" s="6" t="s">
        <v>26</v>
      </c>
      <c r="I954" s="6" t="s">
        <v>72</v>
      </c>
      <c r="J954" s="6" t="s">
        <v>47</v>
      </c>
      <c r="K954" s="6">
        <v>126199</v>
      </c>
      <c r="L954" s="6" t="s">
        <v>29</v>
      </c>
      <c r="M954" s="6">
        <v>0.15</v>
      </c>
      <c r="N954" s="6">
        <v>0.9</v>
      </c>
      <c r="O954" s="6">
        <v>4986.33</v>
      </c>
      <c r="P954" s="6">
        <v>0</v>
      </c>
      <c r="Q954" s="6">
        <f t="shared" ca="1" si="44"/>
        <v>62</v>
      </c>
      <c r="R954" s="6">
        <f t="shared" si="42"/>
        <v>34921.67</v>
      </c>
      <c r="S954" s="7" t="str">
        <f t="shared" si="43"/>
        <v>Profit</v>
      </c>
    </row>
    <row r="955" spans="1:19" x14ac:dyDescent="0.3">
      <c r="A955" s="4" t="s">
        <v>1951</v>
      </c>
      <c r="B955" s="5">
        <v>44526</v>
      </c>
      <c r="C955" s="6" t="s">
        <v>1952</v>
      </c>
      <c r="D955" s="6" t="s">
        <v>56</v>
      </c>
      <c r="E955" s="6">
        <v>11837</v>
      </c>
      <c r="F955" s="6">
        <v>24.8</v>
      </c>
      <c r="G955" s="6">
        <v>36</v>
      </c>
      <c r="H955" s="6" t="s">
        <v>19</v>
      </c>
      <c r="I955" s="6" t="s">
        <v>57</v>
      </c>
      <c r="J955" s="6" t="s">
        <v>32</v>
      </c>
      <c r="K955" s="6">
        <v>36078</v>
      </c>
      <c r="L955" s="6" t="s">
        <v>29</v>
      </c>
      <c r="M955" s="6">
        <v>0.32</v>
      </c>
      <c r="N955" s="6">
        <v>0.92</v>
      </c>
      <c r="O955" s="6">
        <v>14772.58</v>
      </c>
      <c r="P955" s="6">
        <v>0</v>
      </c>
      <c r="Q955" s="6">
        <f t="shared" ca="1" si="44"/>
        <v>51</v>
      </c>
      <c r="R955" s="6">
        <f t="shared" si="42"/>
        <v>-2935.58</v>
      </c>
      <c r="S955" s="7" t="str">
        <f t="shared" si="43"/>
        <v>Loss</v>
      </c>
    </row>
    <row r="956" spans="1:19" x14ac:dyDescent="0.3">
      <c r="A956" s="4" t="s">
        <v>1953</v>
      </c>
      <c r="B956" s="5">
        <v>44971</v>
      </c>
      <c r="C956" s="6" t="s">
        <v>1954</v>
      </c>
      <c r="D956" s="6" t="s">
        <v>53</v>
      </c>
      <c r="E956" s="6">
        <v>4716</v>
      </c>
      <c r="F956" s="6">
        <v>9.8000000000000007</v>
      </c>
      <c r="G956" s="6">
        <v>36</v>
      </c>
      <c r="H956" s="6" t="s">
        <v>26</v>
      </c>
      <c r="I956" s="6" t="s">
        <v>20</v>
      </c>
      <c r="J956" s="6" t="s">
        <v>47</v>
      </c>
      <c r="K956" s="6">
        <v>59631</v>
      </c>
      <c r="L956" s="6" t="s">
        <v>29</v>
      </c>
      <c r="M956" s="6">
        <v>0.17</v>
      </c>
      <c r="N956" s="6">
        <v>0.94</v>
      </c>
      <c r="O956" s="6">
        <v>1357.66</v>
      </c>
      <c r="P956" s="6">
        <v>0</v>
      </c>
      <c r="Q956" s="6">
        <f t="shared" ca="1" si="44"/>
        <v>37</v>
      </c>
      <c r="R956" s="6">
        <f t="shared" si="42"/>
        <v>3358.34</v>
      </c>
      <c r="S956" s="7" t="str">
        <f t="shared" si="43"/>
        <v>Profit</v>
      </c>
    </row>
    <row r="957" spans="1:19" x14ac:dyDescent="0.3">
      <c r="A957" s="4" t="s">
        <v>1955</v>
      </c>
      <c r="B957" s="5">
        <v>44347</v>
      </c>
      <c r="C957" s="6" t="s">
        <v>1956</v>
      </c>
      <c r="D957" s="6" t="s">
        <v>71</v>
      </c>
      <c r="E957" s="6">
        <v>5481</v>
      </c>
      <c r="F957" s="6">
        <v>15.6</v>
      </c>
      <c r="G957" s="6">
        <v>36</v>
      </c>
      <c r="H957" s="6" t="s">
        <v>19</v>
      </c>
      <c r="I957" s="6" t="s">
        <v>36</v>
      </c>
      <c r="J957" s="6" t="s">
        <v>21</v>
      </c>
      <c r="K957" s="6">
        <v>125676</v>
      </c>
      <c r="L957" s="6" t="s">
        <v>33</v>
      </c>
      <c r="M957" s="6">
        <v>0.27</v>
      </c>
      <c r="N957" s="6">
        <v>0.89</v>
      </c>
      <c r="O957" s="6">
        <v>6336.04</v>
      </c>
      <c r="P957" s="6">
        <v>0</v>
      </c>
      <c r="Q957" s="6">
        <f t="shared" ca="1" si="44"/>
        <v>57</v>
      </c>
      <c r="R957" s="6">
        <f t="shared" si="42"/>
        <v>-855.04</v>
      </c>
      <c r="S957" s="7" t="str">
        <f t="shared" si="43"/>
        <v>Loss</v>
      </c>
    </row>
    <row r="958" spans="1:19" x14ac:dyDescent="0.3">
      <c r="A958" s="4" t="s">
        <v>1957</v>
      </c>
      <c r="B958" s="5">
        <v>44343</v>
      </c>
      <c r="C958" s="6" t="s">
        <v>1958</v>
      </c>
      <c r="D958" s="6" t="s">
        <v>53</v>
      </c>
      <c r="E958" s="6">
        <v>25282</v>
      </c>
      <c r="F958" s="6">
        <v>18</v>
      </c>
      <c r="G958" s="6">
        <v>60</v>
      </c>
      <c r="H958" s="6" t="s">
        <v>2045</v>
      </c>
      <c r="I958" s="6" t="s">
        <v>57</v>
      </c>
      <c r="J958" s="6" t="s">
        <v>32</v>
      </c>
      <c r="K958" s="6">
        <v>92901</v>
      </c>
      <c r="L958" s="6" t="s">
        <v>29</v>
      </c>
      <c r="M958" s="6">
        <v>0.12</v>
      </c>
      <c r="N958" s="6">
        <v>0.57999999999999996</v>
      </c>
      <c r="O958" s="6">
        <v>0</v>
      </c>
      <c r="P958" s="6">
        <v>0</v>
      </c>
      <c r="Q958" s="6">
        <f t="shared" ca="1" si="44"/>
        <v>57</v>
      </c>
      <c r="R958" s="6">
        <f t="shared" si="42"/>
        <v>25282</v>
      </c>
      <c r="S958" s="7" t="str">
        <f t="shared" si="43"/>
        <v>Profit</v>
      </c>
    </row>
    <row r="959" spans="1:19" x14ac:dyDescent="0.3">
      <c r="A959" s="4" t="s">
        <v>1959</v>
      </c>
      <c r="B959" s="5">
        <v>45111</v>
      </c>
      <c r="C959" s="6" t="s">
        <v>1960</v>
      </c>
      <c r="D959" s="6" t="s">
        <v>53</v>
      </c>
      <c r="E959" s="6">
        <v>7548</v>
      </c>
      <c r="F959" s="6">
        <v>17.899999999999999</v>
      </c>
      <c r="G959" s="6">
        <v>36</v>
      </c>
      <c r="H959" s="6" t="s">
        <v>26</v>
      </c>
      <c r="I959" s="6" t="s">
        <v>20</v>
      </c>
      <c r="J959" s="6" t="s">
        <v>28</v>
      </c>
      <c r="K959" s="6">
        <v>137227</v>
      </c>
      <c r="L959" s="6" t="s">
        <v>29</v>
      </c>
      <c r="M959" s="6">
        <v>0.19</v>
      </c>
      <c r="N959" s="6">
        <v>0.52</v>
      </c>
      <c r="O959" s="6">
        <v>2381.79</v>
      </c>
      <c r="P959" s="6">
        <v>0</v>
      </c>
      <c r="Q959" s="6">
        <f t="shared" ca="1" si="44"/>
        <v>32</v>
      </c>
      <c r="R959" s="6">
        <f t="shared" si="42"/>
        <v>5166.21</v>
      </c>
      <c r="S959" s="7" t="str">
        <f t="shared" si="43"/>
        <v>Profit</v>
      </c>
    </row>
    <row r="960" spans="1:19" x14ac:dyDescent="0.3">
      <c r="A960" s="4" t="s">
        <v>1961</v>
      </c>
      <c r="B960" s="5">
        <v>44896</v>
      </c>
      <c r="C960" s="6" t="s">
        <v>1962</v>
      </c>
      <c r="D960" s="6" t="s">
        <v>40</v>
      </c>
      <c r="E960" s="6">
        <v>38605</v>
      </c>
      <c r="F960" s="6">
        <v>16.2</v>
      </c>
      <c r="G960" s="6">
        <v>36</v>
      </c>
      <c r="H960" s="6" t="s">
        <v>26</v>
      </c>
      <c r="I960" s="6" t="s">
        <v>20</v>
      </c>
      <c r="J960" s="6" t="s">
        <v>32</v>
      </c>
      <c r="K960" s="6">
        <v>99497</v>
      </c>
      <c r="L960" s="6" t="s">
        <v>29</v>
      </c>
      <c r="M960" s="6">
        <v>0.25</v>
      </c>
      <c r="N960" s="6">
        <v>0.76</v>
      </c>
      <c r="O960" s="6">
        <v>7107.9</v>
      </c>
      <c r="P960" s="6">
        <v>0</v>
      </c>
      <c r="Q960" s="6">
        <f t="shared" ca="1" si="44"/>
        <v>39</v>
      </c>
      <c r="R960" s="6">
        <f t="shared" si="42"/>
        <v>31497.1</v>
      </c>
      <c r="S960" s="7" t="str">
        <f t="shared" si="43"/>
        <v>Profit</v>
      </c>
    </row>
    <row r="961" spans="1:19" x14ac:dyDescent="0.3">
      <c r="A961" s="4" t="s">
        <v>1963</v>
      </c>
      <c r="B961" s="5">
        <v>44278</v>
      </c>
      <c r="C961" s="6" t="s">
        <v>1964</v>
      </c>
      <c r="D961" s="6" t="s">
        <v>50</v>
      </c>
      <c r="E961" s="6">
        <v>8758</v>
      </c>
      <c r="F961" s="6">
        <v>20.5</v>
      </c>
      <c r="G961" s="6">
        <v>36</v>
      </c>
      <c r="H961" s="6" t="s">
        <v>19</v>
      </c>
      <c r="I961" s="6" t="s">
        <v>57</v>
      </c>
      <c r="J961" s="6" t="s">
        <v>32</v>
      </c>
      <c r="K961" s="6">
        <v>124813</v>
      </c>
      <c r="L961" s="6" t="s">
        <v>29</v>
      </c>
      <c r="M961" s="6">
        <v>0.28000000000000003</v>
      </c>
      <c r="N961" s="6">
        <v>0.91</v>
      </c>
      <c r="O961" s="6">
        <v>10553.39</v>
      </c>
      <c r="P961" s="6">
        <v>0</v>
      </c>
      <c r="Q961" s="6">
        <f t="shared" ca="1" si="44"/>
        <v>59</v>
      </c>
      <c r="R961" s="6">
        <f t="shared" si="42"/>
        <v>-1795.3899999999994</v>
      </c>
      <c r="S961" s="7" t="str">
        <f t="shared" si="43"/>
        <v>Loss</v>
      </c>
    </row>
    <row r="962" spans="1:19" x14ac:dyDescent="0.3">
      <c r="A962" s="4" t="s">
        <v>1965</v>
      </c>
      <c r="B962" s="5">
        <v>44710</v>
      </c>
      <c r="C962" s="6" t="s">
        <v>1966</v>
      </c>
      <c r="D962" s="6" t="s">
        <v>40</v>
      </c>
      <c r="E962" s="6">
        <v>24177</v>
      </c>
      <c r="F962" s="6">
        <v>9.1</v>
      </c>
      <c r="G962" s="6">
        <v>60</v>
      </c>
      <c r="H962" s="6" t="s">
        <v>19</v>
      </c>
      <c r="I962" s="6" t="s">
        <v>41</v>
      </c>
      <c r="J962" s="6" t="s">
        <v>32</v>
      </c>
      <c r="K962" s="6">
        <v>147192</v>
      </c>
      <c r="L962" s="6" t="s">
        <v>22</v>
      </c>
      <c r="M962" s="6">
        <v>0.49</v>
      </c>
      <c r="N962" s="6">
        <v>0.57999999999999996</v>
      </c>
      <c r="O962" s="6">
        <v>26377.11</v>
      </c>
      <c r="P962" s="6">
        <v>0</v>
      </c>
      <c r="Q962" s="6">
        <f t="shared" ca="1" si="44"/>
        <v>45</v>
      </c>
      <c r="R962" s="6">
        <f t="shared" ref="R962:R1001" si="45">E962-O962</f>
        <v>-2200.1100000000006</v>
      </c>
      <c r="S962" s="7" t="str">
        <f t="shared" ref="S962:S1025" si="46">IF(R962&gt;=0, "Profit","Loss")</f>
        <v>Loss</v>
      </c>
    </row>
    <row r="963" spans="1:19" x14ac:dyDescent="0.3">
      <c r="A963" s="4" t="s">
        <v>1967</v>
      </c>
      <c r="B963" s="5">
        <v>45011</v>
      </c>
      <c r="C963" s="6" t="s">
        <v>1968</v>
      </c>
      <c r="D963" s="6" t="s">
        <v>64</v>
      </c>
      <c r="E963" s="6">
        <v>25022</v>
      </c>
      <c r="F963" s="6">
        <v>19.5</v>
      </c>
      <c r="G963" s="6">
        <v>36</v>
      </c>
      <c r="H963" s="6" t="s">
        <v>19</v>
      </c>
      <c r="I963" s="6" t="s">
        <v>57</v>
      </c>
      <c r="J963" s="6" t="s">
        <v>21</v>
      </c>
      <c r="K963" s="6">
        <v>71574</v>
      </c>
      <c r="L963" s="6" t="s">
        <v>33</v>
      </c>
      <c r="M963" s="6">
        <v>0.42</v>
      </c>
      <c r="N963" s="6">
        <v>0.5</v>
      </c>
      <c r="O963" s="6">
        <v>29901.29</v>
      </c>
      <c r="P963" s="6">
        <v>0</v>
      </c>
      <c r="Q963" s="6">
        <f t="shared" ref="Q963:Q1001" ca="1" si="47">DATEDIF(B963,TODAY(),"M")</f>
        <v>35</v>
      </c>
      <c r="R963" s="6">
        <f t="shared" si="45"/>
        <v>-4879.2900000000009</v>
      </c>
      <c r="S963" s="7" t="str">
        <f t="shared" si="46"/>
        <v>Loss</v>
      </c>
    </row>
    <row r="964" spans="1:19" x14ac:dyDescent="0.3">
      <c r="A964" s="4" t="s">
        <v>1969</v>
      </c>
      <c r="B964" s="5">
        <v>44905</v>
      </c>
      <c r="C964" s="6" t="s">
        <v>1970</v>
      </c>
      <c r="D964" s="6" t="s">
        <v>75</v>
      </c>
      <c r="E964" s="6">
        <v>6542</v>
      </c>
      <c r="F964" s="6">
        <v>17.399999999999999</v>
      </c>
      <c r="G964" s="6">
        <v>36</v>
      </c>
      <c r="H964" s="6" t="s">
        <v>80</v>
      </c>
      <c r="I964" s="6" t="s">
        <v>57</v>
      </c>
      <c r="J964" s="6" t="s">
        <v>47</v>
      </c>
      <c r="K964" s="6">
        <v>148494</v>
      </c>
      <c r="L964" s="6" t="s">
        <v>33</v>
      </c>
      <c r="M964" s="6">
        <v>0.39</v>
      </c>
      <c r="N964" s="6">
        <v>0.86</v>
      </c>
      <c r="O964" s="6">
        <v>723.02</v>
      </c>
      <c r="P964" s="6">
        <v>1622.45</v>
      </c>
      <c r="Q964" s="6">
        <f t="shared" ca="1" si="47"/>
        <v>39</v>
      </c>
      <c r="R964" s="6">
        <f t="shared" si="45"/>
        <v>5818.98</v>
      </c>
      <c r="S964" s="7" t="str">
        <f t="shared" si="46"/>
        <v>Profit</v>
      </c>
    </row>
    <row r="965" spans="1:19" x14ac:dyDescent="0.3">
      <c r="A965" s="4" t="s">
        <v>1971</v>
      </c>
      <c r="B965" s="5">
        <v>44942</v>
      </c>
      <c r="C965" s="6" t="s">
        <v>1972</v>
      </c>
      <c r="D965" s="6" t="s">
        <v>25</v>
      </c>
      <c r="E965" s="6">
        <v>26476</v>
      </c>
      <c r="F965" s="6">
        <v>22.9</v>
      </c>
      <c r="G965" s="6">
        <v>36</v>
      </c>
      <c r="H965" s="6" t="s">
        <v>19</v>
      </c>
      <c r="I965" s="6" t="s">
        <v>27</v>
      </c>
      <c r="J965" s="6" t="s">
        <v>28</v>
      </c>
      <c r="K965" s="6">
        <v>61417</v>
      </c>
      <c r="L965" s="6" t="s">
        <v>22</v>
      </c>
      <c r="M965" s="6">
        <v>0.31</v>
      </c>
      <c r="N965" s="6">
        <v>0.53</v>
      </c>
      <c r="O965" s="6">
        <v>32539</v>
      </c>
      <c r="P965" s="6">
        <v>0</v>
      </c>
      <c r="Q965" s="6">
        <f t="shared" ca="1" si="47"/>
        <v>38</v>
      </c>
      <c r="R965" s="6">
        <f t="shared" si="45"/>
        <v>-6063</v>
      </c>
      <c r="S965" s="7" t="str">
        <f t="shared" si="46"/>
        <v>Loss</v>
      </c>
    </row>
    <row r="966" spans="1:19" x14ac:dyDescent="0.3">
      <c r="A966" s="4" t="s">
        <v>1973</v>
      </c>
      <c r="B966" s="5">
        <v>45219</v>
      </c>
      <c r="C966" s="6" t="s">
        <v>1974</v>
      </c>
      <c r="D966" s="6" t="s">
        <v>46</v>
      </c>
      <c r="E966" s="6">
        <v>31784</v>
      </c>
      <c r="F966" s="6">
        <v>21.9</v>
      </c>
      <c r="G966" s="6">
        <v>36</v>
      </c>
      <c r="H966" s="6" t="s">
        <v>26</v>
      </c>
      <c r="I966" s="6" t="s">
        <v>57</v>
      </c>
      <c r="J966" s="6" t="s">
        <v>47</v>
      </c>
      <c r="K966" s="6">
        <v>118020</v>
      </c>
      <c r="L966" s="6" t="s">
        <v>29</v>
      </c>
      <c r="M966" s="6">
        <v>0.44</v>
      </c>
      <c r="N966" s="6">
        <v>0.69</v>
      </c>
      <c r="O966" s="6">
        <v>2122.0300000000002</v>
      </c>
      <c r="P966" s="6">
        <v>0</v>
      </c>
      <c r="Q966" s="6">
        <f t="shared" ca="1" si="47"/>
        <v>29</v>
      </c>
      <c r="R966" s="6">
        <f t="shared" si="45"/>
        <v>29661.97</v>
      </c>
      <c r="S966" s="7" t="str">
        <f t="shared" si="46"/>
        <v>Profit</v>
      </c>
    </row>
    <row r="967" spans="1:19" x14ac:dyDescent="0.3">
      <c r="A967" s="4" t="s">
        <v>1975</v>
      </c>
      <c r="B967" s="5">
        <v>44903</v>
      </c>
      <c r="C967" s="6" t="s">
        <v>1976</v>
      </c>
      <c r="D967" s="6" t="s">
        <v>75</v>
      </c>
      <c r="E967" s="6">
        <v>23740</v>
      </c>
      <c r="F967" s="6">
        <v>11.3</v>
      </c>
      <c r="G967" s="6">
        <v>36</v>
      </c>
      <c r="H967" s="6" t="s">
        <v>26</v>
      </c>
      <c r="I967" s="6" t="s">
        <v>20</v>
      </c>
      <c r="J967" s="6" t="s">
        <v>47</v>
      </c>
      <c r="K967" s="6">
        <v>113639</v>
      </c>
      <c r="L967" s="6" t="s">
        <v>29</v>
      </c>
      <c r="M967" s="6">
        <v>0.24</v>
      </c>
      <c r="N967" s="6">
        <v>0.81</v>
      </c>
      <c r="O967" s="6">
        <v>1468.47</v>
      </c>
      <c r="P967" s="6">
        <v>0</v>
      </c>
      <c r="Q967" s="6">
        <f t="shared" ca="1" si="47"/>
        <v>39</v>
      </c>
      <c r="R967" s="6">
        <f t="shared" si="45"/>
        <v>22271.53</v>
      </c>
      <c r="S967" s="7" t="str">
        <f t="shared" si="46"/>
        <v>Profit</v>
      </c>
    </row>
    <row r="968" spans="1:19" x14ac:dyDescent="0.3">
      <c r="A968" s="4" t="s">
        <v>1977</v>
      </c>
      <c r="B968" s="5">
        <v>44667</v>
      </c>
      <c r="C968" s="6" t="s">
        <v>1978</v>
      </c>
      <c r="D968" s="6" t="s">
        <v>25</v>
      </c>
      <c r="E968" s="6">
        <v>25817</v>
      </c>
      <c r="F968" s="6">
        <v>10.5</v>
      </c>
      <c r="G968" s="6">
        <v>60</v>
      </c>
      <c r="H968" s="6" t="s">
        <v>19</v>
      </c>
      <c r="I968" s="6" t="s">
        <v>20</v>
      </c>
      <c r="J968" s="6" t="s">
        <v>37</v>
      </c>
      <c r="K968" s="6">
        <v>95006</v>
      </c>
      <c r="L968" s="6" t="s">
        <v>29</v>
      </c>
      <c r="M968" s="6">
        <v>0.38</v>
      </c>
      <c r="N968" s="6">
        <v>0.61</v>
      </c>
      <c r="O968" s="6">
        <v>28527.78</v>
      </c>
      <c r="P968" s="6">
        <v>0</v>
      </c>
      <c r="Q968" s="6">
        <f t="shared" ca="1" si="47"/>
        <v>47</v>
      </c>
      <c r="R968" s="6">
        <f t="shared" si="45"/>
        <v>-2710.7799999999988</v>
      </c>
      <c r="S968" s="7" t="str">
        <f t="shared" si="46"/>
        <v>Loss</v>
      </c>
    </row>
    <row r="969" spans="1:19" x14ac:dyDescent="0.3">
      <c r="A969" s="4" t="s">
        <v>1979</v>
      </c>
      <c r="B969" s="5">
        <v>44592</v>
      </c>
      <c r="C969" s="6" t="s">
        <v>1980</v>
      </c>
      <c r="D969" s="6" t="s">
        <v>64</v>
      </c>
      <c r="E969" s="6">
        <v>17052</v>
      </c>
      <c r="F969" s="6">
        <v>24.6</v>
      </c>
      <c r="G969" s="6">
        <v>36</v>
      </c>
      <c r="H969" s="6" t="s">
        <v>26</v>
      </c>
      <c r="I969" s="6" t="s">
        <v>57</v>
      </c>
      <c r="J969" s="6" t="s">
        <v>21</v>
      </c>
      <c r="K969" s="6">
        <v>124881</v>
      </c>
      <c r="L969" s="6" t="s">
        <v>33</v>
      </c>
      <c r="M969" s="6">
        <v>0.5</v>
      </c>
      <c r="N969" s="6">
        <v>0.54</v>
      </c>
      <c r="O969" s="6">
        <v>6524.2</v>
      </c>
      <c r="P969" s="6">
        <v>0</v>
      </c>
      <c r="Q969" s="6">
        <f t="shared" ca="1" si="47"/>
        <v>49</v>
      </c>
      <c r="R969" s="6">
        <f t="shared" si="45"/>
        <v>10527.8</v>
      </c>
      <c r="S969" s="7" t="str">
        <f t="shared" si="46"/>
        <v>Profit</v>
      </c>
    </row>
    <row r="970" spans="1:19" x14ac:dyDescent="0.3">
      <c r="A970" s="4" t="s">
        <v>1981</v>
      </c>
      <c r="B970" s="5">
        <v>44457</v>
      </c>
      <c r="C970" s="6" t="s">
        <v>1982</v>
      </c>
      <c r="D970" s="6" t="s">
        <v>64</v>
      </c>
      <c r="E970" s="6">
        <v>36153</v>
      </c>
      <c r="F970" s="6">
        <v>15.5</v>
      </c>
      <c r="G970" s="6">
        <v>36</v>
      </c>
      <c r="H970" s="6" t="s">
        <v>26</v>
      </c>
      <c r="I970" s="6" t="s">
        <v>20</v>
      </c>
      <c r="J970" s="6" t="s">
        <v>37</v>
      </c>
      <c r="K970" s="6">
        <v>141862</v>
      </c>
      <c r="L970" s="6" t="s">
        <v>33</v>
      </c>
      <c r="M970" s="6">
        <v>0.23</v>
      </c>
      <c r="N970" s="6">
        <v>0.85</v>
      </c>
      <c r="O970" s="6">
        <v>6981.3</v>
      </c>
      <c r="P970" s="6">
        <v>0</v>
      </c>
      <c r="Q970" s="6">
        <f t="shared" ca="1" si="47"/>
        <v>54</v>
      </c>
      <c r="R970" s="6">
        <f t="shared" si="45"/>
        <v>29171.7</v>
      </c>
      <c r="S970" s="7" t="str">
        <f t="shared" si="46"/>
        <v>Profit</v>
      </c>
    </row>
    <row r="971" spans="1:19" x14ac:dyDescent="0.3">
      <c r="A971" s="4" t="s">
        <v>1983</v>
      </c>
      <c r="B971" s="5">
        <v>45001</v>
      </c>
      <c r="C971" s="6" t="s">
        <v>1984</v>
      </c>
      <c r="D971" s="6" t="s">
        <v>56</v>
      </c>
      <c r="E971" s="6">
        <v>1671</v>
      </c>
      <c r="F971" s="6">
        <v>23.1</v>
      </c>
      <c r="G971" s="6">
        <v>36</v>
      </c>
      <c r="H971" s="6" t="s">
        <v>26</v>
      </c>
      <c r="I971" s="6" t="s">
        <v>20</v>
      </c>
      <c r="J971" s="6" t="s">
        <v>21</v>
      </c>
      <c r="K971" s="6">
        <v>69454</v>
      </c>
      <c r="L971" s="6" t="s">
        <v>33</v>
      </c>
      <c r="M971" s="6">
        <v>0.37</v>
      </c>
      <c r="N971" s="6">
        <v>0.78</v>
      </c>
      <c r="O971" s="6">
        <v>682.33</v>
      </c>
      <c r="P971" s="6">
        <v>0</v>
      </c>
      <c r="Q971" s="6">
        <f t="shared" ca="1" si="47"/>
        <v>36</v>
      </c>
      <c r="R971" s="6">
        <f t="shared" si="45"/>
        <v>988.67</v>
      </c>
      <c r="S971" s="7" t="str">
        <f t="shared" si="46"/>
        <v>Profit</v>
      </c>
    </row>
    <row r="972" spans="1:19" x14ac:dyDescent="0.3">
      <c r="A972" s="4" t="s">
        <v>1985</v>
      </c>
      <c r="B972" s="5">
        <v>45130</v>
      </c>
      <c r="C972" s="6" t="s">
        <v>1986</v>
      </c>
      <c r="D972" s="6" t="s">
        <v>46</v>
      </c>
      <c r="E972" s="6">
        <v>1163</v>
      </c>
      <c r="F972" s="6">
        <v>8.3000000000000007</v>
      </c>
      <c r="G972" s="6">
        <v>36</v>
      </c>
      <c r="H972" s="6" t="s">
        <v>19</v>
      </c>
      <c r="I972" s="6" t="s">
        <v>83</v>
      </c>
      <c r="J972" s="6" t="s">
        <v>47</v>
      </c>
      <c r="K972" s="6">
        <v>31587</v>
      </c>
      <c r="L972" s="6" t="s">
        <v>33</v>
      </c>
      <c r="M972" s="6">
        <v>0.44</v>
      </c>
      <c r="N972" s="6">
        <v>0.94</v>
      </c>
      <c r="O972" s="6">
        <v>1259.53</v>
      </c>
      <c r="P972" s="6">
        <v>0</v>
      </c>
      <c r="Q972" s="6">
        <f t="shared" ca="1" si="47"/>
        <v>31</v>
      </c>
      <c r="R972" s="6">
        <f t="shared" si="45"/>
        <v>-96.529999999999973</v>
      </c>
      <c r="S972" s="7" t="str">
        <f t="shared" si="46"/>
        <v>Loss</v>
      </c>
    </row>
    <row r="973" spans="1:19" x14ac:dyDescent="0.3">
      <c r="A973" s="4" t="s">
        <v>1987</v>
      </c>
      <c r="B973" s="5">
        <v>45101</v>
      </c>
      <c r="C973" s="6" t="s">
        <v>1988</v>
      </c>
      <c r="D973" s="6" t="s">
        <v>50</v>
      </c>
      <c r="E973" s="6">
        <v>5795</v>
      </c>
      <c r="F973" s="6">
        <v>17.899999999999999</v>
      </c>
      <c r="G973" s="6">
        <v>36</v>
      </c>
      <c r="H973" s="6" t="s">
        <v>19</v>
      </c>
      <c r="I973" s="6" t="s">
        <v>20</v>
      </c>
      <c r="J973" s="6" t="s">
        <v>47</v>
      </c>
      <c r="K973" s="6">
        <v>138107</v>
      </c>
      <c r="L973" s="6" t="s">
        <v>33</v>
      </c>
      <c r="M973" s="6">
        <v>0.47</v>
      </c>
      <c r="N973" s="6">
        <v>0.65</v>
      </c>
      <c r="O973" s="6">
        <v>6832.3</v>
      </c>
      <c r="P973" s="6">
        <v>0</v>
      </c>
      <c r="Q973" s="6">
        <f t="shared" ca="1" si="47"/>
        <v>32</v>
      </c>
      <c r="R973" s="6">
        <f t="shared" si="45"/>
        <v>-1037.3000000000002</v>
      </c>
      <c r="S973" s="7" t="str">
        <f t="shared" si="46"/>
        <v>Loss</v>
      </c>
    </row>
    <row r="974" spans="1:19" x14ac:dyDescent="0.3">
      <c r="A974" s="4" t="s">
        <v>1989</v>
      </c>
      <c r="B974" s="5">
        <v>45273</v>
      </c>
      <c r="C974" s="6" t="s">
        <v>1990</v>
      </c>
      <c r="D974" s="6" t="s">
        <v>53</v>
      </c>
      <c r="E974" s="6">
        <v>11634</v>
      </c>
      <c r="F974" s="6">
        <v>21.2</v>
      </c>
      <c r="G974" s="6">
        <v>36</v>
      </c>
      <c r="H974" s="6" t="s">
        <v>19</v>
      </c>
      <c r="I974" s="6" t="s">
        <v>27</v>
      </c>
      <c r="J974" s="6" t="s">
        <v>21</v>
      </c>
      <c r="K974" s="6">
        <v>145584</v>
      </c>
      <c r="L974" s="6" t="s">
        <v>22</v>
      </c>
      <c r="M974" s="6">
        <v>0.39</v>
      </c>
      <c r="N974" s="6">
        <v>0.53</v>
      </c>
      <c r="O974" s="6">
        <v>14100.41</v>
      </c>
      <c r="P974" s="6">
        <v>0</v>
      </c>
      <c r="Q974" s="6">
        <f t="shared" ca="1" si="47"/>
        <v>27</v>
      </c>
      <c r="R974" s="6">
        <f t="shared" si="45"/>
        <v>-2466.41</v>
      </c>
      <c r="S974" s="7" t="str">
        <f t="shared" si="46"/>
        <v>Loss</v>
      </c>
    </row>
    <row r="975" spans="1:19" x14ac:dyDescent="0.3">
      <c r="A975" s="4" t="s">
        <v>1991</v>
      </c>
      <c r="B975" s="5">
        <v>45136</v>
      </c>
      <c r="C975" s="6" t="s">
        <v>1992</v>
      </c>
      <c r="D975" s="6" t="s">
        <v>40</v>
      </c>
      <c r="E975" s="6">
        <v>5798</v>
      </c>
      <c r="F975" s="6">
        <v>23.9</v>
      </c>
      <c r="G975" s="6">
        <v>36</v>
      </c>
      <c r="H975" s="6" t="s">
        <v>26</v>
      </c>
      <c r="I975" s="6" t="s">
        <v>83</v>
      </c>
      <c r="J975" s="6" t="s">
        <v>47</v>
      </c>
      <c r="K975" s="6">
        <v>84710</v>
      </c>
      <c r="L975" s="6" t="s">
        <v>33</v>
      </c>
      <c r="M975" s="6">
        <v>0.21</v>
      </c>
      <c r="N975" s="6">
        <v>0.83</v>
      </c>
      <c r="O975" s="6">
        <v>1416.33</v>
      </c>
      <c r="P975" s="6">
        <v>0</v>
      </c>
      <c r="Q975" s="6">
        <f t="shared" ca="1" si="47"/>
        <v>31</v>
      </c>
      <c r="R975" s="6">
        <f t="shared" si="45"/>
        <v>4381.67</v>
      </c>
      <c r="S975" s="7" t="str">
        <f t="shared" si="46"/>
        <v>Profit</v>
      </c>
    </row>
    <row r="976" spans="1:19" x14ac:dyDescent="0.3">
      <c r="A976" s="4" t="s">
        <v>1993</v>
      </c>
      <c r="B976" s="5">
        <v>45050</v>
      </c>
      <c r="C976" s="6" t="s">
        <v>1994</v>
      </c>
      <c r="D976" s="6" t="s">
        <v>40</v>
      </c>
      <c r="E976" s="6">
        <v>23420</v>
      </c>
      <c r="F976" s="6">
        <v>11.7</v>
      </c>
      <c r="G976" s="6">
        <v>36</v>
      </c>
      <c r="H976" s="6" t="s">
        <v>26</v>
      </c>
      <c r="I976" s="6" t="s">
        <v>72</v>
      </c>
      <c r="J976" s="6" t="s">
        <v>47</v>
      </c>
      <c r="K976" s="6">
        <v>116567</v>
      </c>
      <c r="L976" s="6" t="s">
        <v>29</v>
      </c>
      <c r="M976" s="6">
        <v>0.23</v>
      </c>
      <c r="N976" s="6">
        <v>0.73</v>
      </c>
      <c r="O976" s="6">
        <v>5945.15</v>
      </c>
      <c r="P976" s="6">
        <v>0</v>
      </c>
      <c r="Q976" s="6">
        <f t="shared" ca="1" si="47"/>
        <v>34</v>
      </c>
      <c r="R976" s="6">
        <f t="shared" si="45"/>
        <v>17474.849999999999</v>
      </c>
      <c r="S976" s="7" t="str">
        <f t="shared" si="46"/>
        <v>Profit</v>
      </c>
    </row>
    <row r="977" spans="1:19" x14ac:dyDescent="0.3">
      <c r="A977" s="4" t="s">
        <v>1995</v>
      </c>
      <c r="B977" s="5">
        <v>44789</v>
      </c>
      <c r="C977" s="6" t="s">
        <v>1996</v>
      </c>
      <c r="D977" s="6" t="s">
        <v>64</v>
      </c>
      <c r="E977" s="6">
        <v>30300</v>
      </c>
      <c r="F977" s="6">
        <v>19.5</v>
      </c>
      <c r="G977" s="6">
        <v>36</v>
      </c>
      <c r="H977" s="6" t="s">
        <v>19</v>
      </c>
      <c r="I977" s="6" t="s">
        <v>57</v>
      </c>
      <c r="J977" s="6" t="s">
        <v>28</v>
      </c>
      <c r="K977" s="6">
        <v>121748</v>
      </c>
      <c r="L977" s="6" t="s">
        <v>33</v>
      </c>
      <c r="M977" s="6">
        <v>0.11</v>
      </c>
      <c r="N977" s="6">
        <v>0.6</v>
      </c>
      <c r="O977" s="6">
        <v>36208.5</v>
      </c>
      <c r="P977" s="6">
        <v>0</v>
      </c>
      <c r="Q977" s="6">
        <f t="shared" ca="1" si="47"/>
        <v>43</v>
      </c>
      <c r="R977" s="6">
        <f t="shared" si="45"/>
        <v>-5908.5</v>
      </c>
      <c r="S977" s="7" t="str">
        <f t="shared" si="46"/>
        <v>Loss</v>
      </c>
    </row>
    <row r="978" spans="1:19" x14ac:dyDescent="0.3">
      <c r="A978" s="4" t="s">
        <v>1997</v>
      </c>
      <c r="B978" s="5">
        <v>44910</v>
      </c>
      <c r="C978" s="6" t="s">
        <v>1998</v>
      </c>
      <c r="D978" s="6" t="s">
        <v>40</v>
      </c>
      <c r="E978" s="6">
        <v>25345</v>
      </c>
      <c r="F978" s="6">
        <v>15.8</v>
      </c>
      <c r="G978" s="6">
        <v>36</v>
      </c>
      <c r="H978" s="6" t="s">
        <v>80</v>
      </c>
      <c r="I978" s="6" t="s">
        <v>20</v>
      </c>
      <c r="J978" s="6" t="s">
        <v>37</v>
      </c>
      <c r="K978" s="6">
        <v>105886</v>
      </c>
      <c r="L978" s="6" t="s">
        <v>22</v>
      </c>
      <c r="M978" s="6">
        <v>0.4</v>
      </c>
      <c r="N978" s="6">
        <v>0.85</v>
      </c>
      <c r="O978" s="6">
        <v>6434.2</v>
      </c>
      <c r="P978" s="6">
        <v>4640.18</v>
      </c>
      <c r="Q978" s="6">
        <f t="shared" ca="1" si="47"/>
        <v>39</v>
      </c>
      <c r="R978" s="6">
        <f t="shared" si="45"/>
        <v>18910.8</v>
      </c>
      <c r="S978" s="7" t="str">
        <f t="shared" si="46"/>
        <v>Profit</v>
      </c>
    </row>
    <row r="979" spans="1:19" x14ac:dyDescent="0.3">
      <c r="A979" s="4" t="s">
        <v>1999</v>
      </c>
      <c r="B979" s="5">
        <v>44828</v>
      </c>
      <c r="C979" s="6" t="s">
        <v>2000</v>
      </c>
      <c r="D979" s="6" t="s">
        <v>64</v>
      </c>
      <c r="E979" s="6">
        <v>11749</v>
      </c>
      <c r="F979" s="6">
        <v>6.2</v>
      </c>
      <c r="G979" s="6">
        <v>60</v>
      </c>
      <c r="H979" s="6" t="s">
        <v>19</v>
      </c>
      <c r="I979" s="6" t="s">
        <v>27</v>
      </c>
      <c r="J979" s="6" t="s">
        <v>37</v>
      </c>
      <c r="K979" s="6">
        <v>48816</v>
      </c>
      <c r="L979" s="6" t="s">
        <v>29</v>
      </c>
      <c r="M979" s="6">
        <v>0.12</v>
      </c>
      <c r="N979" s="6">
        <v>0.59</v>
      </c>
      <c r="O979" s="6">
        <v>12477.44</v>
      </c>
      <c r="P979" s="6">
        <v>0</v>
      </c>
      <c r="Q979" s="6">
        <f t="shared" ca="1" si="47"/>
        <v>41</v>
      </c>
      <c r="R979" s="6">
        <f t="shared" si="45"/>
        <v>-728.44000000000051</v>
      </c>
      <c r="S979" s="7" t="str">
        <f t="shared" si="46"/>
        <v>Loss</v>
      </c>
    </row>
    <row r="980" spans="1:19" x14ac:dyDescent="0.3">
      <c r="A980" s="4" t="s">
        <v>2001</v>
      </c>
      <c r="B980" s="5">
        <v>44255</v>
      </c>
      <c r="C980" s="6" t="s">
        <v>2002</v>
      </c>
      <c r="D980" s="6" t="s">
        <v>53</v>
      </c>
      <c r="E980" s="6">
        <v>39595</v>
      </c>
      <c r="F980" s="6">
        <v>18.8</v>
      </c>
      <c r="G980" s="6">
        <v>60</v>
      </c>
      <c r="H980" s="6" t="s">
        <v>80</v>
      </c>
      <c r="I980" s="6" t="s">
        <v>72</v>
      </c>
      <c r="J980" s="6" t="s">
        <v>37</v>
      </c>
      <c r="K980" s="6">
        <v>115824</v>
      </c>
      <c r="L980" s="6" t="s">
        <v>22</v>
      </c>
      <c r="M980" s="6">
        <v>0.45</v>
      </c>
      <c r="N980" s="6">
        <v>0.62</v>
      </c>
      <c r="O980" s="6">
        <v>12429.24</v>
      </c>
      <c r="P980" s="6">
        <v>11066.94</v>
      </c>
      <c r="Q980" s="6">
        <f t="shared" ca="1" si="47"/>
        <v>60</v>
      </c>
      <c r="R980" s="6">
        <f t="shared" si="45"/>
        <v>27165.760000000002</v>
      </c>
      <c r="S980" s="7" t="str">
        <f t="shared" si="46"/>
        <v>Profit</v>
      </c>
    </row>
    <row r="981" spans="1:19" x14ac:dyDescent="0.3">
      <c r="A981" s="4" t="s">
        <v>2003</v>
      </c>
      <c r="B981" s="5">
        <v>44324</v>
      </c>
      <c r="C981" s="6" t="s">
        <v>2004</v>
      </c>
      <c r="D981" s="6" t="s">
        <v>64</v>
      </c>
      <c r="E981" s="6">
        <v>26121</v>
      </c>
      <c r="F981" s="6">
        <v>18.8</v>
      </c>
      <c r="G981" s="6">
        <v>60</v>
      </c>
      <c r="H981" s="6" t="s">
        <v>314</v>
      </c>
      <c r="I981" s="6" t="s">
        <v>27</v>
      </c>
      <c r="J981" s="6" t="s">
        <v>32</v>
      </c>
      <c r="K981" s="6">
        <v>59432</v>
      </c>
      <c r="L981" s="6" t="s">
        <v>29</v>
      </c>
      <c r="M981" s="6">
        <v>0.15</v>
      </c>
      <c r="N981" s="6">
        <v>0.54</v>
      </c>
      <c r="O981" s="6">
        <v>0</v>
      </c>
      <c r="P981" s="6">
        <v>0</v>
      </c>
      <c r="Q981" s="6">
        <f t="shared" ca="1" si="47"/>
        <v>58</v>
      </c>
      <c r="R981" s="6">
        <f t="shared" si="45"/>
        <v>26121</v>
      </c>
      <c r="S981" s="7" t="str">
        <f t="shared" si="46"/>
        <v>Profit</v>
      </c>
    </row>
    <row r="982" spans="1:19" x14ac:dyDescent="0.3">
      <c r="A982" s="4" t="s">
        <v>2005</v>
      </c>
      <c r="B982" s="5">
        <v>44932</v>
      </c>
      <c r="C982" s="6" t="s">
        <v>2006</v>
      </c>
      <c r="D982" s="6" t="s">
        <v>56</v>
      </c>
      <c r="E982" s="6">
        <v>38487</v>
      </c>
      <c r="F982" s="6">
        <v>23.6</v>
      </c>
      <c r="G982" s="6">
        <v>60</v>
      </c>
      <c r="H982" s="6" t="s">
        <v>80</v>
      </c>
      <c r="I982" s="6" t="s">
        <v>20</v>
      </c>
      <c r="J982" s="6" t="s">
        <v>28</v>
      </c>
      <c r="K982" s="6">
        <v>139758</v>
      </c>
      <c r="L982" s="6" t="s">
        <v>33</v>
      </c>
      <c r="M982" s="6">
        <v>0.17</v>
      </c>
      <c r="N982" s="6">
        <v>0.68</v>
      </c>
      <c r="O982" s="6">
        <v>7006.59</v>
      </c>
      <c r="P982" s="6">
        <v>17357.919999999998</v>
      </c>
      <c r="Q982" s="6">
        <f t="shared" ca="1" si="47"/>
        <v>38</v>
      </c>
      <c r="R982" s="6">
        <f t="shared" si="45"/>
        <v>31480.41</v>
      </c>
      <c r="S982" s="7" t="str">
        <f t="shared" si="46"/>
        <v>Profit</v>
      </c>
    </row>
    <row r="983" spans="1:19" x14ac:dyDescent="0.3">
      <c r="A983" s="4" t="s">
        <v>2007</v>
      </c>
      <c r="B983" s="5">
        <v>44917</v>
      </c>
      <c r="C983" s="6" t="s">
        <v>2008</v>
      </c>
      <c r="D983" s="6" t="s">
        <v>50</v>
      </c>
      <c r="E983" s="6">
        <v>29411</v>
      </c>
      <c r="F983" s="6">
        <v>14.9</v>
      </c>
      <c r="G983" s="6">
        <v>36</v>
      </c>
      <c r="H983" s="6" t="s">
        <v>26</v>
      </c>
      <c r="I983" s="6" t="s">
        <v>36</v>
      </c>
      <c r="J983" s="6" t="s">
        <v>37</v>
      </c>
      <c r="K983" s="6">
        <v>78617</v>
      </c>
      <c r="L983" s="6" t="s">
        <v>22</v>
      </c>
      <c r="M983" s="6">
        <v>0.28999999999999998</v>
      </c>
      <c r="N983" s="6">
        <v>0.69</v>
      </c>
      <c r="O983" s="6">
        <v>3079.75</v>
      </c>
      <c r="P983" s="6">
        <v>0</v>
      </c>
      <c r="Q983" s="6">
        <f t="shared" ca="1" si="47"/>
        <v>38</v>
      </c>
      <c r="R983" s="6">
        <f t="shared" si="45"/>
        <v>26331.25</v>
      </c>
      <c r="S983" s="7" t="str">
        <f t="shared" si="46"/>
        <v>Profit</v>
      </c>
    </row>
    <row r="984" spans="1:19" x14ac:dyDescent="0.3">
      <c r="A984" s="4" t="s">
        <v>2009</v>
      </c>
      <c r="B984" s="5">
        <v>44722</v>
      </c>
      <c r="C984" s="6" t="s">
        <v>2010</v>
      </c>
      <c r="D984" s="6" t="s">
        <v>18</v>
      </c>
      <c r="E984" s="6">
        <v>34361</v>
      </c>
      <c r="F984" s="6">
        <v>9.6</v>
      </c>
      <c r="G984" s="6">
        <v>60</v>
      </c>
      <c r="H984" s="6" t="s">
        <v>19</v>
      </c>
      <c r="I984" s="6" t="s">
        <v>20</v>
      </c>
      <c r="J984" s="6" t="s">
        <v>37</v>
      </c>
      <c r="K984" s="6">
        <v>102373</v>
      </c>
      <c r="L984" s="6" t="s">
        <v>29</v>
      </c>
      <c r="M984" s="6">
        <v>0.4</v>
      </c>
      <c r="N984" s="6">
        <v>0.73</v>
      </c>
      <c r="O984" s="6">
        <v>37659.660000000003</v>
      </c>
      <c r="P984" s="6">
        <v>0</v>
      </c>
      <c r="Q984" s="6">
        <f t="shared" ca="1" si="47"/>
        <v>45</v>
      </c>
      <c r="R984" s="6">
        <f t="shared" si="45"/>
        <v>-3298.6600000000035</v>
      </c>
      <c r="S984" s="7" t="str">
        <f t="shared" si="46"/>
        <v>Loss</v>
      </c>
    </row>
    <row r="985" spans="1:19" x14ac:dyDescent="0.3">
      <c r="A985" s="4" t="s">
        <v>2011</v>
      </c>
      <c r="B985" s="5">
        <v>44717</v>
      </c>
      <c r="C985" s="6" t="s">
        <v>2012</v>
      </c>
      <c r="D985" s="6" t="s">
        <v>71</v>
      </c>
      <c r="E985" s="6">
        <v>22223</v>
      </c>
      <c r="F985" s="6">
        <v>5.9</v>
      </c>
      <c r="G985" s="6">
        <v>60</v>
      </c>
      <c r="H985" s="6" t="s">
        <v>19</v>
      </c>
      <c r="I985" s="6" t="s">
        <v>57</v>
      </c>
      <c r="J985" s="6" t="s">
        <v>28</v>
      </c>
      <c r="K985" s="6">
        <v>64217</v>
      </c>
      <c r="L985" s="6" t="s">
        <v>33</v>
      </c>
      <c r="M985" s="6">
        <v>0.16</v>
      </c>
      <c r="N985" s="6">
        <v>0.82</v>
      </c>
      <c r="O985" s="6">
        <v>23534.16</v>
      </c>
      <c r="P985" s="6">
        <v>0</v>
      </c>
      <c r="Q985" s="6">
        <f t="shared" ca="1" si="47"/>
        <v>45</v>
      </c>
      <c r="R985" s="6">
        <f t="shared" si="45"/>
        <v>-1311.1599999999999</v>
      </c>
      <c r="S985" s="7" t="str">
        <f t="shared" si="46"/>
        <v>Loss</v>
      </c>
    </row>
    <row r="986" spans="1:19" x14ac:dyDescent="0.3">
      <c r="A986" s="4" t="s">
        <v>2013</v>
      </c>
      <c r="B986" s="5">
        <v>44748</v>
      </c>
      <c r="C986" s="6" t="s">
        <v>2014</v>
      </c>
      <c r="D986" s="6" t="s">
        <v>50</v>
      </c>
      <c r="E986" s="6">
        <v>8394</v>
      </c>
      <c r="F986" s="6">
        <v>13.3</v>
      </c>
      <c r="G986" s="6">
        <v>36</v>
      </c>
      <c r="H986" s="6" t="s">
        <v>26</v>
      </c>
      <c r="I986" s="6" t="s">
        <v>57</v>
      </c>
      <c r="J986" s="6" t="s">
        <v>47</v>
      </c>
      <c r="K986" s="6">
        <v>50884</v>
      </c>
      <c r="L986" s="6" t="s">
        <v>29</v>
      </c>
      <c r="M986" s="6">
        <v>0.28000000000000003</v>
      </c>
      <c r="N986" s="6">
        <v>0.91</v>
      </c>
      <c r="O986" s="6">
        <v>2520.1</v>
      </c>
      <c r="P986" s="6">
        <v>0</v>
      </c>
      <c r="Q986" s="6">
        <f t="shared" ca="1" si="47"/>
        <v>44</v>
      </c>
      <c r="R986" s="6">
        <f t="shared" si="45"/>
        <v>5873.9</v>
      </c>
      <c r="S986" s="7" t="str">
        <f t="shared" si="46"/>
        <v>Profit</v>
      </c>
    </row>
    <row r="987" spans="1:19" x14ac:dyDescent="0.3">
      <c r="A987" s="4" t="s">
        <v>2015</v>
      </c>
      <c r="B987" s="5">
        <v>44433</v>
      </c>
      <c r="C987" s="6" t="s">
        <v>2016</v>
      </c>
      <c r="D987" s="6" t="s">
        <v>50</v>
      </c>
      <c r="E987" s="6">
        <v>15056</v>
      </c>
      <c r="F987" s="6">
        <v>11</v>
      </c>
      <c r="G987" s="6">
        <v>60</v>
      </c>
      <c r="H987" s="6" t="s">
        <v>19</v>
      </c>
      <c r="I987" s="6" t="s">
        <v>20</v>
      </c>
      <c r="J987" s="6" t="s">
        <v>37</v>
      </c>
      <c r="K987" s="6">
        <v>35454</v>
      </c>
      <c r="L987" s="6" t="s">
        <v>22</v>
      </c>
      <c r="M987" s="6">
        <v>0.28999999999999998</v>
      </c>
      <c r="N987" s="6">
        <v>0.56000000000000005</v>
      </c>
      <c r="O987" s="6">
        <v>16712.16</v>
      </c>
      <c r="P987" s="6">
        <v>0</v>
      </c>
      <c r="Q987" s="6">
        <f t="shared" ca="1" si="47"/>
        <v>54</v>
      </c>
      <c r="R987" s="6">
        <f t="shared" si="45"/>
        <v>-1656.1599999999999</v>
      </c>
      <c r="S987" s="7" t="str">
        <f t="shared" si="46"/>
        <v>Loss</v>
      </c>
    </row>
    <row r="988" spans="1:19" x14ac:dyDescent="0.3">
      <c r="A988" s="4" t="s">
        <v>2017</v>
      </c>
      <c r="B988" s="5">
        <v>44690</v>
      </c>
      <c r="C988" s="6" t="s">
        <v>2018</v>
      </c>
      <c r="D988" s="6" t="s">
        <v>75</v>
      </c>
      <c r="E988" s="6">
        <v>29380</v>
      </c>
      <c r="F988" s="6">
        <v>20.2</v>
      </c>
      <c r="G988" s="6">
        <v>60</v>
      </c>
      <c r="H988" s="6" t="s">
        <v>19</v>
      </c>
      <c r="I988" s="6" t="s">
        <v>72</v>
      </c>
      <c r="J988" s="6" t="s">
        <v>47</v>
      </c>
      <c r="K988" s="6">
        <v>104960</v>
      </c>
      <c r="L988" s="6" t="s">
        <v>22</v>
      </c>
      <c r="M988" s="6">
        <v>0.18</v>
      </c>
      <c r="N988" s="6">
        <v>0.52</v>
      </c>
      <c r="O988" s="6">
        <v>35314.76</v>
      </c>
      <c r="P988" s="6">
        <v>0</v>
      </c>
      <c r="Q988" s="6">
        <f t="shared" ca="1" si="47"/>
        <v>46</v>
      </c>
      <c r="R988" s="6">
        <f t="shared" si="45"/>
        <v>-5934.760000000002</v>
      </c>
      <c r="S988" s="7" t="str">
        <f t="shared" si="46"/>
        <v>Loss</v>
      </c>
    </row>
    <row r="989" spans="1:19" x14ac:dyDescent="0.3">
      <c r="A989" s="4" t="s">
        <v>2019</v>
      </c>
      <c r="B989" s="5">
        <v>44200</v>
      </c>
      <c r="C989" s="6" t="s">
        <v>2020</v>
      </c>
      <c r="D989" s="6" t="s">
        <v>46</v>
      </c>
      <c r="E989" s="6">
        <v>27035</v>
      </c>
      <c r="F989" s="6">
        <v>12.1</v>
      </c>
      <c r="G989" s="6">
        <v>36</v>
      </c>
      <c r="H989" s="6" t="s">
        <v>26</v>
      </c>
      <c r="I989" s="6" t="s">
        <v>27</v>
      </c>
      <c r="J989" s="6" t="s">
        <v>37</v>
      </c>
      <c r="K989" s="6">
        <v>132421</v>
      </c>
      <c r="L989" s="6" t="s">
        <v>22</v>
      </c>
      <c r="M989" s="6">
        <v>0.15</v>
      </c>
      <c r="N989" s="6">
        <v>0.51</v>
      </c>
      <c r="O989" s="6">
        <v>5329.68</v>
      </c>
      <c r="P989" s="6">
        <v>0</v>
      </c>
      <c r="Q989" s="6">
        <f t="shared" ca="1" si="47"/>
        <v>62</v>
      </c>
      <c r="R989" s="6">
        <f t="shared" si="45"/>
        <v>21705.32</v>
      </c>
      <c r="S989" s="7" t="str">
        <f t="shared" si="46"/>
        <v>Profit</v>
      </c>
    </row>
    <row r="990" spans="1:19" x14ac:dyDescent="0.3">
      <c r="A990" s="4" t="s">
        <v>2021</v>
      </c>
      <c r="B990" s="5">
        <v>44862</v>
      </c>
      <c r="C990" s="6" t="s">
        <v>2022</v>
      </c>
      <c r="D990" s="6" t="s">
        <v>46</v>
      </c>
      <c r="E990" s="6">
        <v>31620</v>
      </c>
      <c r="F990" s="6">
        <v>24</v>
      </c>
      <c r="G990" s="6">
        <v>36</v>
      </c>
      <c r="H990" s="6" t="s">
        <v>19</v>
      </c>
      <c r="I990" s="6" t="s">
        <v>83</v>
      </c>
      <c r="J990" s="6" t="s">
        <v>21</v>
      </c>
      <c r="K990" s="6">
        <v>137173</v>
      </c>
      <c r="L990" s="6" t="s">
        <v>22</v>
      </c>
      <c r="M990" s="6">
        <v>0.43</v>
      </c>
      <c r="N990" s="6">
        <v>0.56000000000000005</v>
      </c>
      <c r="O990" s="6">
        <v>39208.800000000003</v>
      </c>
      <c r="P990" s="6">
        <v>0</v>
      </c>
      <c r="Q990" s="6">
        <f t="shared" ca="1" si="47"/>
        <v>40</v>
      </c>
      <c r="R990" s="6">
        <f t="shared" si="45"/>
        <v>-7588.8000000000029</v>
      </c>
      <c r="S990" s="7" t="str">
        <f t="shared" si="46"/>
        <v>Loss</v>
      </c>
    </row>
    <row r="991" spans="1:19" x14ac:dyDescent="0.3">
      <c r="A991" s="4" t="s">
        <v>2023</v>
      </c>
      <c r="B991" s="5">
        <v>44638</v>
      </c>
      <c r="C991" s="6" t="s">
        <v>2024</v>
      </c>
      <c r="D991" s="6" t="s">
        <v>25</v>
      </c>
      <c r="E991" s="6">
        <v>20877</v>
      </c>
      <c r="F991" s="6">
        <v>24.2</v>
      </c>
      <c r="G991" s="6">
        <v>36</v>
      </c>
      <c r="H991" s="6" t="s">
        <v>80</v>
      </c>
      <c r="I991" s="6" t="s">
        <v>83</v>
      </c>
      <c r="J991" s="6" t="s">
        <v>32</v>
      </c>
      <c r="K991" s="6">
        <v>73618</v>
      </c>
      <c r="L991" s="6" t="s">
        <v>33</v>
      </c>
      <c r="M991" s="6">
        <v>0.3</v>
      </c>
      <c r="N991" s="6">
        <v>0.8</v>
      </c>
      <c r="O991" s="6">
        <v>4859.07</v>
      </c>
      <c r="P991" s="6">
        <v>9308.75</v>
      </c>
      <c r="Q991" s="6">
        <f t="shared" ca="1" si="47"/>
        <v>48</v>
      </c>
      <c r="R991" s="6">
        <f t="shared" si="45"/>
        <v>16017.93</v>
      </c>
      <c r="S991" s="7" t="str">
        <f t="shared" si="46"/>
        <v>Profit</v>
      </c>
    </row>
    <row r="992" spans="1:19" x14ac:dyDescent="0.3">
      <c r="A992" s="4" t="s">
        <v>2025</v>
      </c>
      <c r="B992" s="5">
        <v>44225</v>
      </c>
      <c r="C992" s="6" t="s">
        <v>2026</v>
      </c>
      <c r="D992" s="6" t="s">
        <v>71</v>
      </c>
      <c r="E992" s="6">
        <v>31911</v>
      </c>
      <c r="F992" s="6">
        <v>17.399999999999999</v>
      </c>
      <c r="G992" s="6">
        <v>60</v>
      </c>
      <c r="H992" s="6" t="s">
        <v>26</v>
      </c>
      <c r="I992" s="6" t="s">
        <v>72</v>
      </c>
      <c r="J992" s="6" t="s">
        <v>37</v>
      </c>
      <c r="K992" s="6">
        <v>113948</v>
      </c>
      <c r="L992" s="6" t="s">
        <v>29</v>
      </c>
      <c r="M992" s="6">
        <v>0.11</v>
      </c>
      <c r="N992" s="6">
        <v>0.83</v>
      </c>
      <c r="O992" s="6">
        <v>10885.67</v>
      </c>
      <c r="P992" s="6">
        <v>0</v>
      </c>
      <c r="Q992" s="6">
        <f t="shared" ca="1" si="47"/>
        <v>61</v>
      </c>
      <c r="R992" s="6">
        <f t="shared" si="45"/>
        <v>21025.33</v>
      </c>
      <c r="S992" s="7" t="str">
        <f t="shared" si="46"/>
        <v>Profit</v>
      </c>
    </row>
    <row r="993" spans="1:19" x14ac:dyDescent="0.3">
      <c r="A993" s="4" t="s">
        <v>2027</v>
      </c>
      <c r="B993" s="5">
        <v>44806</v>
      </c>
      <c r="C993" s="6" t="s">
        <v>2028</v>
      </c>
      <c r="D993" s="6" t="s">
        <v>53</v>
      </c>
      <c r="E993" s="6">
        <v>33784</v>
      </c>
      <c r="F993" s="6">
        <v>23.6</v>
      </c>
      <c r="G993" s="6">
        <v>60</v>
      </c>
      <c r="H993" s="6" t="s">
        <v>26</v>
      </c>
      <c r="I993" s="6" t="s">
        <v>27</v>
      </c>
      <c r="J993" s="6" t="s">
        <v>21</v>
      </c>
      <c r="K993" s="6">
        <v>92671</v>
      </c>
      <c r="L993" s="6" t="s">
        <v>33</v>
      </c>
      <c r="M993" s="6">
        <v>0.42</v>
      </c>
      <c r="N993" s="6">
        <v>0.85</v>
      </c>
      <c r="O993" s="6">
        <v>9201.2900000000009</v>
      </c>
      <c r="P993" s="6">
        <v>0</v>
      </c>
      <c r="Q993" s="6">
        <f t="shared" ca="1" si="47"/>
        <v>42</v>
      </c>
      <c r="R993" s="6">
        <f t="shared" si="45"/>
        <v>24582.71</v>
      </c>
      <c r="S993" s="7" t="str">
        <f t="shared" si="46"/>
        <v>Profit</v>
      </c>
    </row>
    <row r="994" spans="1:19" x14ac:dyDescent="0.3">
      <c r="A994" s="4" t="s">
        <v>2029</v>
      </c>
      <c r="B994" s="5">
        <v>45001</v>
      </c>
      <c r="C994" s="6" t="s">
        <v>2030</v>
      </c>
      <c r="D994" s="6" t="s">
        <v>18</v>
      </c>
      <c r="E994" s="6">
        <v>4191</v>
      </c>
      <c r="F994" s="6">
        <v>20.2</v>
      </c>
      <c r="G994" s="6">
        <v>36</v>
      </c>
      <c r="H994" s="6" t="s">
        <v>26</v>
      </c>
      <c r="I994" s="6" t="s">
        <v>20</v>
      </c>
      <c r="J994" s="6" t="s">
        <v>28</v>
      </c>
      <c r="K994" s="6">
        <v>77111</v>
      </c>
      <c r="L994" s="6" t="s">
        <v>22</v>
      </c>
      <c r="M994" s="6">
        <v>0.49</v>
      </c>
      <c r="N994" s="6">
        <v>0.61</v>
      </c>
      <c r="O994" s="6">
        <v>1379.36</v>
      </c>
      <c r="P994" s="6">
        <v>0</v>
      </c>
      <c r="Q994" s="6">
        <f t="shared" ca="1" si="47"/>
        <v>36</v>
      </c>
      <c r="R994" s="6">
        <f t="shared" si="45"/>
        <v>2811.6400000000003</v>
      </c>
      <c r="S994" s="7" t="str">
        <f t="shared" si="46"/>
        <v>Profit</v>
      </c>
    </row>
    <row r="995" spans="1:19" x14ac:dyDescent="0.3">
      <c r="A995" s="4" t="s">
        <v>2031</v>
      </c>
      <c r="B995" s="5">
        <v>44271</v>
      </c>
      <c r="C995" s="6" t="s">
        <v>2032</v>
      </c>
      <c r="D995" s="6" t="s">
        <v>18</v>
      </c>
      <c r="E995" s="6">
        <v>34160</v>
      </c>
      <c r="F995" s="6">
        <v>15.9</v>
      </c>
      <c r="G995" s="6">
        <v>36</v>
      </c>
      <c r="H995" s="6" t="s">
        <v>80</v>
      </c>
      <c r="I995" s="6" t="s">
        <v>72</v>
      </c>
      <c r="J995" s="6" t="s">
        <v>21</v>
      </c>
      <c r="K995" s="6">
        <v>69613</v>
      </c>
      <c r="L995" s="6" t="s">
        <v>29</v>
      </c>
      <c r="M995" s="6">
        <v>0.34</v>
      </c>
      <c r="N995" s="6">
        <v>0.64</v>
      </c>
      <c r="O995" s="6">
        <v>8992.9599999999991</v>
      </c>
      <c r="P995" s="6">
        <v>10741.33</v>
      </c>
      <c r="Q995" s="6">
        <f t="shared" ca="1" si="47"/>
        <v>60</v>
      </c>
      <c r="R995" s="6">
        <f t="shared" si="45"/>
        <v>25167.040000000001</v>
      </c>
      <c r="S995" s="7" t="str">
        <f t="shared" si="46"/>
        <v>Profit</v>
      </c>
    </row>
    <row r="996" spans="1:19" x14ac:dyDescent="0.3">
      <c r="A996" s="4" t="s">
        <v>2033</v>
      </c>
      <c r="B996" s="5">
        <v>45034</v>
      </c>
      <c r="C996" s="6" t="s">
        <v>2034</v>
      </c>
      <c r="D996" s="6" t="s">
        <v>46</v>
      </c>
      <c r="E996" s="6">
        <v>26000</v>
      </c>
      <c r="F996" s="6">
        <v>8.6</v>
      </c>
      <c r="G996" s="6">
        <v>60</v>
      </c>
      <c r="H996" s="6" t="s">
        <v>26</v>
      </c>
      <c r="I996" s="6" t="s">
        <v>20</v>
      </c>
      <c r="J996" s="6" t="s">
        <v>28</v>
      </c>
      <c r="K996" s="6">
        <v>115678</v>
      </c>
      <c r="L996" s="6" t="s">
        <v>22</v>
      </c>
      <c r="M996" s="6">
        <v>0.3</v>
      </c>
      <c r="N996" s="6">
        <v>0.72</v>
      </c>
      <c r="O996" s="6">
        <v>9955.6200000000008</v>
      </c>
      <c r="P996" s="6">
        <v>0</v>
      </c>
      <c r="Q996" s="6">
        <f t="shared" ca="1" si="47"/>
        <v>35</v>
      </c>
      <c r="R996" s="6">
        <f t="shared" si="45"/>
        <v>16044.38</v>
      </c>
      <c r="S996" s="7" t="str">
        <f t="shared" si="46"/>
        <v>Profit</v>
      </c>
    </row>
    <row r="997" spans="1:19" x14ac:dyDescent="0.3">
      <c r="A997" s="4" t="s">
        <v>2035</v>
      </c>
      <c r="B997" s="5">
        <v>44324</v>
      </c>
      <c r="C997" s="6" t="s">
        <v>2036</v>
      </c>
      <c r="D997" s="6" t="s">
        <v>50</v>
      </c>
      <c r="E997" s="6">
        <v>4631</v>
      </c>
      <c r="F997" s="6">
        <v>14.2</v>
      </c>
      <c r="G997" s="6">
        <v>36</v>
      </c>
      <c r="H997" s="6" t="s">
        <v>26</v>
      </c>
      <c r="I997" s="6" t="s">
        <v>57</v>
      </c>
      <c r="J997" s="6" t="s">
        <v>37</v>
      </c>
      <c r="K997" s="6">
        <v>132928</v>
      </c>
      <c r="L997" s="6" t="s">
        <v>33</v>
      </c>
      <c r="M997" s="6">
        <v>0.45</v>
      </c>
      <c r="N997" s="6">
        <v>0.53</v>
      </c>
      <c r="O997" s="6">
        <v>1702.69</v>
      </c>
      <c r="P997" s="6">
        <v>0</v>
      </c>
      <c r="Q997" s="6">
        <f t="shared" ca="1" si="47"/>
        <v>58</v>
      </c>
      <c r="R997" s="6">
        <f t="shared" si="45"/>
        <v>2928.31</v>
      </c>
      <c r="S997" s="7" t="str">
        <f t="shared" si="46"/>
        <v>Profit</v>
      </c>
    </row>
    <row r="998" spans="1:19" x14ac:dyDescent="0.3">
      <c r="A998" s="4" t="s">
        <v>2037</v>
      </c>
      <c r="B998" s="5">
        <v>44238</v>
      </c>
      <c r="C998" s="6" t="s">
        <v>2038</v>
      </c>
      <c r="D998" s="6" t="s">
        <v>56</v>
      </c>
      <c r="E998" s="6">
        <v>7172</v>
      </c>
      <c r="F998" s="6">
        <v>16.2</v>
      </c>
      <c r="G998" s="6">
        <v>60</v>
      </c>
      <c r="H998" s="6" t="s">
        <v>19</v>
      </c>
      <c r="I998" s="6" t="s">
        <v>57</v>
      </c>
      <c r="J998" s="6" t="s">
        <v>28</v>
      </c>
      <c r="K998" s="6">
        <v>89993</v>
      </c>
      <c r="L998" s="6" t="s">
        <v>33</v>
      </c>
      <c r="M998" s="6">
        <v>0.48</v>
      </c>
      <c r="N998" s="6">
        <v>0.78</v>
      </c>
      <c r="O998" s="6">
        <v>8333.86</v>
      </c>
      <c r="P998" s="6">
        <v>0</v>
      </c>
      <c r="Q998" s="6">
        <f t="shared" ca="1" si="47"/>
        <v>61</v>
      </c>
      <c r="R998" s="6">
        <f t="shared" si="45"/>
        <v>-1161.8600000000006</v>
      </c>
      <c r="S998" s="7" t="str">
        <f t="shared" si="46"/>
        <v>Loss</v>
      </c>
    </row>
    <row r="999" spans="1:19" x14ac:dyDescent="0.3">
      <c r="A999" s="4" t="s">
        <v>2039</v>
      </c>
      <c r="B999" s="5">
        <v>44237</v>
      </c>
      <c r="C999" s="6" t="s">
        <v>2040</v>
      </c>
      <c r="D999" s="6" t="s">
        <v>25</v>
      </c>
      <c r="E999" s="6">
        <v>24561</v>
      </c>
      <c r="F999" s="6">
        <v>22.3</v>
      </c>
      <c r="G999" s="6">
        <v>36</v>
      </c>
      <c r="H999" s="6" t="s">
        <v>80</v>
      </c>
      <c r="I999" s="6" t="s">
        <v>57</v>
      </c>
      <c r="J999" s="6" t="s">
        <v>21</v>
      </c>
      <c r="K999" s="6">
        <v>38848</v>
      </c>
      <c r="L999" s="6" t="s">
        <v>33</v>
      </c>
      <c r="M999" s="6">
        <v>0.4</v>
      </c>
      <c r="N999" s="6">
        <v>0.94</v>
      </c>
      <c r="O999" s="6">
        <v>6392.17</v>
      </c>
      <c r="P999" s="6">
        <v>9431.07</v>
      </c>
      <c r="Q999" s="6">
        <f t="shared" ca="1" si="47"/>
        <v>61</v>
      </c>
      <c r="R999" s="6">
        <f t="shared" si="45"/>
        <v>18168.830000000002</v>
      </c>
      <c r="S999" s="7" t="str">
        <f t="shared" si="46"/>
        <v>Profit</v>
      </c>
    </row>
    <row r="1000" spans="1:19" x14ac:dyDescent="0.3">
      <c r="A1000" s="4" t="s">
        <v>2041</v>
      </c>
      <c r="B1000" s="5">
        <v>45130</v>
      </c>
      <c r="C1000" s="6" t="s">
        <v>2042</v>
      </c>
      <c r="D1000" s="6" t="s">
        <v>64</v>
      </c>
      <c r="E1000" s="6">
        <v>25817</v>
      </c>
      <c r="F1000" s="6">
        <v>14.6</v>
      </c>
      <c r="G1000" s="6">
        <v>36</v>
      </c>
      <c r="H1000" s="6" t="s">
        <v>26</v>
      </c>
      <c r="I1000" s="6" t="s">
        <v>72</v>
      </c>
      <c r="J1000" s="6" t="s">
        <v>32</v>
      </c>
      <c r="K1000" s="6">
        <v>144853</v>
      </c>
      <c r="L1000" s="6" t="s">
        <v>29</v>
      </c>
      <c r="M1000" s="6">
        <v>0.28000000000000003</v>
      </c>
      <c r="N1000" s="6">
        <v>0.66</v>
      </c>
      <c r="O1000" s="6">
        <v>9178.11</v>
      </c>
      <c r="P1000" s="6">
        <v>0</v>
      </c>
      <c r="Q1000" s="6">
        <f t="shared" ca="1" si="47"/>
        <v>31</v>
      </c>
      <c r="R1000" s="6">
        <f t="shared" si="45"/>
        <v>16638.89</v>
      </c>
      <c r="S1000" s="7" t="str">
        <f t="shared" si="46"/>
        <v>Profit</v>
      </c>
    </row>
    <row r="1001" spans="1:19" x14ac:dyDescent="0.3">
      <c r="A1001" s="8" t="s">
        <v>2043</v>
      </c>
      <c r="B1001" s="9">
        <v>44230</v>
      </c>
      <c r="C1001" s="10" t="s">
        <v>2044</v>
      </c>
      <c r="D1001" s="10" t="s">
        <v>25</v>
      </c>
      <c r="E1001" s="10">
        <v>21281</v>
      </c>
      <c r="F1001" s="10">
        <v>23</v>
      </c>
      <c r="G1001" s="10">
        <v>60</v>
      </c>
      <c r="H1001" s="10" t="s">
        <v>19</v>
      </c>
      <c r="I1001" s="10" t="s">
        <v>36</v>
      </c>
      <c r="J1001" s="10" t="s">
        <v>47</v>
      </c>
      <c r="K1001" s="10">
        <v>108672</v>
      </c>
      <c r="L1001" s="10" t="s">
        <v>29</v>
      </c>
      <c r="M1001" s="10">
        <v>0.34</v>
      </c>
      <c r="N1001" s="10">
        <v>0.84</v>
      </c>
      <c r="O1001" s="10">
        <v>26175.63</v>
      </c>
      <c r="P1001" s="10">
        <v>0</v>
      </c>
      <c r="Q1001" s="10">
        <f t="shared" ca="1" si="47"/>
        <v>61</v>
      </c>
      <c r="R1001" s="10">
        <f t="shared" si="45"/>
        <v>-4894.630000000001</v>
      </c>
      <c r="S1001" s="11" t="str">
        <f t="shared" si="46"/>
        <v>Loss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3F0C2-CBD3-4DFE-9938-DC5AD11A8B9D}">
  <dimension ref="A1:N82"/>
  <sheetViews>
    <sheetView tabSelected="1" topLeftCell="A58" workbookViewId="0">
      <selection activeCell="P74" sqref="P74"/>
    </sheetView>
  </sheetViews>
  <sheetFormatPr defaultRowHeight="14.4" x14ac:dyDescent="0.3"/>
  <cols>
    <col min="1" max="1" width="12.77734375" bestFit="1" customWidth="1"/>
    <col min="2" max="3" width="19.109375" bestFit="1" customWidth="1"/>
  </cols>
  <sheetData>
    <row r="1" spans="1:4" x14ac:dyDescent="0.3">
      <c r="A1" s="15" t="s">
        <v>2054</v>
      </c>
    </row>
    <row r="2" spans="1:4" x14ac:dyDescent="0.3">
      <c r="A2" s="15"/>
    </row>
    <row r="3" spans="1:4" x14ac:dyDescent="0.3">
      <c r="A3" s="15"/>
    </row>
    <row r="4" spans="1:4" x14ac:dyDescent="0.3">
      <c r="A4" s="19" t="s">
        <v>2057</v>
      </c>
      <c r="B4" s="19"/>
      <c r="C4" s="19"/>
      <c r="D4" s="19"/>
    </row>
    <row r="5" spans="1:4" x14ac:dyDescent="0.3">
      <c r="A5" s="16" t="s">
        <v>7</v>
      </c>
      <c r="B5" t="s">
        <v>2056</v>
      </c>
    </row>
    <row r="6" spans="1:4" x14ac:dyDescent="0.3">
      <c r="A6" s="17" t="s">
        <v>80</v>
      </c>
      <c r="B6" s="14">
        <v>2112176</v>
      </c>
    </row>
    <row r="7" spans="1:4" x14ac:dyDescent="0.3">
      <c r="A7" s="17" t="s">
        <v>26</v>
      </c>
      <c r="B7" s="14">
        <v>6467779</v>
      </c>
    </row>
    <row r="8" spans="1:4" x14ac:dyDescent="0.3">
      <c r="A8" s="17" t="s">
        <v>19</v>
      </c>
      <c r="B8" s="14">
        <v>11729795</v>
      </c>
    </row>
    <row r="9" spans="1:4" x14ac:dyDescent="0.3">
      <c r="A9" s="17" t="s">
        <v>314</v>
      </c>
      <c r="B9" s="14">
        <v>248118</v>
      </c>
    </row>
    <row r="10" spans="1:4" x14ac:dyDescent="0.3">
      <c r="A10" s="17" t="s">
        <v>2045</v>
      </c>
      <c r="B10" s="14">
        <v>697676</v>
      </c>
    </row>
    <row r="11" spans="1:4" x14ac:dyDescent="0.3">
      <c r="A11" s="17" t="s">
        <v>2055</v>
      </c>
      <c r="B11" s="14">
        <v>21255544</v>
      </c>
    </row>
    <row r="20" spans="1:3" x14ac:dyDescent="0.3">
      <c r="A20" s="15" t="s">
        <v>2058</v>
      </c>
    </row>
    <row r="21" spans="1:3" x14ac:dyDescent="0.3">
      <c r="A21" s="16" t="s">
        <v>8</v>
      </c>
      <c r="B21" t="s">
        <v>2059</v>
      </c>
      <c r="C21" t="s">
        <v>2056</v>
      </c>
    </row>
    <row r="22" spans="1:3" x14ac:dyDescent="0.3">
      <c r="A22" s="17" t="s">
        <v>20</v>
      </c>
      <c r="B22" s="14">
        <v>250</v>
      </c>
      <c r="C22" s="14">
        <v>5338618</v>
      </c>
    </row>
    <row r="23" spans="1:3" x14ac:dyDescent="0.3">
      <c r="A23" s="17" t="s">
        <v>57</v>
      </c>
      <c r="B23" s="14">
        <v>206</v>
      </c>
      <c r="C23" s="14">
        <v>4482846</v>
      </c>
    </row>
    <row r="24" spans="1:3" x14ac:dyDescent="0.3">
      <c r="A24" s="17" t="s">
        <v>72</v>
      </c>
      <c r="B24" s="14">
        <v>154</v>
      </c>
      <c r="C24" s="14">
        <v>3235951</v>
      </c>
    </row>
    <row r="25" spans="1:3" x14ac:dyDescent="0.3">
      <c r="A25" s="17" t="s">
        <v>27</v>
      </c>
      <c r="B25" s="14">
        <v>159</v>
      </c>
      <c r="C25" s="14">
        <v>3264798</v>
      </c>
    </row>
    <row r="26" spans="1:3" x14ac:dyDescent="0.3">
      <c r="A26" s="17" t="s">
        <v>83</v>
      </c>
      <c r="B26" s="14">
        <v>106</v>
      </c>
      <c r="C26" s="14">
        <v>2320669</v>
      </c>
    </row>
    <row r="27" spans="1:3" x14ac:dyDescent="0.3">
      <c r="A27" s="17" t="s">
        <v>36</v>
      </c>
      <c r="B27" s="14">
        <v>81</v>
      </c>
      <c r="C27" s="14">
        <v>1605848</v>
      </c>
    </row>
    <row r="28" spans="1:3" x14ac:dyDescent="0.3">
      <c r="A28" s="17" t="s">
        <v>41</v>
      </c>
      <c r="B28" s="14">
        <v>44</v>
      </c>
      <c r="C28" s="14">
        <v>1006814</v>
      </c>
    </row>
    <row r="29" spans="1:3" x14ac:dyDescent="0.3">
      <c r="A29" s="17" t="s">
        <v>2055</v>
      </c>
      <c r="B29" s="14">
        <v>1000</v>
      </c>
      <c r="C29" s="14">
        <v>21255544</v>
      </c>
    </row>
    <row r="37" spans="1:4" x14ac:dyDescent="0.3">
      <c r="A37" s="19" t="s">
        <v>2060</v>
      </c>
      <c r="B37" s="19"/>
      <c r="C37" s="19"/>
      <c r="D37" s="19"/>
    </row>
    <row r="38" spans="1:4" x14ac:dyDescent="0.3">
      <c r="A38" s="16" t="s">
        <v>9</v>
      </c>
      <c r="B38" t="s">
        <v>2059</v>
      </c>
      <c r="C38" t="s">
        <v>2056</v>
      </c>
    </row>
    <row r="39" spans="1:4" x14ac:dyDescent="0.3">
      <c r="A39" s="17" t="s">
        <v>28</v>
      </c>
      <c r="B39" s="14">
        <v>191</v>
      </c>
      <c r="C39" s="14">
        <v>4212767</v>
      </c>
    </row>
    <row r="40" spans="1:4" x14ac:dyDescent="0.3">
      <c r="A40" s="17" t="s">
        <v>47</v>
      </c>
      <c r="B40" s="14">
        <v>187</v>
      </c>
      <c r="C40" s="14">
        <v>3788403</v>
      </c>
    </row>
    <row r="41" spans="1:4" x14ac:dyDescent="0.3">
      <c r="A41" s="17" t="s">
        <v>32</v>
      </c>
      <c r="B41" s="14">
        <v>197</v>
      </c>
      <c r="C41" s="14">
        <v>4371262</v>
      </c>
    </row>
    <row r="42" spans="1:4" x14ac:dyDescent="0.3">
      <c r="A42" s="17" t="s">
        <v>37</v>
      </c>
      <c r="B42" s="14">
        <v>211</v>
      </c>
      <c r="C42" s="14">
        <v>4432165</v>
      </c>
    </row>
    <row r="43" spans="1:4" x14ac:dyDescent="0.3">
      <c r="A43" s="17" t="s">
        <v>21</v>
      </c>
      <c r="B43" s="14">
        <v>214</v>
      </c>
      <c r="C43" s="14">
        <v>4450947</v>
      </c>
    </row>
    <row r="44" spans="1:4" x14ac:dyDescent="0.3">
      <c r="A44" s="17" t="s">
        <v>2055</v>
      </c>
      <c r="B44" s="14">
        <v>1000</v>
      </c>
      <c r="C44" s="14">
        <v>21255544</v>
      </c>
    </row>
    <row r="54" spans="1:14" x14ac:dyDescent="0.3">
      <c r="A54" s="18" t="s">
        <v>2061</v>
      </c>
      <c r="B54" s="18"/>
      <c r="C54" s="18"/>
      <c r="D54" s="18"/>
      <c r="E54" s="18"/>
      <c r="F54" s="18"/>
      <c r="G54" s="18"/>
      <c r="H54" s="18"/>
      <c r="I54" s="18"/>
      <c r="J54" s="18"/>
      <c r="K54" s="18"/>
      <c r="L54" s="18"/>
      <c r="M54" s="18"/>
      <c r="N54" s="18"/>
    </row>
    <row r="55" spans="1:14" x14ac:dyDescent="0.3">
      <c r="A55" s="16" t="s">
        <v>1</v>
      </c>
      <c r="B55" t="s">
        <v>2059</v>
      </c>
      <c r="C55" t="s">
        <v>2056</v>
      </c>
    </row>
    <row r="56" spans="1:14" x14ac:dyDescent="0.3">
      <c r="A56" s="17" t="s">
        <v>2062</v>
      </c>
      <c r="B56" s="14">
        <v>90</v>
      </c>
      <c r="C56" s="14">
        <v>2092739</v>
      </c>
    </row>
    <row r="57" spans="1:14" x14ac:dyDescent="0.3">
      <c r="A57" s="17" t="s">
        <v>2063</v>
      </c>
      <c r="B57" s="14">
        <v>81</v>
      </c>
      <c r="C57" s="14">
        <v>1755960</v>
      </c>
    </row>
    <row r="58" spans="1:14" x14ac:dyDescent="0.3">
      <c r="A58" s="17" t="s">
        <v>2064</v>
      </c>
      <c r="B58" s="14">
        <v>88</v>
      </c>
      <c r="C58" s="14">
        <v>1730459</v>
      </c>
    </row>
    <row r="59" spans="1:14" x14ac:dyDescent="0.3">
      <c r="A59" s="17" t="s">
        <v>2065</v>
      </c>
      <c r="B59" s="14">
        <v>93</v>
      </c>
      <c r="C59" s="14">
        <v>2165874</v>
      </c>
    </row>
    <row r="60" spans="1:14" x14ac:dyDescent="0.3">
      <c r="A60" s="17" t="s">
        <v>2066</v>
      </c>
      <c r="B60" s="14">
        <v>97</v>
      </c>
      <c r="C60" s="14">
        <v>1811797</v>
      </c>
    </row>
    <row r="61" spans="1:14" x14ac:dyDescent="0.3">
      <c r="A61" s="17" t="s">
        <v>2067</v>
      </c>
      <c r="B61" s="14">
        <v>73</v>
      </c>
      <c r="C61" s="14">
        <v>1483335</v>
      </c>
    </row>
    <row r="62" spans="1:14" x14ac:dyDescent="0.3">
      <c r="A62" s="17" t="s">
        <v>2068</v>
      </c>
      <c r="B62" s="14">
        <v>78</v>
      </c>
      <c r="C62" s="14">
        <v>1596365</v>
      </c>
    </row>
    <row r="63" spans="1:14" x14ac:dyDescent="0.3">
      <c r="A63" s="17" t="s">
        <v>2069</v>
      </c>
      <c r="B63" s="14">
        <v>80</v>
      </c>
      <c r="C63" s="14">
        <v>1649022</v>
      </c>
    </row>
    <row r="64" spans="1:14" x14ac:dyDescent="0.3">
      <c r="A64" s="17" t="s">
        <v>2070</v>
      </c>
      <c r="B64" s="14">
        <v>68</v>
      </c>
      <c r="C64" s="14">
        <v>1511440</v>
      </c>
    </row>
    <row r="65" spans="1:9" x14ac:dyDescent="0.3">
      <c r="A65" s="17" t="s">
        <v>2071</v>
      </c>
      <c r="B65" s="14">
        <v>90</v>
      </c>
      <c r="C65" s="14">
        <v>1991319</v>
      </c>
    </row>
    <row r="66" spans="1:9" x14ac:dyDescent="0.3">
      <c r="A66" s="17" t="s">
        <v>2072</v>
      </c>
      <c r="B66" s="14">
        <v>76</v>
      </c>
      <c r="C66" s="14">
        <v>1551289</v>
      </c>
    </row>
    <row r="67" spans="1:9" x14ac:dyDescent="0.3">
      <c r="A67" s="17" t="s">
        <v>2073</v>
      </c>
      <c r="B67" s="14">
        <v>86</v>
      </c>
      <c r="C67" s="14">
        <v>1915945</v>
      </c>
    </row>
    <row r="68" spans="1:9" x14ac:dyDescent="0.3">
      <c r="A68" s="17" t="s">
        <v>2055</v>
      </c>
      <c r="B68" s="14">
        <v>1000</v>
      </c>
      <c r="C68" s="14">
        <v>21255544</v>
      </c>
    </row>
    <row r="73" spans="1:9" x14ac:dyDescent="0.3">
      <c r="A73" s="19" t="s">
        <v>2074</v>
      </c>
      <c r="B73" s="19"/>
      <c r="C73" s="19"/>
      <c r="D73" s="19"/>
      <c r="E73" s="19"/>
      <c r="F73" s="19"/>
      <c r="G73" s="19"/>
      <c r="H73" s="19"/>
      <c r="I73" s="19"/>
    </row>
    <row r="74" spans="1:9" x14ac:dyDescent="0.3">
      <c r="A74" s="16" t="s">
        <v>8</v>
      </c>
      <c r="B74" t="s">
        <v>2056</v>
      </c>
    </row>
    <row r="75" spans="1:9" x14ac:dyDescent="0.3">
      <c r="A75" s="17" t="s">
        <v>20</v>
      </c>
      <c r="B75" s="14">
        <v>5338618</v>
      </c>
    </row>
    <row r="76" spans="1:9" x14ac:dyDescent="0.3">
      <c r="A76" s="17" t="s">
        <v>57</v>
      </c>
      <c r="B76" s="14">
        <v>4482846</v>
      </c>
    </row>
    <row r="77" spans="1:9" x14ac:dyDescent="0.3">
      <c r="A77" s="17" t="s">
        <v>72</v>
      </c>
      <c r="B77" s="14">
        <v>3235951</v>
      </c>
    </row>
    <row r="78" spans="1:9" x14ac:dyDescent="0.3">
      <c r="A78" s="17" t="s">
        <v>27</v>
      </c>
      <c r="B78" s="14">
        <v>3264798</v>
      </c>
    </row>
    <row r="79" spans="1:9" x14ac:dyDescent="0.3">
      <c r="A79" s="17" t="s">
        <v>83</v>
      </c>
      <c r="B79" s="14">
        <v>2320669</v>
      </c>
    </row>
    <row r="80" spans="1:9" x14ac:dyDescent="0.3">
      <c r="A80" s="17" t="s">
        <v>36</v>
      </c>
      <c r="B80" s="14">
        <v>1605848</v>
      </c>
    </row>
    <row r="81" spans="1:2" x14ac:dyDescent="0.3">
      <c r="A81" s="17" t="s">
        <v>41</v>
      </c>
      <c r="B81" s="14">
        <v>1006814</v>
      </c>
    </row>
    <row r="82" spans="1:2" x14ac:dyDescent="0.3">
      <c r="A82" s="17" t="s">
        <v>2055</v>
      </c>
      <c r="B82" s="14">
        <v>21255544</v>
      </c>
    </row>
  </sheetData>
  <mergeCells count="4">
    <mergeCell ref="A4:D4"/>
    <mergeCell ref="A37:D37"/>
    <mergeCell ref="A54:N54"/>
    <mergeCell ref="A73:I73"/>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6D9CD-BB47-4B4D-AC25-3ACCF3A5385A}">
  <dimension ref="A1"/>
  <sheetViews>
    <sheetView workbookViewId="0">
      <selection activeCell="M12" sqref="M12"/>
    </sheetView>
  </sheetViews>
  <sheetFormatPr defaultRowHeight="14.4" x14ac:dyDescent="0.3"/>
  <cols>
    <col min="1" max="1" width="9.21875" customWidth="1"/>
    <col min="2" max="2" width="14.88671875" customWidth="1"/>
    <col min="3" max="3" width="12.88671875" customWidth="1"/>
    <col min="5" max="5" width="14.33203125" customWidth="1"/>
    <col min="6" max="6" width="13.5546875" customWidth="1"/>
    <col min="7" max="7" width="15.5546875" customWidth="1"/>
    <col min="8" max="8" width="17.44140625" customWidth="1"/>
    <col min="9" max="9" width="12.44140625" customWidth="1"/>
    <col min="10" max="10" width="12.5546875" customWidth="1"/>
    <col min="11" max="11" width="15.6640625" customWidth="1"/>
    <col min="12" max="12" width="17.33203125" customWidth="1"/>
    <col min="15" max="15" width="23.88671875" customWidth="1"/>
    <col min="16" max="16" width="15.109375" customWidth="1"/>
    <col min="17" max="17" width="14.33203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A62D80-00F6-4D1B-A4AA-83F474C036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Credit Risk Analysis</vt:lpstr>
      <vt:lpstr>Pivot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Sruthi Sruthi (SW-TEGRA)</dc:creator>
  <cp:lastModifiedBy>Sruthi Sruthi (SW-TEGRA)</cp:lastModifiedBy>
  <dcterms:created xsi:type="dcterms:W3CDTF">2026-03-19T15:15:57Z</dcterms:created>
  <dcterms:modified xsi:type="dcterms:W3CDTF">2026-03-20T09:35:58Z</dcterms:modified>
</cp:coreProperties>
</file>