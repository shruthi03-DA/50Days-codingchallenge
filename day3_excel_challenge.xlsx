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Sunny Shruthi\OneDrive\Desktop\Entri assignments\50 days code challenge\"/>
    </mc:Choice>
  </mc:AlternateContent>
  <xr:revisionPtr revIDLastSave="0" documentId="13_ncr:1_{C0F78EFB-EF69-4A5B-98D7-8B3638C772DA}" xr6:coauthVersionLast="47" xr6:coauthVersionMax="47" xr10:uidLastSave="{00000000-0000-0000-0000-000000000000}"/>
  <bookViews>
    <workbookView xWindow="-108" yWindow="372" windowWidth="23256" windowHeight="12696" activeTab="2" xr2:uid="{A0FB8D7A-0BF8-4DD7-9E21-85E16209F204}"/>
  </bookViews>
  <sheets>
    <sheet name="Child_health_data" sheetId="1" r:id="rId1"/>
    <sheet name="Pivot_Analysis" sheetId="3" r:id="rId2"/>
    <sheet name="Dashboard" sheetId="2" r:id="rId3"/>
  </sheets>
  <definedNames>
    <definedName name="Slicer_Gender">#N/A</definedName>
    <definedName name="Slicer_Health_Status">#N/A</definedName>
    <definedName name="Slicer_Region">#N/A</definedName>
  </definedNames>
  <calcPr calcId="191029"/>
  <pivotCaches>
    <pivotCache cacheId="2" r:id="rId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 i="1" l="1"/>
  <c r="L3" i="1" s="1"/>
  <c r="K4" i="1"/>
  <c r="L4" i="1" s="1"/>
  <c r="K5" i="1"/>
  <c r="L5" i="1" s="1"/>
  <c r="K6" i="1"/>
  <c r="L6" i="1" s="1"/>
  <c r="K7" i="1"/>
  <c r="L7" i="1" s="1"/>
  <c r="K8" i="1"/>
  <c r="L8" i="1" s="1"/>
  <c r="K9" i="1"/>
  <c r="L9" i="1" s="1"/>
  <c r="K10" i="1"/>
  <c r="L10" i="1" s="1"/>
  <c r="K11" i="1"/>
  <c r="L11" i="1" s="1"/>
  <c r="K12" i="1"/>
  <c r="L12" i="1" s="1"/>
  <c r="K13" i="1"/>
  <c r="L13" i="1" s="1"/>
  <c r="K14" i="1"/>
  <c r="L14" i="1" s="1"/>
  <c r="K15" i="1"/>
  <c r="L15" i="1" s="1"/>
  <c r="K16" i="1"/>
  <c r="L16" i="1" s="1"/>
  <c r="K17" i="1"/>
  <c r="L17" i="1" s="1"/>
  <c r="K18" i="1"/>
  <c r="L18" i="1" s="1"/>
  <c r="K19" i="1"/>
  <c r="L19" i="1" s="1"/>
  <c r="K20" i="1"/>
  <c r="L20" i="1" s="1"/>
  <c r="K21" i="1"/>
  <c r="L21" i="1" s="1"/>
  <c r="K22" i="1"/>
  <c r="L22" i="1" s="1"/>
  <c r="K23" i="1"/>
  <c r="L23" i="1" s="1"/>
  <c r="K24" i="1"/>
  <c r="L24" i="1" s="1"/>
  <c r="K25" i="1"/>
  <c r="L25" i="1" s="1"/>
  <c r="K26" i="1"/>
  <c r="L26" i="1" s="1"/>
  <c r="K27" i="1"/>
  <c r="L27" i="1" s="1"/>
  <c r="K28" i="1"/>
  <c r="L28" i="1" s="1"/>
  <c r="K29" i="1"/>
  <c r="L29" i="1" s="1"/>
  <c r="K30" i="1"/>
  <c r="L30" i="1" s="1"/>
  <c r="K31" i="1"/>
  <c r="L31" i="1" s="1"/>
  <c r="K32" i="1"/>
  <c r="L32" i="1" s="1"/>
  <c r="K33" i="1"/>
  <c r="L33" i="1" s="1"/>
  <c r="K34" i="1"/>
  <c r="L34" i="1" s="1"/>
  <c r="K35" i="1"/>
  <c r="L35" i="1" s="1"/>
  <c r="K36" i="1"/>
  <c r="L36" i="1" s="1"/>
  <c r="K37" i="1"/>
  <c r="L37" i="1" s="1"/>
  <c r="K38" i="1"/>
  <c r="L38" i="1" s="1"/>
  <c r="K39" i="1"/>
  <c r="L39" i="1" s="1"/>
  <c r="K40" i="1"/>
  <c r="L40" i="1" s="1"/>
  <c r="K41" i="1"/>
  <c r="L41" i="1" s="1"/>
  <c r="K42" i="1"/>
  <c r="L42" i="1" s="1"/>
  <c r="K43" i="1"/>
  <c r="L43" i="1" s="1"/>
  <c r="K44" i="1"/>
  <c r="L44" i="1" s="1"/>
  <c r="K45" i="1"/>
  <c r="L45" i="1" s="1"/>
  <c r="K46" i="1"/>
  <c r="L46" i="1" s="1"/>
  <c r="K47" i="1"/>
  <c r="L47" i="1" s="1"/>
  <c r="K48" i="1"/>
  <c r="L48" i="1" s="1"/>
  <c r="K49" i="1"/>
  <c r="L49" i="1" s="1"/>
  <c r="K50" i="1"/>
  <c r="L50" i="1" s="1"/>
  <c r="K51" i="1"/>
  <c r="L51" i="1" s="1"/>
  <c r="K52" i="1"/>
  <c r="L52" i="1" s="1"/>
  <c r="K53" i="1"/>
  <c r="L53" i="1" s="1"/>
  <c r="K54" i="1"/>
  <c r="L54" i="1" s="1"/>
  <c r="K55" i="1"/>
  <c r="L55" i="1" s="1"/>
  <c r="K56" i="1"/>
  <c r="L56" i="1" s="1"/>
  <c r="K57" i="1"/>
  <c r="L57" i="1" s="1"/>
  <c r="K58" i="1"/>
  <c r="L58" i="1" s="1"/>
  <c r="K59" i="1"/>
  <c r="L59" i="1" s="1"/>
  <c r="K60" i="1"/>
  <c r="L60" i="1" s="1"/>
  <c r="K61" i="1"/>
  <c r="L61" i="1" s="1"/>
  <c r="K62" i="1"/>
  <c r="L62" i="1" s="1"/>
  <c r="K63" i="1"/>
  <c r="L63" i="1" s="1"/>
  <c r="K64" i="1"/>
  <c r="L64" i="1" s="1"/>
  <c r="K65" i="1"/>
  <c r="L65" i="1" s="1"/>
  <c r="K66" i="1"/>
  <c r="L66" i="1" s="1"/>
  <c r="K67" i="1"/>
  <c r="L67" i="1" s="1"/>
  <c r="K68" i="1"/>
  <c r="L68" i="1" s="1"/>
  <c r="K69" i="1"/>
  <c r="L69" i="1" s="1"/>
  <c r="K70" i="1"/>
  <c r="L70" i="1" s="1"/>
  <c r="K71" i="1"/>
  <c r="L71" i="1" s="1"/>
  <c r="K72" i="1"/>
  <c r="L72" i="1" s="1"/>
  <c r="K73" i="1"/>
  <c r="L73" i="1" s="1"/>
  <c r="K74" i="1"/>
  <c r="L74" i="1" s="1"/>
  <c r="K75" i="1"/>
  <c r="L75" i="1" s="1"/>
  <c r="K76" i="1"/>
  <c r="L76" i="1" s="1"/>
  <c r="K77" i="1"/>
  <c r="L77" i="1" s="1"/>
  <c r="K78" i="1"/>
  <c r="L78" i="1" s="1"/>
  <c r="K79" i="1"/>
  <c r="L79" i="1" s="1"/>
  <c r="K80" i="1"/>
  <c r="L80" i="1" s="1"/>
  <c r="K81" i="1"/>
  <c r="L81" i="1" s="1"/>
  <c r="K82" i="1"/>
  <c r="L82" i="1" s="1"/>
  <c r="K83" i="1"/>
  <c r="L83" i="1" s="1"/>
  <c r="K84" i="1"/>
  <c r="L84" i="1" s="1"/>
  <c r="K85" i="1"/>
  <c r="L85" i="1" s="1"/>
  <c r="K86" i="1"/>
  <c r="L86" i="1" s="1"/>
  <c r="K87" i="1"/>
  <c r="L87" i="1" s="1"/>
  <c r="K88" i="1"/>
  <c r="L88" i="1" s="1"/>
  <c r="K89" i="1"/>
  <c r="L89" i="1" s="1"/>
  <c r="K90" i="1"/>
  <c r="L90" i="1" s="1"/>
  <c r="K91" i="1"/>
  <c r="L91" i="1" s="1"/>
  <c r="K92" i="1"/>
  <c r="L92" i="1" s="1"/>
  <c r="K93" i="1"/>
  <c r="L93" i="1" s="1"/>
  <c r="K94" i="1"/>
  <c r="L94" i="1" s="1"/>
  <c r="K95" i="1"/>
  <c r="L95" i="1" s="1"/>
  <c r="K96" i="1"/>
  <c r="L96" i="1" s="1"/>
  <c r="K97" i="1"/>
  <c r="L97" i="1" s="1"/>
  <c r="K98" i="1"/>
  <c r="L98" i="1" s="1"/>
  <c r="K99" i="1"/>
  <c r="L99" i="1" s="1"/>
  <c r="K100" i="1"/>
  <c r="L100" i="1" s="1"/>
  <c r="K101" i="1"/>
  <c r="L101" i="1" s="1"/>
  <c r="K2" i="1"/>
  <c r="L2" i="1" s="1"/>
</calcChain>
</file>

<file path=xl/sharedStrings.xml><?xml version="1.0" encoding="utf-8"?>
<sst xmlns="http://schemas.openxmlformats.org/spreadsheetml/2006/main" count="354" uniqueCount="134">
  <si>
    <t>ChildID</t>
  </si>
  <si>
    <t>Age_Months</t>
  </si>
  <si>
    <t>Gender</t>
  </si>
  <si>
    <t>Height_cm</t>
  </si>
  <si>
    <t>Weight_kg</t>
  </si>
  <si>
    <t>Daily_Fruit_Servings</t>
  </si>
  <si>
    <t>Daily_Veggie_Servings</t>
  </si>
  <si>
    <t>Daily_Sugar_Drinks</t>
  </si>
  <si>
    <t>ScreenTime_Hours</t>
  </si>
  <si>
    <t>Region</t>
  </si>
  <si>
    <t>C001</t>
  </si>
  <si>
    <t>Female</t>
  </si>
  <si>
    <t>South</t>
  </si>
  <si>
    <t>C002</t>
  </si>
  <si>
    <t>Central</t>
  </si>
  <si>
    <t>C003</t>
  </si>
  <si>
    <t>C004</t>
  </si>
  <si>
    <t>C005</t>
  </si>
  <si>
    <t>C006</t>
  </si>
  <si>
    <t>Male</t>
  </si>
  <si>
    <t>East</t>
  </si>
  <si>
    <t>C007</t>
  </si>
  <si>
    <t>C008</t>
  </si>
  <si>
    <t>C009</t>
  </si>
  <si>
    <t>North</t>
  </si>
  <si>
    <t>C010</t>
  </si>
  <si>
    <t>C011</t>
  </si>
  <si>
    <t>West</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</si>
  <si>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</si>
  <si>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</si>
  <si>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</si>
  <si>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</si>
  <si>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</si>
  <si>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</si>
  <si>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</si>
  <si>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</si>
  <si>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</si>
  <si>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</si>
  <si>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</si>
  <si>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</si>
  <si>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</si>
  <si>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</si>
  <si>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</si>
  <si>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</si>
  <si>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</si>
  <si>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</si>
  <si>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</si>
  <si>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</si>
  <si>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</si>
  <si>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</si>
  <si>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</si>
  <si>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</si>
  <si>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</si>
  <si>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</si>
  <si>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</si>
  <si>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</si>
  <si>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</si>
  <si>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</si>
  <si>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</si>
  <si>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</si>
  <si>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</si>
  <si>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</si>
  <si>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</si>
  <si>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</si>
  <si>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</si>
  <si>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</si>
  <si>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</si>
  <si>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</si>
  <si>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</si>
  <si>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</si>
  <si>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</si>
  <si>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</si>
  <si>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</si>
  <si>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</si>
  <si>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</si>
  <si>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</si>
  <si>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</si>
  <si>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</si>
  <si>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</si>
  <si>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</si>
  <si>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</si>
  <si>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</si>
  <si>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</si>
  <si>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</si>
  <si>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</si>
  <si>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</si>
  <si>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</si>
  <si>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</si>
  <si>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</si>
  <si>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</si>
  <si>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</si>
  <si>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</si>
  <si>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</si>
  <si>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</si>
  <si>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</si>
  <si>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</si>
  <si>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</si>
  <si>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</si>
  <si>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</si>
  <si>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</si>
  <si>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</si>
  <si>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</si>
  <si>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</si>
  <si>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</si>
  <si>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</si>
  <si>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</si>
  <si>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</si>
  <si>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</si>
  <si>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</si>
  <si>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</si>
  <si>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</si>
  <si>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</si>
  <si>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</si>
  <si>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</si>
  <si>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</si>
  <si>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</si>
  <si>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</si>
  <si>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Health Status</t>
  </si>
  <si>
    <t>BMI</t>
  </si>
  <si>
    <t>Average of ScreenTime_Hours</t>
  </si>
  <si>
    <t>Average of BMI</t>
  </si>
  <si>
    <t>Count of ChildID</t>
  </si>
  <si>
    <t>Row Labels</t>
  </si>
  <si>
    <t>Grand Total</t>
  </si>
  <si>
    <t>Column Labels</t>
  </si>
  <si>
    <t>Healthy Weight</t>
  </si>
  <si>
    <t>Under Weight</t>
  </si>
  <si>
    <t>Health Status by Age Group</t>
  </si>
  <si>
    <t>25-36</t>
  </si>
  <si>
    <t>37-48</t>
  </si>
  <si>
    <t>49-60</t>
  </si>
  <si>
    <t>Average of Daily_Fruit_Servings</t>
  </si>
  <si>
    <t>KPI'S</t>
  </si>
  <si>
    <t>Average of Daily_Sugar_Drinks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</si>
</sst>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7">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1" xfId="0" applyBorder="1"/>
    <xf numFmtId="0" fontId="0" fillId="0" borderId="6" xfId="0" applyBorder="1"/>
    <xf numFmtId="0" fontId="0" fillId="0" borderId="7" xfId="0" applyBorder="1"/>
    <xf numFmtId="0" fontId="0" fillId="0" borderId="8" xfId="0" applyBorder="1"/>
    <xf numFmtId="0" fontId="0" fillId="0" borderId="9" xfId="0" applyBorder="1"/>
    <xf numFmtId="2" fontId="0" fillId="0" borderId="3" xfId="0" applyNumberFormat="1" applyBorder="1"/>
    <xf numFmtId="0" fontId="0" fillId="0" borderId="0" xfId="0" applyNumberFormat="1"/>
    <xf numFmtId="0" fontId="0" fillId="0" borderId="0" xfId="0" pivotButton="1"/>
    <xf numFmtId="2" fontId="0" fillId="0" borderId="0" xfId="0" applyNumberFormat="1"/>
    <xf numFmtId="0" fontId="0" fillId="0" borderId="0" xfId="0" applyAlignment="1">
      <alignment horizontal="left"/>
    </xf>
    <xf numFmtId="0" fontId="0" fillId="2" borderId="0" xfId="0" applyFill="1" applyAlignment="1">
      <alignment horizontal="center"/>
    </xf>
    <xf numFmtId="0" fontId="0" fillId="0" borderId="0" xfId="0" applyAlignment="1">
      <alignment wrapText="1"/>
    </xf>
  </cellXfs>
  <cellStyles count="1">
    <cellStyle name="Normal" xfId="0" builtinId="0"/>
  </cellStyles>
  <dxfs count="107">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numFmt numFmtId="2" formatCode="0.00"/>
    </dxf>
    <dxf>
      <numFmt numFmtId="0" formatCode="General"/>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[day3_excel_challenge.xlsx]Pivot_Analysis!PivotTable8</c:name>
    <c:fmtId val="1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Pivot_Analysis!$B$8:$B$9</c:f>
              <c:strCache>
                <c:ptCount val="1"/>
                <c:pt idx="0">
                  <c:v>Healthy Weight</c:v>
                </c:pt>
              </c:strCache>
            </c:strRef>
          </c:tx>
          <c:spPr>
            <a:solidFill>
              <a:schemeClr val="accent1"/>
            </a:solidFill>
            <a:ln>
              <a:noFill/>
            </a:ln>
            <a:effectLst/>
            <a:sp3d/>
          </c:spPr>
          <c:invertIfNegative val="0"/>
          <c:cat>
            <c:strRef>
              <c:f>Pivot_Analysis!$A$10:$A$13</c:f>
              <c:strCache>
                <c:ptCount val="3"/>
                <c:pt idx="0">
                  <c:v>25-36</c:v>
                </c:pt>
                <c:pt idx="1">
                  <c:v>37-48</c:v>
                </c:pt>
                <c:pt idx="2">
                  <c:v>49-60</c:v>
                </c:pt>
              </c:strCache>
            </c:strRef>
          </c:cat>
          <c:val>
            <c:numRef>
              <c:f>Pivot_Analysis!$B$10:$B$13</c:f>
              <c:numCache>
                <c:formatCode>General</c:formatCode>
                <c:ptCount val="3"/>
                <c:pt idx="0">
                  <c:v>6</c:v>
                </c:pt>
                <c:pt idx="1">
                  <c:v>8</c:v>
                </c:pt>
                <c:pt idx="2">
                  <c:v>10</c:v>
                </c:pt>
              </c:numCache>
            </c:numRef>
          </c:val>
          <c:extLst>
            <c:ext xmlns:c16="http://schemas.microsoft.com/office/drawing/2014/chart" uri="{C3380CC4-5D6E-409C-BE32-E72D297353CC}">
              <c16:uniqueId val="{00000000-B5E7-4BBA-9AE9-655E25A0DABF}"/>
            </c:ext>
          </c:extLst>
        </c:ser>
        <c:ser>
          <c:idx val="1"/>
          <c:order val="1"/>
          <c:tx>
            <c:strRef>
              <c:f>Pivot_Analysis!$C$8:$C$9</c:f>
              <c:strCache>
                <c:ptCount val="1"/>
                <c:pt idx="0">
                  <c:v>Under Weight</c:v>
                </c:pt>
              </c:strCache>
            </c:strRef>
          </c:tx>
          <c:spPr>
            <a:solidFill>
              <a:schemeClr val="accent2"/>
            </a:solidFill>
            <a:ln>
              <a:noFill/>
            </a:ln>
            <a:effectLst/>
            <a:sp3d/>
          </c:spPr>
          <c:invertIfNegative val="0"/>
          <c:cat>
            <c:strRef>
              <c:f>Pivot_Analysis!$A$10:$A$13</c:f>
              <c:strCache>
                <c:ptCount val="3"/>
                <c:pt idx="0">
                  <c:v>25-36</c:v>
                </c:pt>
                <c:pt idx="1">
                  <c:v>37-48</c:v>
                </c:pt>
                <c:pt idx="2">
                  <c:v>49-60</c:v>
                </c:pt>
              </c:strCache>
            </c:strRef>
          </c:cat>
          <c:val>
            <c:numRef>
              <c:f>Pivot_Analysis!$C$10:$C$13</c:f>
              <c:numCache>
                <c:formatCode>General</c:formatCode>
                <c:ptCount val="3"/>
                <c:pt idx="0">
                  <c:v>33</c:v>
                </c:pt>
                <c:pt idx="1">
                  <c:v>22</c:v>
                </c:pt>
                <c:pt idx="2">
                  <c:v>21</c:v>
                </c:pt>
              </c:numCache>
            </c:numRef>
          </c:val>
          <c:extLst>
            <c:ext xmlns:c16="http://schemas.microsoft.com/office/drawing/2014/chart" uri="{C3380CC4-5D6E-409C-BE32-E72D297353CC}">
              <c16:uniqueId val="{00000001-B5E7-4BBA-9AE9-655E25A0DABF}"/>
            </c:ext>
          </c:extLst>
        </c:ser>
        <c:dLbls>
          <c:showLegendKey val="0"/>
          <c:showVal val="0"/>
          <c:showCatName val="0"/>
          <c:showSerName val="0"/>
          <c:showPercent val="0"/>
          <c:showBubbleSize val="0"/>
        </c:dLbls>
        <c:gapWidth val="150"/>
        <c:shape val="box"/>
        <c:axId val="1447267744"/>
        <c:axId val="1447264864"/>
        <c:axId val="0"/>
      </c:bar3DChart>
      <c:catAx>
        <c:axId val="1447267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264864"/>
        <c:crosses val="autoZero"/>
        <c:auto val="1"/>
        <c:lblAlgn val="ctr"/>
        <c:lblOffset val="100"/>
        <c:noMultiLvlLbl val="0"/>
      </c:catAx>
      <c:valAx>
        <c:axId val="144726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26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[day3_excel_challenge.xlsx]Pivot_Analysis!PivotTable9</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Pivot_Analysis!$B$17:$B$18</c:f>
              <c:strCache>
                <c:ptCount val="1"/>
                <c:pt idx="0">
                  <c:v>0</c:v>
                </c:pt>
              </c:strCache>
            </c:strRef>
          </c:tx>
          <c:spPr>
            <a:solidFill>
              <a:schemeClr val="accent1"/>
            </a:solidFill>
            <a:ln>
              <a:noFill/>
            </a:ln>
            <a:effectLst/>
          </c:spPr>
          <c:invertIfNegative val="0"/>
          <c:cat>
            <c:strRef>
              <c:f>Pivot_Analysis!$A$19:$A$24</c:f>
              <c:strCache>
                <c:ptCount val="5"/>
                <c:pt idx="0">
                  <c:v>0</c:v>
                </c:pt>
                <c:pt idx="1">
                  <c:v>1</c:v>
                </c:pt>
                <c:pt idx="2">
                  <c:v>2</c:v>
                </c:pt>
                <c:pt idx="3">
                  <c:v>3</c:v>
                </c:pt>
                <c:pt idx="4">
                  <c:v>4</c:v>
                </c:pt>
              </c:strCache>
            </c:strRef>
          </c:cat>
          <c:val>
            <c:numRef>
              <c:f>Pivot_Analysis!$B$19:$B$24</c:f>
              <c:numCache>
                <c:formatCode>0.00</c:formatCode>
                <c:ptCount val="5"/>
                <c:pt idx="0">
                  <c:v>19.016420427584645</c:v>
                </c:pt>
                <c:pt idx="1">
                  <c:v>16.35248862763348</c:v>
                </c:pt>
                <c:pt idx="2">
                  <c:v>18.304030863042058</c:v>
                </c:pt>
                <c:pt idx="3">
                  <c:v>18.791232347431109</c:v>
                </c:pt>
                <c:pt idx="4">
                  <c:v>17.326942725016981</c:v>
                </c:pt>
              </c:numCache>
            </c:numRef>
          </c:val>
          <c:extLst>
            <c:ext xmlns:c16="http://schemas.microsoft.com/office/drawing/2014/chart" uri="{C3380CC4-5D6E-409C-BE32-E72D297353CC}">
              <c16:uniqueId val="{00000000-24ED-44C9-9A80-C386E8DD9880}"/>
            </c:ext>
          </c:extLst>
        </c:ser>
        <c:ser>
          <c:idx val="1"/>
          <c:order val="1"/>
          <c:tx>
            <c:strRef>
              <c:f>Pivot_Analysis!$C$17:$C$18</c:f>
              <c:strCache>
                <c:ptCount val="1"/>
                <c:pt idx="0">
                  <c:v>1</c:v>
                </c:pt>
              </c:strCache>
            </c:strRef>
          </c:tx>
          <c:spPr>
            <a:solidFill>
              <a:schemeClr val="accent2"/>
            </a:solidFill>
            <a:ln>
              <a:noFill/>
            </a:ln>
            <a:effectLst/>
          </c:spPr>
          <c:invertIfNegative val="0"/>
          <c:cat>
            <c:strRef>
              <c:f>Pivot_Analysis!$A$19:$A$24</c:f>
              <c:strCache>
                <c:ptCount val="5"/>
                <c:pt idx="0">
                  <c:v>0</c:v>
                </c:pt>
                <c:pt idx="1">
                  <c:v>1</c:v>
                </c:pt>
                <c:pt idx="2">
                  <c:v>2</c:v>
                </c:pt>
                <c:pt idx="3">
                  <c:v>3</c:v>
                </c:pt>
                <c:pt idx="4">
                  <c:v>4</c:v>
                </c:pt>
              </c:strCache>
            </c:strRef>
          </c:cat>
          <c:val>
            <c:numRef>
              <c:f>Pivot_Analysis!$C$19:$C$24</c:f>
              <c:numCache>
                <c:formatCode>0.00</c:formatCode>
                <c:ptCount val="5"/>
                <c:pt idx="0">
                  <c:v>17.280117596560103</c:v>
                </c:pt>
                <c:pt idx="1">
                  <c:v>16.201722814253078</c:v>
                </c:pt>
                <c:pt idx="2">
                  <c:v>13.414804870225169</c:v>
                </c:pt>
                <c:pt idx="3">
                  <c:v>15.547827345547695</c:v>
                </c:pt>
                <c:pt idx="4">
                  <c:v>16.827714126941665</c:v>
                </c:pt>
              </c:numCache>
            </c:numRef>
          </c:val>
          <c:extLst>
            <c:ext xmlns:c16="http://schemas.microsoft.com/office/drawing/2014/chart" uri="{C3380CC4-5D6E-409C-BE32-E72D297353CC}">
              <c16:uniqueId val="{00000001-24ED-44C9-9A80-C386E8DD9880}"/>
            </c:ext>
          </c:extLst>
        </c:ser>
        <c:ser>
          <c:idx val="2"/>
          <c:order val="2"/>
          <c:tx>
            <c:strRef>
              <c:f>Pivot_Analysis!$D$17:$D$18</c:f>
              <c:strCache>
                <c:ptCount val="1"/>
                <c:pt idx="0">
                  <c:v>2</c:v>
                </c:pt>
              </c:strCache>
            </c:strRef>
          </c:tx>
          <c:spPr>
            <a:solidFill>
              <a:schemeClr val="accent3"/>
            </a:solidFill>
            <a:ln>
              <a:noFill/>
            </a:ln>
            <a:effectLst/>
          </c:spPr>
          <c:invertIfNegative val="0"/>
          <c:cat>
            <c:strRef>
              <c:f>Pivot_Analysis!$A$19:$A$24</c:f>
              <c:strCache>
                <c:ptCount val="5"/>
                <c:pt idx="0">
                  <c:v>0</c:v>
                </c:pt>
                <c:pt idx="1">
                  <c:v>1</c:v>
                </c:pt>
                <c:pt idx="2">
                  <c:v>2</c:v>
                </c:pt>
                <c:pt idx="3">
                  <c:v>3</c:v>
                </c:pt>
                <c:pt idx="4">
                  <c:v>4</c:v>
                </c:pt>
              </c:strCache>
            </c:strRef>
          </c:cat>
          <c:val>
            <c:numRef>
              <c:f>Pivot_Analysis!$D$19:$D$24</c:f>
              <c:numCache>
                <c:formatCode>0.00</c:formatCode>
                <c:ptCount val="5"/>
                <c:pt idx="0">
                  <c:v>16.27305047255906</c:v>
                </c:pt>
                <c:pt idx="1">
                  <c:v>17.145357431721354</c:v>
                </c:pt>
                <c:pt idx="2">
                  <c:v>17.219114471226323</c:v>
                </c:pt>
                <c:pt idx="3">
                  <c:v>18.37904051788599</c:v>
                </c:pt>
                <c:pt idx="4">
                  <c:v>16.79563742079436</c:v>
                </c:pt>
              </c:numCache>
            </c:numRef>
          </c:val>
          <c:extLst>
            <c:ext xmlns:c16="http://schemas.microsoft.com/office/drawing/2014/chart" uri="{C3380CC4-5D6E-409C-BE32-E72D297353CC}">
              <c16:uniqueId val="{00000002-24ED-44C9-9A80-C386E8DD9880}"/>
            </c:ext>
          </c:extLst>
        </c:ser>
        <c:ser>
          <c:idx val="3"/>
          <c:order val="3"/>
          <c:tx>
            <c:strRef>
              <c:f>Pivot_Analysis!$E$17:$E$18</c:f>
              <c:strCache>
                <c:ptCount val="1"/>
                <c:pt idx="0">
                  <c:v>3</c:v>
                </c:pt>
              </c:strCache>
            </c:strRef>
          </c:tx>
          <c:spPr>
            <a:solidFill>
              <a:schemeClr val="accent4"/>
            </a:solidFill>
            <a:ln>
              <a:noFill/>
            </a:ln>
            <a:effectLst/>
          </c:spPr>
          <c:invertIfNegative val="0"/>
          <c:cat>
            <c:strRef>
              <c:f>Pivot_Analysis!$A$19:$A$24</c:f>
              <c:strCache>
                <c:ptCount val="5"/>
                <c:pt idx="0">
                  <c:v>0</c:v>
                </c:pt>
                <c:pt idx="1">
                  <c:v>1</c:v>
                </c:pt>
                <c:pt idx="2">
                  <c:v>2</c:v>
                </c:pt>
                <c:pt idx="3">
                  <c:v>3</c:v>
                </c:pt>
                <c:pt idx="4">
                  <c:v>4</c:v>
                </c:pt>
              </c:strCache>
            </c:strRef>
          </c:cat>
          <c:val>
            <c:numRef>
              <c:f>Pivot_Analysis!$E$19:$E$24</c:f>
              <c:numCache>
                <c:formatCode>0.00</c:formatCode>
                <c:ptCount val="5"/>
                <c:pt idx="0">
                  <c:v>17.104134635526798</c:v>
                </c:pt>
                <c:pt idx="1">
                  <c:v>15.486892118792989</c:v>
                </c:pt>
                <c:pt idx="3">
                  <c:v>19.105850849662808</c:v>
                </c:pt>
                <c:pt idx="4">
                  <c:v>16.427913820241738</c:v>
                </c:pt>
              </c:numCache>
            </c:numRef>
          </c:val>
          <c:extLst>
            <c:ext xmlns:c16="http://schemas.microsoft.com/office/drawing/2014/chart" uri="{C3380CC4-5D6E-409C-BE32-E72D297353CC}">
              <c16:uniqueId val="{00000003-24ED-44C9-9A80-C386E8DD9880}"/>
            </c:ext>
          </c:extLst>
        </c:ser>
        <c:ser>
          <c:idx val="4"/>
          <c:order val="4"/>
          <c:tx>
            <c:strRef>
              <c:f>Pivot_Analysis!$F$17:$F$18</c:f>
              <c:strCache>
                <c:ptCount val="1"/>
                <c:pt idx="0">
                  <c:v>4</c:v>
                </c:pt>
              </c:strCache>
            </c:strRef>
          </c:tx>
          <c:spPr>
            <a:solidFill>
              <a:schemeClr val="accent5"/>
            </a:solidFill>
            <a:ln>
              <a:noFill/>
            </a:ln>
            <a:effectLst/>
          </c:spPr>
          <c:invertIfNegative val="0"/>
          <c:cat>
            <c:strRef>
              <c:f>Pivot_Analysis!$A$19:$A$24</c:f>
              <c:strCache>
                <c:ptCount val="5"/>
                <c:pt idx="0">
                  <c:v>0</c:v>
                </c:pt>
                <c:pt idx="1">
                  <c:v>1</c:v>
                </c:pt>
                <c:pt idx="2">
                  <c:v>2</c:v>
                </c:pt>
                <c:pt idx="3">
                  <c:v>3</c:v>
                </c:pt>
                <c:pt idx="4">
                  <c:v>4</c:v>
                </c:pt>
              </c:strCache>
            </c:strRef>
          </c:cat>
          <c:val>
            <c:numRef>
              <c:f>Pivot_Analysis!$F$19:$F$24</c:f>
              <c:numCache>
                <c:formatCode>0.00</c:formatCode>
                <c:ptCount val="5"/>
                <c:pt idx="0">
                  <c:v>18.137073212360072</c:v>
                </c:pt>
                <c:pt idx="1">
                  <c:v>17.548662976364966</c:v>
                </c:pt>
                <c:pt idx="2">
                  <c:v>17.104693630968079</c:v>
                </c:pt>
                <c:pt idx="3">
                  <c:v>15.747317770125974</c:v>
                </c:pt>
                <c:pt idx="4">
                  <c:v>20.023541521230683</c:v>
                </c:pt>
              </c:numCache>
            </c:numRef>
          </c:val>
          <c:extLst>
            <c:ext xmlns:c16="http://schemas.microsoft.com/office/drawing/2014/chart" uri="{C3380CC4-5D6E-409C-BE32-E72D297353CC}">
              <c16:uniqueId val="{00000004-24ED-44C9-9A80-C386E8DD9880}"/>
            </c:ext>
          </c:extLst>
        </c:ser>
        <c:dLbls>
          <c:showLegendKey val="0"/>
          <c:showVal val="0"/>
          <c:showCatName val="0"/>
          <c:showSerName val="0"/>
          <c:showPercent val="0"/>
          <c:showBubbleSize val="0"/>
        </c:dLbls>
        <c:gapWidth val="150"/>
        <c:overlap val="100"/>
        <c:axId val="1249785968"/>
        <c:axId val="1249784528"/>
      </c:barChart>
      <c:catAx>
        <c:axId val="124978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784528"/>
        <c:crosses val="autoZero"/>
        <c:auto val="1"/>
        <c:lblAlgn val="ctr"/>
        <c:lblOffset val="100"/>
        <c:noMultiLvlLbl val="0"/>
      </c:catAx>
      <c:valAx>
        <c:axId val="12497845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785968"/>
        <c:crosses val="autoZero"/>
        <c:crossBetween val="between"/>
      </c:valAx>
      <c:spPr>
        <a:noFill/>
        <a:ln>
          <a:noFill/>
        </a:ln>
        <a:effectLst/>
      </c:spPr>
    </c:plotArea>
    <c:legend>
      <c:legendPos val="r"/>
      <c:layout>
        <c:manualLayout>
          <c:xMode val="edge"/>
          <c:yMode val="edge"/>
          <c:x val="0.7104166666666667"/>
          <c:y val="0.27568241469816274"/>
          <c:w val="0.27291666666666664"/>
          <c:h val="0.45789406532516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[day3_excel_challenge.xlsx]Pivot_Analysis!PivotTable10</c:name>
    <c:fmtId val="45"/>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Pivot_Analysis!$H$7</c:f>
              <c:strCache>
                <c:ptCount val="1"/>
                <c:pt idx="0">
                  <c:v>Average of BMI</c:v>
                </c:pt>
              </c:strCache>
            </c:strRef>
          </c:tx>
          <c:spPr>
            <a:solidFill>
              <a:schemeClr val="accent1"/>
            </a:solidFill>
            <a:ln>
              <a:noFill/>
            </a:ln>
            <a:effectLst/>
            <a:sp3d/>
          </c:spPr>
          <c:invertIfNegative val="0"/>
          <c:cat>
            <c:strRef>
              <c:f>Pivot_Analysis!$G$8:$G$13</c:f>
              <c:strCache>
                <c:ptCount val="5"/>
                <c:pt idx="0">
                  <c:v>Central</c:v>
                </c:pt>
                <c:pt idx="1">
                  <c:v>East</c:v>
                </c:pt>
                <c:pt idx="2">
                  <c:v>North</c:v>
                </c:pt>
                <c:pt idx="3">
                  <c:v>South</c:v>
                </c:pt>
                <c:pt idx="4">
                  <c:v>West</c:v>
                </c:pt>
              </c:strCache>
            </c:strRef>
          </c:cat>
          <c:val>
            <c:numRef>
              <c:f>Pivot_Analysis!$H$8:$H$13</c:f>
              <c:numCache>
                <c:formatCode>0.00</c:formatCode>
                <c:ptCount val="5"/>
                <c:pt idx="0">
                  <c:v>17.280514841003029</c:v>
                </c:pt>
                <c:pt idx="1">
                  <c:v>16.371172019628016</c:v>
                </c:pt>
                <c:pt idx="2">
                  <c:v>16.789441132947946</c:v>
                </c:pt>
                <c:pt idx="3">
                  <c:v>17.188810268120474</c:v>
                </c:pt>
                <c:pt idx="4">
                  <c:v>17.912368815419139</c:v>
                </c:pt>
              </c:numCache>
            </c:numRef>
          </c:val>
          <c:extLst>
            <c:ext xmlns:c16="http://schemas.microsoft.com/office/drawing/2014/chart" uri="{C3380CC4-5D6E-409C-BE32-E72D297353CC}">
              <c16:uniqueId val="{00000000-2328-418E-9FC7-702BD5ADBA65}"/>
            </c:ext>
          </c:extLst>
        </c:ser>
        <c:ser>
          <c:idx val="1"/>
          <c:order val="1"/>
          <c:tx>
            <c:strRef>
              <c:f>Pivot_Analysis!$I$7</c:f>
              <c:strCache>
                <c:ptCount val="1"/>
                <c:pt idx="0">
                  <c:v>Average of Daily_Fruit_Servings</c:v>
                </c:pt>
              </c:strCache>
            </c:strRef>
          </c:tx>
          <c:spPr>
            <a:solidFill>
              <a:schemeClr val="accent2"/>
            </a:solidFill>
            <a:ln>
              <a:noFill/>
            </a:ln>
            <a:effectLst/>
            <a:sp3d/>
          </c:spPr>
          <c:invertIfNegative val="0"/>
          <c:cat>
            <c:strRef>
              <c:f>Pivot_Analysis!$G$8:$G$13</c:f>
              <c:strCache>
                <c:ptCount val="5"/>
                <c:pt idx="0">
                  <c:v>Central</c:v>
                </c:pt>
                <c:pt idx="1">
                  <c:v>East</c:v>
                </c:pt>
                <c:pt idx="2">
                  <c:v>North</c:v>
                </c:pt>
                <c:pt idx="3">
                  <c:v>South</c:v>
                </c:pt>
                <c:pt idx="4">
                  <c:v>West</c:v>
                </c:pt>
              </c:strCache>
            </c:strRef>
          </c:cat>
          <c:val>
            <c:numRef>
              <c:f>Pivot_Analysis!$I$8:$I$13</c:f>
              <c:numCache>
                <c:formatCode>0.00</c:formatCode>
                <c:ptCount val="5"/>
                <c:pt idx="0">
                  <c:v>2.3333333333333335</c:v>
                </c:pt>
                <c:pt idx="1">
                  <c:v>2.1428571428571428</c:v>
                </c:pt>
                <c:pt idx="2">
                  <c:v>2</c:v>
                </c:pt>
                <c:pt idx="3">
                  <c:v>2.5</c:v>
                </c:pt>
                <c:pt idx="4">
                  <c:v>1.5833333333333333</c:v>
                </c:pt>
              </c:numCache>
            </c:numRef>
          </c:val>
          <c:extLst>
            <c:ext xmlns:c16="http://schemas.microsoft.com/office/drawing/2014/chart" uri="{C3380CC4-5D6E-409C-BE32-E72D297353CC}">
              <c16:uniqueId val="{00000001-2328-418E-9FC7-702BD5ADBA65}"/>
            </c:ext>
          </c:extLst>
        </c:ser>
        <c:dLbls>
          <c:showLegendKey val="0"/>
          <c:showVal val="0"/>
          <c:showCatName val="0"/>
          <c:showSerName val="0"/>
          <c:showPercent val="0"/>
          <c:showBubbleSize val="0"/>
        </c:dLbls>
        <c:gapWidth val="150"/>
        <c:shape val="box"/>
        <c:axId val="1249790768"/>
        <c:axId val="1249783568"/>
        <c:axId val="0"/>
      </c:bar3DChart>
      <c:catAx>
        <c:axId val="1249790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783568"/>
        <c:crosses val="autoZero"/>
        <c:auto val="1"/>
        <c:lblAlgn val="ctr"/>
        <c:lblOffset val="100"/>
        <c:noMultiLvlLbl val="0"/>
      </c:catAx>
      <c:valAx>
        <c:axId val="124978356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790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[day3_excel_challenge.xlsx]Pivot_Analysis!PivotTable11</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Pivot_Analysis!$J$17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266-4613-B1E4-2F4DD8C7809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266-4613-B1E4-2F4DD8C7809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266-4613-B1E4-2F4DD8C7809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266-4613-B1E4-2F4DD8C7809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266-4613-B1E4-2F4DD8C780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Pivot_Analysis!$I$18:$I$23</c:f>
              <c:strCache>
                <c:ptCount val="5"/>
                <c:pt idx="0">
                  <c:v>Central</c:v>
                </c:pt>
                <c:pt idx="1">
                  <c:v>East</c:v>
                </c:pt>
                <c:pt idx="2">
                  <c:v>North</c:v>
                </c:pt>
                <c:pt idx="3">
                  <c:v>South</c:v>
                </c:pt>
                <c:pt idx="4">
                  <c:v>West</c:v>
                </c:pt>
              </c:strCache>
            </c:strRef>
          </c:cat>
          <c:val>
            <c:numRef>
              <c:f>Pivot_Analysis!$J$18:$J$23</c:f>
              <c:numCache>
                <c:formatCode>0.00</c:formatCode>
                <c:ptCount val="5"/>
                <c:pt idx="0">
                  <c:v>17.280514841003029</c:v>
                </c:pt>
                <c:pt idx="1">
                  <c:v>16.371172019628016</c:v>
                </c:pt>
                <c:pt idx="2">
                  <c:v>16.789441132947946</c:v>
                </c:pt>
                <c:pt idx="3">
                  <c:v>17.188810268120474</c:v>
                </c:pt>
                <c:pt idx="4">
                  <c:v>17.912368815419139</c:v>
                </c:pt>
              </c:numCache>
            </c:numRef>
          </c:val>
          <c:extLst>
            <c:ext xmlns:c16="http://schemas.microsoft.com/office/drawing/2014/chart" uri="{C3380CC4-5D6E-409C-BE32-E72D297353CC}">
              <c16:uniqueId val="{0000000A-3266-4613-B1E4-2F4DD8C7809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533401</xdr:colOff>
      <xdr:row>4</xdr:row>
      <xdr:rowOff>76200</xdr:rowOff>
    </xdr:from>
    <xdr:to>
      <xdr:col>20</xdr:col>
      <xdr:colOff>219075</xdr:colOff>
      <xdr:row>39</xdr:row>
      <xdr:rowOff>85724</xdr:rowOff>
    </xdr:to>
    <xdr:sp macro="" textlink="">
      <xdr:nvSpPr>
        <xdr:cNvPr id="3" name="Rectangle: Rounded Corners 2">
          <a:extLst>
            <a:ext uri="{FF2B5EF4-FFF2-40B4-BE49-F238E27FC236}">
              <a16:creationId xmlns:a16="http://schemas.microsoft.com/office/drawing/2014/main" id="{A583E2EB-6829-4D5A-A1C7-CACEB1EA6CF0}"/>
            </a:ext>
          </a:extLst>
        </xdr:cNvPr>
        <xdr:cNvSpPr/>
      </xdr:nvSpPr>
      <xdr:spPr>
        <a:xfrm>
          <a:off x="1752601" y="800100"/>
          <a:ext cx="10658474" cy="6343649"/>
        </a:xfrm>
        <a:prstGeom prst="roundRect">
          <a:avLst>
            <a:gd name="adj" fmla="val 1116"/>
          </a:avLst>
        </a:prstGeom>
        <a:solidFill>
          <a:schemeClr val="accent2">
            <a:lumMod val="40000"/>
            <a:lumOff val="60000"/>
          </a:schemeClr>
        </a:solidFill>
        <a:ln w="22225">
          <a:solidFill>
            <a:schemeClr val="accent5">
              <a:lumMod val="7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b="1" i="1"/>
        </a:p>
      </xdr:txBody>
    </xdr:sp>
    <xdr:clientData/>
  </xdr:twoCellAnchor>
  <xdr:twoCellAnchor>
    <xdr:from>
      <xdr:col>5</xdr:col>
      <xdr:colOff>54429</xdr:colOff>
      <xdr:row>5</xdr:row>
      <xdr:rowOff>54428</xdr:rowOff>
    </xdr:from>
    <xdr:to>
      <xdr:col>18</xdr:col>
      <xdr:colOff>511629</xdr:colOff>
      <xdr:row>8</xdr:row>
      <xdr:rowOff>119743</xdr:rowOff>
    </xdr:to>
    <xdr:sp macro="" textlink="">
      <xdr:nvSpPr>
        <xdr:cNvPr id="5" name="TextBox 4">
          <a:extLst>
            <a:ext uri="{FF2B5EF4-FFF2-40B4-BE49-F238E27FC236}">
              <a16:creationId xmlns:a16="http://schemas.microsoft.com/office/drawing/2014/main" id="{E58C8263-170E-798C-BA01-0D93D11F7A74}"/>
            </a:ext>
          </a:extLst>
        </xdr:cNvPr>
        <xdr:cNvSpPr txBox="1"/>
      </xdr:nvSpPr>
      <xdr:spPr>
        <a:xfrm>
          <a:off x="3102429" y="979714"/>
          <a:ext cx="8382000" cy="6204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3600" b="1" i="1">
              <a:effectLst/>
            </a:rPr>
            <a:t>Child health</a:t>
          </a:r>
          <a:r>
            <a:rPr lang="en-IN" sz="3600" b="1" i="1" baseline="0">
              <a:effectLst/>
            </a:rPr>
            <a:t> analysis dashboard</a:t>
          </a:r>
          <a:endParaRPr lang="en-IN" sz="3600" b="1" i="1">
            <a:effectLst/>
          </a:endParaRPr>
        </a:p>
        <a:p>
          <a:endParaRPr lang="en-IN" sz="1100"/>
        </a:p>
      </xdr:txBody>
    </xdr:sp>
    <xdr:clientData/>
  </xdr:twoCellAnchor>
  <xdr:twoCellAnchor editAs="absolute">
    <xdr:from>
      <xdr:col>3</xdr:col>
      <xdr:colOff>97971</xdr:colOff>
      <xdr:row>9</xdr:row>
      <xdr:rowOff>32658</xdr:rowOff>
    </xdr:from>
    <xdr:to>
      <xdr:col>6</xdr:col>
      <xdr:colOff>10886</xdr:colOff>
      <xdr:row>16</xdr:row>
      <xdr:rowOff>10886</xdr:rowOff>
    </xdr:to>
    <mc:AlternateContent xmlns:mc="http://schemas.openxmlformats.org/markup-compatibility/2006">
      <mc:Choice xmlns:sle15="http://schemas.microsoft.com/office/drawing/2012/slicer" Requires="sle15">
        <xdr:graphicFrame macro="">
          <xdr:nvGraphicFramePr>
            <xdr:cNvPr id="8" name="Gender 1">
              <a:extLst>
                <a:ext uri="{FF2B5EF4-FFF2-40B4-BE49-F238E27FC236}">
                  <a16:creationId xmlns:a16="http://schemas.microsoft.com/office/drawing/2014/main" id="{DB1C219C-A9B6-4930-9EC2-FCBFD931B66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926771" y="1661433"/>
              <a:ext cx="1741715" cy="124505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76200</xdr:colOff>
      <xdr:row>16</xdr:row>
      <xdr:rowOff>89264</xdr:rowOff>
    </xdr:from>
    <xdr:to>
      <xdr:col>6</xdr:col>
      <xdr:colOff>0</xdr:colOff>
      <xdr:row>26</xdr:row>
      <xdr:rowOff>87085</xdr:rowOff>
    </xdr:to>
    <mc:AlternateContent xmlns:mc="http://schemas.openxmlformats.org/markup-compatibility/2006">
      <mc:Choice xmlns:sle15="http://schemas.microsoft.com/office/drawing/2012/slicer" Requires="sle15">
        <xdr:graphicFrame macro="">
          <xdr:nvGraphicFramePr>
            <xdr:cNvPr id="10" name="Region 1">
              <a:extLst>
                <a:ext uri="{FF2B5EF4-FFF2-40B4-BE49-F238E27FC236}">
                  <a16:creationId xmlns:a16="http://schemas.microsoft.com/office/drawing/2014/main" id="{32B40E72-2B3B-473B-B9FE-76BBE168A78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905000" y="2984864"/>
              <a:ext cx="1752600" cy="180757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43543</xdr:colOff>
      <xdr:row>26</xdr:row>
      <xdr:rowOff>132806</xdr:rowOff>
    </xdr:from>
    <xdr:to>
      <xdr:col>5</xdr:col>
      <xdr:colOff>576943</xdr:colOff>
      <xdr:row>37</xdr:row>
      <xdr:rowOff>141516</xdr:rowOff>
    </xdr:to>
    <mc:AlternateContent xmlns:mc="http://schemas.openxmlformats.org/markup-compatibility/2006">
      <mc:Choice xmlns:sle15="http://schemas.microsoft.com/office/drawing/2012/slicer" Requires="sle15">
        <xdr:graphicFrame macro="">
          <xdr:nvGraphicFramePr>
            <xdr:cNvPr id="11" name="Health Status 1">
              <a:extLst>
                <a:ext uri="{FF2B5EF4-FFF2-40B4-BE49-F238E27FC236}">
                  <a16:creationId xmlns:a16="http://schemas.microsoft.com/office/drawing/2014/main" id="{9550A06A-A23E-4834-A558-3709A24CBBAD}"/>
                </a:ext>
              </a:extLst>
            </xdr:cNvPr>
            <xdr:cNvGraphicFramePr/>
          </xdr:nvGraphicFramePr>
          <xdr:xfrm>
            <a:off x="0" y="0"/>
            <a:ext cx="0" cy="0"/>
          </xdr:xfrm>
          <a:graphic>
            <a:graphicData uri="http://schemas.microsoft.com/office/drawing/2010/slicer">
              <sle:slicer xmlns:sle="http://schemas.microsoft.com/office/drawing/2010/slicer" name="Health Status 1"/>
            </a:graphicData>
          </a:graphic>
        </xdr:graphicFrame>
      </mc:Choice>
      <mc:Fallback>
        <xdr:sp macro="" textlink="">
          <xdr:nvSpPr>
            <xdr:cNvPr id="0" name=""/>
            <xdr:cNvSpPr>
              <a:spLocks noTextEdit="1"/>
            </xdr:cNvSpPr>
          </xdr:nvSpPr>
          <xdr:spPr>
            <a:xfrm>
              <a:off x="1872343" y="4838156"/>
              <a:ext cx="1752600" cy="199943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6</xdr:col>
      <xdr:colOff>64770</xdr:colOff>
      <xdr:row>9</xdr:row>
      <xdr:rowOff>32385</xdr:rowOff>
    </xdr:from>
    <xdr:to>
      <xdr:col>12</xdr:col>
      <xdr:colOff>400050</xdr:colOff>
      <xdr:row>23</xdr:row>
      <xdr:rowOff>57150</xdr:rowOff>
    </xdr:to>
    <xdr:graphicFrame macro="">
      <xdr:nvGraphicFramePr>
        <xdr:cNvPr id="17" name="Chart 1">
          <a:extLst>
            <a:ext uri="{FF2B5EF4-FFF2-40B4-BE49-F238E27FC236}">
              <a16:creationId xmlns:a16="http://schemas.microsoft.com/office/drawing/2014/main" id="{1A327352-6B65-D190-41A8-67A3C1DC17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64770</xdr:colOff>
      <xdr:row>23</xdr:row>
      <xdr:rowOff>99060</xdr:rowOff>
    </xdr:from>
    <xdr:to>
      <xdr:col>12</xdr:col>
      <xdr:colOff>419100</xdr:colOff>
      <xdr:row>38</xdr:row>
      <xdr:rowOff>127635</xdr:rowOff>
    </xdr:to>
    <xdr:graphicFrame macro="">
      <xdr:nvGraphicFramePr>
        <xdr:cNvPr id="18" name="Chart 2">
          <a:extLst>
            <a:ext uri="{FF2B5EF4-FFF2-40B4-BE49-F238E27FC236}">
              <a16:creationId xmlns:a16="http://schemas.microsoft.com/office/drawing/2014/main" id="{CD1D5B36-FB2E-8778-F987-EA600B010F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436245</xdr:colOff>
      <xdr:row>9</xdr:row>
      <xdr:rowOff>38100</xdr:rowOff>
    </xdr:from>
    <xdr:to>
      <xdr:col>20</xdr:col>
      <xdr:colOff>104775</xdr:colOff>
      <xdr:row>23</xdr:row>
      <xdr:rowOff>76200</xdr:rowOff>
    </xdr:to>
    <xdr:graphicFrame macro="">
      <xdr:nvGraphicFramePr>
        <xdr:cNvPr id="19" name="Chart 3">
          <a:extLst>
            <a:ext uri="{FF2B5EF4-FFF2-40B4-BE49-F238E27FC236}">
              <a16:creationId xmlns:a16="http://schemas.microsoft.com/office/drawing/2014/main" id="{E1F7F108-7C14-5B90-10E9-15E21E644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474345</xdr:colOff>
      <xdr:row>23</xdr:row>
      <xdr:rowOff>127635</xdr:rowOff>
    </xdr:from>
    <xdr:to>
      <xdr:col>20</xdr:col>
      <xdr:colOff>85725</xdr:colOff>
      <xdr:row>38</xdr:row>
      <xdr:rowOff>104775</xdr:rowOff>
    </xdr:to>
    <xdr:graphicFrame macro="">
      <xdr:nvGraphicFramePr>
        <xdr:cNvPr id="20" name="Chart 4">
          <a:extLst>
            <a:ext uri="{FF2B5EF4-FFF2-40B4-BE49-F238E27FC236}">
              <a16:creationId xmlns:a16="http://schemas.microsoft.com/office/drawing/2014/main" id="{4D101869-068F-D900-7664-05674414E6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Sunny%20Shruthi/Downloads/Day-03%20Child_Health_Dat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nna Babu Kona" refreshedDate="46099.651592824077" createdVersion="8" refreshedVersion="8" minRefreshableVersion="3" recordCount="100" xr:uid="{052D6699-15E8-496B-B72A-172547ABD138}">
  <cacheSource type="worksheet">
    <worksheetSource name="Table1" r:id="rId2"/>
  </cacheSource>
  <cacheFields count="12">
    <cacheField name="ChildID" numFmtId="0">
      <sharedItems count="10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haredItems>
    </cacheField>
    <cacheField name="Age_Months" numFmtId="0">
      <sharedItems containsSemiMixedTypes="0" containsString="0" containsNumber="1" containsInteger="1" minValue="25" maxValue="59" count="34">
        <n v="47"/>
        <n v="34"/>
        <n v="35"/>
        <n v="39"/>
        <n v="26"/>
        <n v="51"/>
        <n v="52"/>
        <n v="28"/>
        <n v="44"/>
        <n v="25"/>
        <n v="32"/>
        <n v="49"/>
        <n v="38"/>
        <n v="57"/>
        <n v="56"/>
        <n v="46"/>
        <n v="30"/>
        <n v="43"/>
        <n v="31"/>
        <n v="48"/>
        <n v="27"/>
        <n v="45"/>
        <n v="54"/>
        <n v="40"/>
        <n v="55"/>
        <n v="42"/>
        <n v="36"/>
        <n v="50"/>
        <n v="59"/>
        <n v="53"/>
        <n v="33"/>
        <n v="41"/>
        <n v="29"/>
        <n v="58"/>
      </sharedItems>
      <fieldGroup base="1">
        <rangePr startNum="25" endNum="59" groupInterval="12"/>
        <groupItems count="5">
          <s v="&lt;25"/>
          <s v="25-36"/>
          <s v="37-48"/>
          <s v="49-60"/>
          <s v="&gt;61"/>
        </groupItems>
      </fieldGroup>
    </cacheField>
    <cacheField name="Gender" numFmtId="0">
      <sharedItems count="2">
        <s v="Female"/>
        <s v="Male"/>
      </sharedItems>
    </cacheField>
    <cacheField name="Height_cm" numFmtId="0">
      <sharedItems containsSemiMixedTypes="0" containsString="0" containsNumber="1" minValue="88.93" maxValue="115.19"/>
    </cacheField>
    <cacheField name="Weight_kg" numFmtId="0">
      <sharedItems containsSemiMixedTypes="0" containsString="0" containsNumber="1" minValue="11.75" maxValue="25.26"/>
    </cacheField>
    <cacheField name="Daily_Fruit_Servings" numFmtId="0">
      <sharedItems containsSemiMixedTypes="0" containsString="0" containsNumber="1" containsInteger="1" minValue="0" maxValue="4" count="5">
        <n v="1"/>
        <n v="0"/>
        <n v="3"/>
        <n v="2"/>
        <n v="4"/>
      </sharedItems>
    </cacheField>
    <cacheField name="Daily_Veggie_Servings" numFmtId="0">
      <sharedItems containsSemiMixedTypes="0" containsString="0" containsNumber="1" containsInteger="1" minValue="0" maxValue="4" count="5">
        <n v="2"/>
        <n v="1"/>
        <n v="3"/>
        <n v="0"/>
        <n v="4"/>
      </sharedItems>
    </cacheField>
    <cacheField name="Daily_Sugar_Drinks" numFmtId="0">
      <sharedItems containsSemiMixedTypes="0" containsString="0" containsNumber="1" containsInteger="1" minValue="0" maxValue="3"/>
    </cacheField>
    <cacheField name="ScreenTime_Hours" numFmtId="0">
      <sharedItems containsSemiMixedTypes="0" containsString="0" containsNumber="1" minValue="0.5" maxValue="3.8"/>
    </cacheField>
    <cacheField name="Region" numFmtId="0">
      <sharedItems count="5">
        <s v="South"/>
        <s v="Central"/>
        <s v="East"/>
        <s v="North"/>
        <s v="West"/>
      </sharedItems>
    </cacheField>
    <cacheField name="BMI" numFmtId="2">
      <sharedItems containsSemiMixedTypes="0" containsString="0" containsNumber="1" minValue="11.23198275256877" maxValue="21.36231277340449"/>
    </cacheField>
    <cacheField name="Health Status" numFmtId="0">
      <sharedItems count="2">
        <s v="Under Weight"/>
        <s v="Healthy Weight"/>
      </sharedItems>
    </cacheField>
  </cacheFields>
  <extLst>
    <ext xmlns:x14="http://schemas.microsoft.com/office/spreadsheetml/2009/9/main" uri="{725AE2AE-9491-48be-B2B4-4EB974FC3084}">
      <x14:pivotCacheDefinition pivotCacheId="5894491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n v="104.41"/>
    <n v="17.34"/>
    <x v="0"/>
    <x v="0"/>
    <n v="3"/>
    <n v="1.2"/>
    <x v="0"/>
    <n v="15.90614369846883"/>
    <x v="0"/>
  </r>
  <r>
    <x v="1"/>
    <x v="1"/>
    <x v="0"/>
    <n v="99.08"/>
    <n v="16.21"/>
    <x v="1"/>
    <x v="1"/>
    <n v="1"/>
    <n v="1.4"/>
    <x v="1"/>
    <n v="16.512431120446177"/>
    <x v="0"/>
  </r>
  <r>
    <x v="2"/>
    <x v="2"/>
    <x v="0"/>
    <n v="94.96"/>
    <n v="17.3"/>
    <x v="2"/>
    <x v="2"/>
    <n v="2"/>
    <n v="0.6"/>
    <x v="1"/>
    <n v="19.185127564907393"/>
    <x v="1"/>
  </r>
  <r>
    <x v="3"/>
    <x v="3"/>
    <x v="0"/>
    <n v="100.65"/>
    <n v="20.010000000000002"/>
    <x v="3"/>
    <x v="3"/>
    <n v="1"/>
    <n v="1.5"/>
    <x v="1"/>
    <n v="19.75238446372795"/>
    <x v="1"/>
  </r>
  <r>
    <x v="4"/>
    <x v="4"/>
    <x v="0"/>
    <n v="90.06"/>
    <n v="12.16"/>
    <x v="1"/>
    <x v="1"/>
    <n v="0"/>
    <n v="0.9"/>
    <x v="0"/>
    <n v="14.992349216790304"/>
    <x v="0"/>
  </r>
  <r>
    <x v="5"/>
    <x v="5"/>
    <x v="1"/>
    <n v="108.82"/>
    <n v="21.54"/>
    <x v="1"/>
    <x v="1"/>
    <n v="1"/>
    <n v="0.9"/>
    <x v="2"/>
    <n v="18.189813900132215"/>
    <x v="0"/>
  </r>
  <r>
    <x v="6"/>
    <x v="6"/>
    <x v="1"/>
    <n v="110.28"/>
    <n v="21.49"/>
    <x v="4"/>
    <x v="3"/>
    <n v="2"/>
    <n v="2.8"/>
    <x v="0"/>
    <n v="17.67025840775398"/>
    <x v="0"/>
  </r>
  <r>
    <x v="7"/>
    <x v="6"/>
    <x v="0"/>
    <n v="102.65"/>
    <n v="19.55"/>
    <x v="3"/>
    <x v="0"/>
    <n v="1"/>
    <n v="1.3"/>
    <x v="1"/>
    <n v="18.553628408784363"/>
    <x v="1"/>
  </r>
  <r>
    <x v="8"/>
    <x v="7"/>
    <x v="1"/>
    <n v="91.47"/>
    <n v="16.39"/>
    <x v="2"/>
    <x v="0"/>
    <n v="3"/>
    <n v="0.8"/>
    <x v="3"/>
    <n v="19.589420799631078"/>
    <x v="1"/>
  </r>
  <r>
    <x v="9"/>
    <x v="8"/>
    <x v="0"/>
    <n v="111.89"/>
    <n v="17.95"/>
    <x v="0"/>
    <x v="2"/>
    <n v="0"/>
    <n v="0.8"/>
    <x v="1"/>
    <n v="14.337779767724934"/>
    <x v="0"/>
  </r>
  <r>
    <x v="10"/>
    <x v="9"/>
    <x v="1"/>
    <n v="96.25"/>
    <n v="13.5"/>
    <x v="2"/>
    <x v="4"/>
    <n v="0"/>
    <n v="0.6"/>
    <x v="4"/>
    <n v="14.572440546466519"/>
    <x v="0"/>
  </r>
  <r>
    <x v="11"/>
    <x v="10"/>
    <x v="0"/>
    <n v="96.02"/>
    <n v="16.55"/>
    <x v="3"/>
    <x v="3"/>
    <n v="2"/>
    <n v="1"/>
    <x v="3"/>
    <n v="17.950419185130364"/>
    <x v="0"/>
  </r>
  <r>
    <x v="12"/>
    <x v="1"/>
    <x v="1"/>
    <n v="97.37"/>
    <n v="15.55"/>
    <x v="1"/>
    <x v="1"/>
    <n v="2"/>
    <n v="1.3"/>
    <x v="2"/>
    <n v="16.401367255945466"/>
    <x v="0"/>
  </r>
  <r>
    <x v="13"/>
    <x v="11"/>
    <x v="1"/>
    <n v="108.39"/>
    <n v="20.100000000000001"/>
    <x v="1"/>
    <x v="0"/>
    <n v="3"/>
    <n v="0.6"/>
    <x v="2"/>
    <n v="17.108724180222072"/>
    <x v="0"/>
  </r>
  <r>
    <x v="14"/>
    <x v="9"/>
    <x v="1"/>
    <n v="92.58"/>
    <n v="15.13"/>
    <x v="3"/>
    <x v="0"/>
    <n v="2"/>
    <n v="1.6"/>
    <x v="1"/>
    <n v="17.652433135313405"/>
    <x v="0"/>
  </r>
  <r>
    <x v="15"/>
    <x v="12"/>
    <x v="1"/>
    <n v="99.65"/>
    <n v="16.940000000000001"/>
    <x v="0"/>
    <x v="2"/>
    <n v="3"/>
    <n v="2.1"/>
    <x v="1"/>
    <n v="17.059205462973896"/>
    <x v="0"/>
  </r>
  <r>
    <x v="16"/>
    <x v="12"/>
    <x v="0"/>
    <n v="98.91"/>
    <n v="19.489999999999998"/>
    <x v="1"/>
    <x v="3"/>
    <n v="3"/>
    <n v="3.1"/>
    <x v="1"/>
    <n v="19.92193117497148"/>
    <x v="1"/>
  </r>
  <r>
    <x v="17"/>
    <x v="9"/>
    <x v="0"/>
    <n v="96.42"/>
    <n v="14.69"/>
    <x v="0"/>
    <x v="2"/>
    <n v="2"/>
    <n v="1.2"/>
    <x v="3"/>
    <n v="15.801108000799067"/>
    <x v="0"/>
  </r>
  <r>
    <x v="18"/>
    <x v="13"/>
    <x v="0"/>
    <n v="109.26"/>
    <n v="20.61"/>
    <x v="2"/>
    <x v="0"/>
    <n v="1"/>
    <n v="2"/>
    <x v="2"/>
    <n v="17.264563375422682"/>
    <x v="0"/>
  </r>
  <r>
    <x v="19"/>
    <x v="1"/>
    <x v="1"/>
    <n v="98.22"/>
    <n v="15.49"/>
    <x v="0"/>
    <x v="0"/>
    <n v="0"/>
    <n v="0.8"/>
    <x v="1"/>
    <n v="16.056524938447225"/>
    <x v="0"/>
  </r>
  <r>
    <x v="20"/>
    <x v="2"/>
    <x v="0"/>
    <n v="101.02"/>
    <n v="16.760000000000002"/>
    <x v="2"/>
    <x v="0"/>
    <n v="2"/>
    <n v="1.9"/>
    <x v="0"/>
    <n v="16.423256883921791"/>
    <x v="0"/>
  </r>
  <r>
    <x v="21"/>
    <x v="14"/>
    <x v="1"/>
    <n v="111.44"/>
    <n v="21.87"/>
    <x v="4"/>
    <x v="1"/>
    <n v="2"/>
    <n v="1.9"/>
    <x v="2"/>
    <n v="17.610292772445963"/>
    <x v="0"/>
  </r>
  <r>
    <x v="22"/>
    <x v="15"/>
    <x v="1"/>
    <n v="103.85"/>
    <n v="19.47"/>
    <x v="3"/>
    <x v="4"/>
    <n v="3"/>
    <n v="2.9"/>
    <x v="2"/>
    <n v="18.053148301698982"/>
    <x v="0"/>
  </r>
  <r>
    <x v="23"/>
    <x v="2"/>
    <x v="0"/>
    <n v="102.67"/>
    <n v="13.79"/>
    <x v="4"/>
    <x v="1"/>
    <n v="1"/>
    <n v="2"/>
    <x v="1"/>
    <n v="13.082090287312587"/>
    <x v="0"/>
  </r>
  <r>
    <x v="24"/>
    <x v="6"/>
    <x v="1"/>
    <n v="107.91"/>
    <n v="19.27"/>
    <x v="4"/>
    <x v="3"/>
    <n v="0"/>
    <n v="0.8"/>
    <x v="2"/>
    <n v="16.548488389191526"/>
    <x v="0"/>
  </r>
  <r>
    <x v="25"/>
    <x v="16"/>
    <x v="0"/>
    <n v="96.67"/>
    <n v="15.72"/>
    <x v="2"/>
    <x v="1"/>
    <n v="2"/>
    <n v="1.2"/>
    <x v="3"/>
    <n v="16.821669829165565"/>
    <x v="0"/>
  </r>
  <r>
    <x v="26"/>
    <x v="2"/>
    <x v="1"/>
    <n v="101.41"/>
    <n v="19.45"/>
    <x v="1"/>
    <x v="4"/>
    <n v="2"/>
    <n v="1.9"/>
    <x v="0"/>
    <n v="18.912896252767929"/>
    <x v="1"/>
  </r>
  <r>
    <x v="27"/>
    <x v="10"/>
    <x v="0"/>
    <n v="102.28"/>
    <n v="11.75"/>
    <x v="3"/>
    <x v="1"/>
    <n v="1"/>
    <n v="1.3"/>
    <x v="2"/>
    <n v="11.23198275256877"/>
    <x v="0"/>
  </r>
  <r>
    <x v="28"/>
    <x v="15"/>
    <x v="1"/>
    <n v="105.06"/>
    <n v="17.260000000000002"/>
    <x v="4"/>
    <x v="1"/>
    <n v="2"/>
    <n v="0.8"/>
    <x v="1"/>
    <n v="15.637452318001349"/>
    <x v="0"/>
  </r>
  <r>
    <x v="29"/>
    <x v="17"/>
    <x v="1"/>
    <n v="103.22"/>
    <n v="20.74"/>
    <x v="3"/>
    <x v="0"/>
    <n v="3"/>
    <n v="2.1"/>
    <x v="0"/>
    <n v="19.466193791459283"/>
    <x v="1"/>
  </r>
  <r>
    <x v="30"/>
    <x v="15"/>
    <x v="0"/>
    <n v="105.42"/>
    <n v="20.23"/>
    <x v="4"/>
    <x v="3"/>
    <n v="2"/>
    <n v="2.2999999999999998"/>
    <x v="4"/>
    <n v="18.203288786295403"/>
    <x v="0"/>
  </r>
  <r>
    <x v="31"/>
    <x v="10"/>
    <x v="1"/>
    <n v="97.29"/>
    <n v="12.89"/>
    <x v="4"/>
    <x v="0"/>
    <n v="2"/>
    <n v="1.3"/>
    <x v="1"/>
    <n v="13.618099737124188"/>
    <x v="0"/>
  </r>
  <r>
    <x v="32"/>
    <x v="15"/>
    <x v="1"/>
    <n v="106.22"/>
    <n v="19.48"/>
    <x v="4"/>
    <x v="2"/>
    <n v="0"/>
    <n v="0.7"/>
    <x v="0"/>
    <n v="17.26538862847617"/>
    <x v="0"/>
  </r>
  <r>
    <x v="33"/>
    <x v="14"/>
    <x v="0"/>
    <n v="114.63"/>
    <n v="20.11"/>
    <x v="3"/>
    <x v="1"/>
    <n v="0"/>
    <n v="0.8"/>
    <x v="4"/>
    <n v="15.304371025015923"/>
    <x v="0"/>
  </r>
  <r>
    <x v="34"/>
    <x v="16"/>
    <x v="0"/>
    <n v="93.15"/>
    <n v="14.24"/>
    <x v="0"/>
    <x v="1"/>
    <n v="2"/>
    <n v="1.3"/>
    <x v="1"/>
    <n v="16.411348608910586"/>
    <x v="0"/>
  </r>
  <r>
    <x v="35"/>
    <x v="8"/>
    <x v="0"/>
    <n v="102.36"/>
    <n v="19.600000000000001"/>
    <x v="0"/>
    <x v="0"/>
    <n v="0"/>
    <n v="0.9"/>
    <x v="4"/>
    <n v="18.706628300517327"/>
    <x v="1"/>
  </r>
  <r>
    <x v="36"/>
    <x v="17"/>
    <x v="0"/>
    <n v="105.34"/>
    <n v="14.14"/>
    <x v="4"/>
    <x v="2"/>
    <n v="0"/>
    <n v="0.8"/>
    <x v="2"/>
    <n v="12.742738810730817"/>
    <x v="0"/>
  </r>
  <r>
    <x v="37"/>
    <x v="18"/>
    <x v="0"/>
    <n v="96.26"/>
    <n v="17.63"/>
    <x v="2"/>
    <x v="2"/>
    <n v="2"/>
    <n v="1.7"/>
    <x v="2"/>
    <n v="19.026574134418222"/>
    <x v="1"/>
  </r>
  <r>
    <x v="38"/>
    <x v="7"/>
    <x v="1"/>
    <n v="97.25"/>
    <n v="14.98"/>
    <x v="2"/>
    <x v="4"/>
    <n v="3"/>
    <n v="3.2"/>
    <x v="1"/>
    <n v="15.839176320537135"/>
    <x v="0"/>
  </r>
  <r>
    <x v="39"/>
    <x v="19"/>
    <x v="1"/>
    <n v="108.23"/>
    <n v="21"/>
    <x v="2"/>
    <x v="4"/>
    <n v="0"/>
    <n v="0.6"/>
    <x v="1"/>
    <n v="17.927675301525785"/>
    <x v="0"/>
  </r>
  <r>
    <x v="40"/>
    <x v="20"/>
    <x v="1"/>
    <n v="97"/>
    <n v="15.12"/>
    <x v="4"/>
    <x v="3"/>
    <n v="1"/>
    <n v="1.7"/>
    <x v="3"/>
    <n v="16.069720480391116"/>
    <x v="0"/>
  </r>
  <r>
    <x v="41"/>
    <x v="21"/>
    <x v="1"/>
    <n v="107.27"/>
    <n v="22.7"/>
    <x v="4"/>
    <x v="3"/>
    <n v="0"/>
    <n v="0.8"/>
    <x v="0"/>
    <n v="19.727374806364303"/>
    <x v="1"/>
  </r>
  <r>
    <x v="42"/>
    <x v="22"/>
    <x v="1"/>
    <n v="112.46"/>
    <n v="21.36"/>
    <x v="3"/>
    <x v="3"/>
    <n v="1"/>
    <n v="1"/>
    <x v="1"/>
    <n v="16.889044889405064"/>
    <x v="0"/>
  </r>
  <r>
    <x v="43"/>
    <x v="23"/>
    <x v="1"/>
    <n v="103.32"/>
    <n v="17.41"/>
    <x v="0"/>
    <x v="3"/>
    <n v="2"/>
    <n v="2"/>
    <x v="2"/>
    <n v="16.309099267089127"/>
    <x v="0"/>
  </r>
  <r>
    <x v="44"/>
    <x v="6"/>
    <x v="0"/>
    <n v="107.31"/>
    <n v="17.34"/>
    <x v="0"/>
    <x v="2"/>
    <n v="0"/>
    <n v="0.5"/>
    <x v="3"/>
    <n v="15.058048908803379"/>
    <x v="0"/>
  </r>
  <r>
    <x v="45"/>
    <x v="1"/>
    <x v="1"/>
    <n v="99.12"/>
    <n v="17.43"/>
    <x v="2"/>
    <x v="4"/>
    <n v="3"/>
    <n v="1.6"/>
    <x v="0"/>
    <n v="17.740865378038603"/>
    <x v="0"/>
  </r>
  <r>
    <x v="46"/>
    <x v="20"/>
    <x v="1"/>
    <n v="93.16"/>
    <n v="15.53"/>
    <x v="3"/>
    <x v="0"/>
    <n v="0"/>
    <n v="0.8"/>
    <x v="1"/>
    <n v="17.89420860909388"/>
    <x v="0"/>
  </r>
  <r>
    <x v="47"/>
    <x v="24"/>
    <x v="1"/>
    <n v="111.49"/>
    <n v="20.23"/>
    <x v="0"/>
    <x v="3"/>
    <n v="1"/>
    <n v="1.6"/>
    <x v="3"/>
    <n v="16.27511447065158"/>
    <x v="0"/>
  </r>
  <r>
    <x v="48"/>
    <x v="25"/>
    <x v="0"/>
    <n v="108.71"/>
    <n v="16.2"/>
    <x v="3"/>
    <x v="1"/>
    <n v="3"/>
    <n v="1.1000000000000001"/>
    <x v="3"/>
    <n v="13.708060833090812"/>
    <x v="0"/>
  </r>
  <r>
    <x v="49"/>
    <x v="26"/>
    <x v="0"/>
    <n v="97.21"/>
    <n v="13.41"/>
    <x v="4"/>
    <x v="2"/>
    <n v="1"/>
    <n v="0.9"/>
    <x v="1"/>
    <n v="14.190800401461026"/>
    <x v="0"/>
  </r>
  <r>
    <x v="50"/>
    <x v="1"/>
    <x v="0"/>
    <n v="98.46"/>
    <n v="15.38"/>
    <x v="2"/>
    <x v="0"/>
    <n v="2"/>
    <n v="1.2"/>
    <x v="0"/>
    <n v="15.864875656303504"/>
    <x v="0"/>
  </r>
  <r>
    <x v="51"/>
    <x v="23"/>
    <x v="0"/>
    <n v="100.6"/>
    <n v="17.309999999999999"/>
    <x v="1"/>
    <x v="2"/>
    <n v="0"/>
    <n v="0.6"/>
    <x v="4"/>
    <n v="17.104134635526798"/>
    <x v="0"/>
  </r>
  <r>
    <x v="52"/>
    <x v="3"/>
    <x v="0"/>
    <n v="96.54"/>
    <n v="18.239999999999998"/>
    <x v="4"/>
    <x v="2"/>
    <n v="1"/>
    <n v="1.9"/>
    <x v="4"/>
    <n v="19.570875087215928"/>
    <x v="1"/>
  </r>
  <r>
    <x v="53"/>
    <x v="13"/>
    <x v="1"/>
    <n v="110.58"/>
    <n v="21.99"/>
    <x v="2"/>
    <x v="3"/>
    <n v="0"/>
    <n v="0.9"/>
    <x v="0"/>
    <n v="17.983410512341237"/>
    <x v="0"/>
  </r>
  <r>
    <x v="54"/>
    <x v="27"/>
    <x v="0"/>
    <n v="114.47"/>
    <n v="18.010000000000002"/>
    <x v="0"/>
    <x v="2"/>
    <n v="0"/>
    <n v="0.6"/>
    <x v="3"/>
    <n v="13.744544356487417"/>
    <x v="0"/>
  </r>
  <r>
    <x v="55"/>
    <x v="18"/>
    <x v="0"/>
    <n v="96.28"/>
    <n v="16.84"/>
    <x v="4"/>
    <x v="0"/>
    <n v="3"/>
    <n v="0.5"/>
    <x v="2"/>
    <n v="18.166443980296357"/>
    <x v="0"/>
  </r>
  <r>
    <x v="56"/>
    <x v="8"/>
    <x v="0"/>
    <n v="104.76"/>
    <n v="18.399999999999999"/>
    <x v="4"/>
    <x v="0"/>
    <n v="1"/>
    <n v="0.7"/>
    <x v="0"/>
    <n v="16.765898919707524"/>
    <x v="0"/>
  </r>
  <r>
    <x v="57"/>
    <x v="25"/>
    <x v="1"/>
    <n v="105.35"/>
    <n v="19.88"/>
    <x v="0"/>
    <x v="0"/>
    <n v="2"/>
    <n v="2.8"/>
    <x v="2"/>
    <n v="17.912132789452027"/>
    <x v="0"/>
  </r>
  <r>
    <x v="58"/>
    <x v="28"/>
    <x v="1"/>
    <n v="110.75"/>
    <n v="24.56"/>
    <x v="4"/>
    <x v="4"/>
    <n v="1"/>
    <n v="1.7"/>
    <x v="0"/>
    <n v="20.023541521230683"/>
    <x v="1"/>
  </r>
  <r>
    <x v="59"/>
    <x v="14"/>
    <x v="1"/>
    <n v="108"/>
    <n v="22.24"/>
    <x v="3"/>
    <x v="4"/>
    <n v="2"/>
    <n v="1.1000000000000001"/>
    <x v="1"/>
    <n v="19.067215363511657"/>
    <x v="1"/>
  </r>
  <r>
    <x v="60"/>
    <x v="10"/>
    <x v="0"/>
    <n v="98.63"/>
    <n v="17.96"/>
    <x v="1"/>
    <x v="3"/>
    <n v="2"/>
    <n v="2.6"/>
    <x v="3"/>
    <n v="18.462404679483562"/>
    <x v="0"/>
  </r>
  <r>
    <x v="61"/>
    <x v="0"/>
    <x v="0"/>
    <n v="103.57"/>
    <n v="22.13"/>
    <x v="2"/>
    <x v="0"/>
    <n v="0"/>
    <n v="0.6"/>
    <x v="0"/>
    <n v="20.630676133633052"/>
    <x v="1"/>
  </r>
  <r>
    <x v="62"/>
    <x v="7"/>
    <x v="1"/>
    <n v="92.72"/>
    <n v="15.7"/>
    <x v="4"/>
    <x v="3"/>
    <n v="1"/>
    <n v="0.5"/>
    <x v="3"/>
    <n v="18.26218788176115"/>
    <x v="0"/>
  </r>
  <r>
    <x v="63"/>
    <x v="14"/>
    <x v="1"/>
    <n v="113.3"/>
    <n v="20.45"/>
    <x v="3"/>
    <x v="0"/>
    <n v="2"/>
    <n v="0.5"/>
    <x v="4"/>
    <n v="15.930649869244029"/>
    <x v="0"/>
  </r>
  <r>
    <x v="64"/>
    <x v="12"/>
    <x v="1"/>
    <n v="104.84"/>
    <n v="19.829999999999998"/>
    <x v="4"/>
    <x v="3"/>
    <n v="0"/>
    <n v="0.8"/>
    <x v="3"/>
    <n v="18.041335784504604"/>
    <x v="0"/>
  </r>
  <r>
    <x v="65"/>
    <x v="27"/>
    <x v="0"/>
    <n v="104.56"/>
    <n v="21.62"/>
    <x v="4"/>
    <x v="1"/>
    <n v="1"/>
    <n v="2"/>
    <x v="0"/>
    <n v="19.775366471749727"/>
    <x v="1"/>
  </r>
  <r>
    <x v="66"/>
    <x v="20"/>
    <x v="1"/>
    <n v="97.32"/>
    <n v="16.28"/>
    <x v="3"/>
    <x v="4"/>
    <n v="0"/>
    <n v="0.8"/>
    <x v="0"/>
    <n v="17.188983711262917"/>
    <x v="0"/>
  </r>
  <r>
    <x v="67"/>
    <x v="10"/>
    <x v="0"/>
    <n v="103.58"/>
    <n v="15.12"/>
    <x v="4"/>
    <x v="3"/>
    <n v="2"/>
    <n v="1.8"/>
    <x v="2"/>
    <n v="14.092887263873765"/>
    <x v="0"/>
  </r>
  <r>
    <x v="68"/>
    <x v="29"/>
    <x v="1"/>
    <n v="105.92"/>
    <n v="22.98"/>
    <x v="3"/>
    <x v="3"/>
    <n v="0"/>
    <n v="0.8"/>
    <x v="4"/>
    <n v="20.483024296966988"/>
    <x v="1"/>
  </r>
  <r>
    <x v="69"/>
    <x v="30"/>
    <x v="1"/>
    <n v="104.76"/>
    <n v="13.89"/>
    <x v="2"/>
    <x v="4"/>
    <n v="0"/>
    <n v="0.5"/>
    <x v="2"/>
    <n v="12.656431304061822"/>
    <x v="0"/>
  </r>
  <r>
    <x v="70"/>
    <x v="11"/>
    <x v="1"/>
    <n v="108.22"/>
    <n v="19.55"/>
    <x v="0"/>
    <x v="1"/>
    <n v="2"/>
    <n v="1.6"/>
    <x v="2"/>
    <n v="16.692896572247317"/>
    <x v="0"/>
  </r>
  <r>
    <x v="71"/>
    <x v="10"/>
    <x v="0"/>
    <n v="97.69"/>
    <n v="18.04"/>
    <x v="2"/>
    <x v="0"/>
    <n v="2"/>
    <n v="2.2000000000000002"/>
    <x v="0"/>
    <n v="18.903242860743426"/>
    <x v="1"/>
  </r>
  <r>
    <x v="72"/>
    <x v="6"/>
    <x v="0"/>
    <n v="104.99"/>
    <n v="22.77"/>
    <x v="2"/>
    <x v="0"/>
    <n v="1"/>
    <n v="1.1000000000000001"/>
    <x v="1"/>
    <n v="20.656995702972939"/>
    <x v="1"/>
  </r>
  <r>
    <x v="73"/>
    <x v="9"/>
    <x v="1"/>
    <n v="88.93"/>
    <n v="15.5"/>
    <x v="2"/>
    <x v="3"/>
    <n v="3"/>
    <n v="3.8"/>
    <x v="1"/>
    <n v="19.59905418252098"/>
    <x v="1"/>
  </r>
  <r>
    <x v="74"/>
    <x v="31"/>
    <x v="0"/>
    <n v="105.5"/>
    <n v="20.18"/>
    <x v="0"/>
    <x v="4"/>
    <n v="3"/>
    <n v="1.9"/>
    <x v="3"/>
    <n v="18.130769749107163"/>
    <x v="0"/>
  </r>
  <r>
    <x v="75"/>
    <x v="12"/>
    <x v="1"/>
    <n v="101.47"/>
    <n v="15.96"/>
    <x v="0"/>
    <x v="1"/>
    <n v="0"/>
    <n v="0.8"/>
    <x v="0"/>
    <n v="15.500923261601326"/>
    <x v="0"/>
  </r>
  <r>
    <x v="76"/>
    <x v="15"/>
    <x v="1"/>
    <n v="103.84"/>
    <n v="17.13"/>
    <x v="1"/>
    <x v="4"/>
    <n v="1"/>
    <n v="0.7"/>
    <x v="2"/>
    <n v="15.886491841187462"/>
    <x v="0"/>
  </r>
  <r>
    <x v="77"/>
    <x v="21"/>
    <x v="1"/>
    <n v="103.74"/>
    <n v="18.21"/>
    <x v="0"/>
    <x v="2"/>
    <n v="0"/>
    <n v="0.5"/>
    <x v="2"/>
    <n v="16.920666215969256"/>
    <x v="0"/>
  </r>
  <r>
    <x v="78"/>
    <x v="19"/>
    <x v="1"/>
    <n v="101.32"/>
    <n v="21.93"/>
    <x v="4"/>
    <x v="0"/>
    <n v="2"/>
    <n v="2.8"/>
    <x v="1"/>
    <n v="21.36231277340449"/>
    <x v="1"/>
  </r>
  <r>
    <x v="79"/>
    <x v="22"/>
    <x v="0"/>
    <n v="109.83"/>
    <n v="21.35"/>
    <x v="2"/>
    <x v="0"/>
    <n v="1"/>
    <n v="0.7"/>
    <x v="3"/>
    <n v="17.699292730459444"/>
    <x v="0"/>
  </r>
  <r>
    <x v="80"/>
    <x v="11"/>
    <x v="1"/>
    <n v="112.98"/>
    <n v="18.22"/>
    <x v="2"/>
    <x v="1"/>
    <n v="1"/>
    <n v="1.7"/>
    <x v="0"/>
    <n v="14.273984861929826"/>
    <x v="0"/>
  </r>
  <r>
    <x v="81"/>
    <x v="21"/>
    <x v="0"/>
    <n v="104.87"/>
    <n v="19.66"/>
    <x v="0"/>
    <x v="4"/>
    <n v="2"/>
    <n v="1.1000000000000001"/>
    <x v="4"/>
    <n v="17.876437608609475"/>
    <x v="0"/>
  </r>
  <r>
    <x v="82"/>
    <x v="16"/>
    <x v="1"/>
    <n v="100.81"/>
    <n v="14.39"/>
    <x v="3"/>
    <x v="4"/>
    <n v="2"/>
    <n v="2.6"/>
    <x v="0"/>
    <n v="14.159684100694896"/>
    <x v="0"/>
  </r>
  <r>
    <x v="83"/>
    <x v="32"/>
    <x v="0"/>
    <n v="101.16"/>
    <n v="14.14"/>
    <x v="3"/>
    <x v="0"/>
    <n v="3"/>
    <n v="1.3"/>
    <x v="0"/>
    <n v="13.817573013462967"/>
    <x v="0"/>
  </r>
  <r>
    <x v="84"/>
    <x v="13"/>
    <x v="0"/>
    <n v="115.19"/>
    <n v="20.76"/>
    <x v="0"/>
    <x v="4"/>
    <n v="0"/>
    <n v="1"/>
    <x v="0"/>
    <n v="15.645800657682841"/>
    <x v="0"/>
  </r>
  <r>
    <x v="85"/>
    <x v="14"/>
    <x v="1"/>
    <n v="110.72"/>
    <n v="20.149999999999999"/>
    <x v="1"/>
    <x v="1"/>
    <n v="1"/>
    <n v="2"/>
    <x v="4"/>
    <n v="16.43701290971967"/>
    <x v="0"/>
  </r>
  <r>
    <x v="86"/>
    <x v="14"/>
    <x v="0"/>
    <n v="106.73"/>
    <n v="24.09"/>
    <x v="1"/>
    <x v="1"/>
    <n v="3"/>
    <n v="1.7"/>
    <x v="4"/>
    <n v="21.147731176326783"/>
    <x v="1"/>
  </r>
  <r>
    <x v="87"/>
    <x v="9"/>
    <x v="0"/>
    <n v="99.72"/>
    <n v="14.9"/>
    <x v="4"/>
    <x v="0"/>
    <n v="3"/>
    <n v="2.2000000000000002"/>
    <x v="1"/>
    <n v="14.983791760933824"/>
    <x v="0"/>
  </r>
  <r>
    <x v="88"/>
    <x v="16"/>
    <x v="0"/>
    <n v="96.45"/>
    <n v="14.77"/>
    <x v="4"/>
    <x v="0"/>
    <n v="0"/>
    <n v="0.6"/>
    <x v="3"/>
    <n v="15.877277353299789"/>
    <x v="0"/>
  </r>
  <r>
    <x v="89"/>
    <x v="29"/>
    <x v="1"/>
    <n v="106.44"/>
    <n v="20.73"/>
    <x v="4"/>
    <x v="2"/>
    <n v="2"/>
    <n v="2"/>
    <x v="0"/>
    <n v="18.29740792193558"/>
    <x v="0"/>
  </r>
  <r>
    <x v="90"/>
    <x v="32"/>
    <x v="0"/>
    <n v="97.77"/>
    <n v="15.72"/>
    <x v="3"/>
    <x v="3"/>
    <n v="0"/>
    <n v="0.9"/>
    <x v="0"/>
    <n v="16.445281479979926"/>
    <x v="0"/>
  </r>
  <r>
    <x v="91"/>
    <x v="33"/>
    <x v="1"/>
    <n v="113.49"/>
    <n v="25.26"/>
    <x v="1"/>
    <x v="4"/>
    <n v="3"/>
    <n v="3"/>
    <x v="4"/>
    <n v="19.611831543124822"/>
    <x v="1"/>
  </r>
  <r>
    <x v="92"/>
    <x v="4"/>
    <x v="1"/>
    <n v="92.08"/>
    <n v="15.29"/>
    <x v="4"/>
    <x v="1"/>
    <n v="2"/>
    <n v="2.6"/>
    <x v="2"/>
    <n v="18.033368785198682"/>
    <x v="0"/>
  </r>
  <r>
    <x v="93"/>
    <x v="9"/>
    <x v="0"/>
    <n v="96.42"/>
    <n v="15.34"/>
    <x v="4"/>
    <x v="2"/>
    <n v="2"/>
    <n v="0.9"/>
    <x v="2"/>
    <n v="16.500272071630885"/>
    <x v="0"/>
  </r>
  <r>
    <x v="94"/>
    <x v="28"/>
    <x v="0"/>
    <n v="108.1"/>
    <n v="19.25"/>
    <x v="0"/>
    <x v="3"/>
    <n v="1"/>
    <n v="1"/>
    <x v="0"/>
    <n v="16.47325214515973"/>
    <x v="0"/>
  </r>
  <r>
    <x v="95"/>
    <x v="27"/>
    <x v="0"/>
    <n v="109.15"/>
    <n v="22.09"/>
    <x v="0"/>
    <x v="4"/>
    <n v="0"/>
    <n v="0.6"/>
    <x v="1"/>
    <n v="18.541643890060385"/>
    <x v="1"/>
  </r>
  <r>
    <x v="96"/>
    <x v="19"/>
    <x v="1"/>
    <n v="107.71"/>
    <n v="19.079999999999998"/>
    <x v="1"/>
    <x v="0"/>
    <n v="2"/>
    <n v="1.8"/>
    <x v="2"/>
    <n v="16.446228448404973"/>
    <x v="0"/>
  </r>
  <r>
    <x v="97"/>
    <x v="13"/>
    <x v="1"/>
    <n v="112.41"/>
    <n v="21.55"/>
    <x v="3"/>
    <x v="4"/>
    <n v="0"/>
    <n v="0.9"/>
    <x v="0"/>
    <n v="17.054436677671966"/>
    <x v="0"/>
  </r>
  <r>
    <x v="98"/>
    <x v="21"/>
    <x v="1"/>
    <n v="110.12"/>
    <n v="18.510000000000002"/>
    <x v="1"/>
    <x v="0"/>
    <n v="0"/>
    <n v="0.9"/>
    <x v="3"/>
    <n v="15.264198789050129"/>
    <x v="0"/>
  </r>
  <r>
    <x v="99"/>
    <x v="11"/>
    <x v="1"/>
    <n v="106.6"/>
    <n v="21.21"/>
    <x v="1"/>
    <x v="3"/>
    <n v="2"/>
    <n v="2.5"/>
    <x v="3"/>
    <n v="18.66492542829888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DFC25D-45B6-4AFF-9AE0-8623674A0869}"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2:I5" firstHeaderRow="0" firstDataRow="1" firstDataCol="1"/>
  <pivotFields count="12">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6">
        <item x="0"/>
        <item x="1"/>
        <item x="2"/>
        <item x="3"/>
        <item x="4"/>
        <item t="default"/>
      </items>
    </pivotField>
    <pivotField showAll="0">
      <items count="3">
        <item x="0"/>
        <item h="1" x="1"/>
        <item t="default"/>
      </items>
    </pivotField>
    <pivotField showAll="0"/>
    <pivotField showAll="0"/>
    <pivotField showAll="0">
      <items count="6">
        <item x="1"/>
        <item x="0"/>
        <item x="3"/>
        <item x="2"/>
        <item x="4"/>
        <item t="default"/>
      </items>
    </pivotField>
    <pivotField showAll="0">
      <items count="6">
        <item x="3"/>
        <item x="1"/>
        <item x="0"/>
        <item x="2"/>
        <item x="4"/>
        <item t="default"/>
      </items>
    </pivotField>
    <pivotField dataField="1" showAll="0"/>
    <pivotField dataField="1" showAll="0"/>
    <pivotField showAll="0">
      <items count="6">
        <item x="1"/>
        <item h="1" x="2"/>
        <item h="1" x="3"/>
        <item h="1" x="0"/>
        <item h="1" x="4"/>
        <item t="default"/>
      </items>
    </pivotField>
    <pivotField numFmtId="2" showAll="0"/>
    <pivotField axis="axisRow" showAll="0">
      <items count="3">
        <item x="1"/>
        <item x="0"/>
        <item t="default"/>
      </items>
    </pivotField>
  </pivotFields>
  <rowFields count="1">
    <field x="11"/>
  </rowFields>
  <rowItems count="3">
    <i>
      <x/>
    </i>
    <i>
      <x v="1"/>
    </i>
    <i t="grand">
      <x/>
    </i>
  </rowItems>
  <colFields count="1">
    <field x="-2"/>
  </colFields>
  <colItems count="2">
    <i>
      <x/>
    </i>
    <i i="1">
      <x v="1"/>
    </i>
  </colItems>
  <dataFields count="2">
    <dataField name="Average of Daily_Sugar_Drinks" fld="7" subtotal="average" baseField="0" baseItem="1"/>
    <dataField name="Average of ScreenTime_Hours" fld="8" subtotal="average" baseField="0" baseItem="1"/>
  </dataFields>
  <formats count="3">
    <format dxfId="84">
      <pivotArea outline="0" collapsedLevelsAreSubtotals="1" fieldPosition="0"/>
    </format>
    <format dxfId="85">
      <pivotArea dataOnly="0" labelOnly="1" outline="0" fieldPosition="0">
        <references count="1">
          <reference field="4294967294" count="1">
            <x v="0"/>
          </reference>
        </references>
      </pivotArea>
    </format>
    <format dxfId="86">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2022A6-94D4-44CA-A928-C77E36B076A8}"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A4" firstHeaderRow="1" firstDataRow="1" firstDataCol="0"/>
  <pivotFields count="12">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6">
        <item x="0"/>
        <item x="1"/>
        <item x="2"/>
        <item x="3"/>
        <item x="4"/>
        <item t="default"/>
      </items>
    </pivotField>
    <pivotField showAll="0">
      <items count="3">
        <item x="0"/>
        <item h="1" x="1"/>
        <item t="default"/>
      </items>
    </pivotField>
    <pivotField showAll="0"/>
    <pivotField showAll="0"/>
    <pivotField showAll="0">
      <items count="6">
        <item x="1"/>
        <item x="0"/>
        <item x="3"/>
        <item x="2"/>
        <item x="4"/>
        <item t="default"/>
      </items>
    </pivotField>
    <pivotField showAll="0">
      <items count="6">
        <item x="3"/>
        <item x="1"/>
        <item x="0"/>
        <item x="2"/>
        <item x="4"/>
        <item t="default"/>
      </items>
    </pivotField>
    <pivotField showAll="0"/>
    <pivotField dataField="1" showAll="0"/>
    <pivotField showAll="0">
      <items count="6">
        <item x="1"/>
        <item x="2"/>
        <item x="3"/>
        <item x="0"/>
        <item x="4"/>
        <item t="default"/>
      </items>
    </pivotField>
    <pivotField numFmtId="2" showAll="0"/>
    <pivotField showAll="0">
      <items count="3">
        <item x="1"/>
        <item x="0"/>
        <item t="default"/>
      </items>
    </pivotField>
  </pivotFields>
  <rowItems count="1">
    <i/>
  </rowItems>
  <colItems count="1">
    <i/>
  </colItems>
  <dataFields count="1">
    <dataField name="Average of ScreenTime_Hours" fld="8" subtotal="average" baseField="0" baseItem="0"/>
  </dataFields>
  <formats count="1">
    <format dxfId="8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CDBBCD-435E-4B3C-8BCA-22004521968F}"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3:C4" firstHeaderRow="1" firstDataRow="1" firstDataCol="0"/>
  <pivotFields count="12">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6">
        <item x="0"/>
        <item x="1"/>
        <item x="2"/>
        <item x="3"/>
        <item x="4"/>
        <item t="default"/>
      </items>
    </pivotField>
    <pivotField showAll="0">
      <items count="3">
        <item x="0"/>
        <item h="1" x="1"/>
        <item t="default"/>
      </items>
    </pivotField>
    <pivotField showAll="0"/>
    <pivotField showAll="0"/>
    <pivotField showAll="0">
      <items count="6">
        <item x="1"/>
        <item x="0"/>
        <item x="3"/>
        <item x="2"/>
        <item x="4"/>
        <item t="default"/>
      </items>
    </pivotField>
    <pivotField showAll="0">
      <items count="6">
        <item x="3"/>
        <item x="1"/>
        <item x="0"/>
        <item x="2"/>
        <item x="4"/>
        <item t="default"/>
      </items>
    </pivotField>
    <pivotField showAll="0"/>
    <pivotField showAll="0"/>
    <pivotField showAll="0">
      <items count="6">
        <item x="1"/>
        <item x="2"/>
        <item x="3"/>
        <item x="0"/>
        <item x="4"/>
        <item t="default"/>
      </items>
    </pivotField>
    <pivotField dataField="1" numFmtId="2" showAll="0"/>
    <pivotField showAll="0">
      <items count="3">
        <item x="1"/>
        <item x="0"/>
        <item t="default"/>
      </items>
    </pivotField>
  </pivotFields>
  <rowItems count="1">
    <i/>
  </rowItems>
  <colItems count="1">
    <i/>
  </colItems>
  <dataFields count="1">
    <dataField name="Average of BMI" fld="10" subtotal="average" baseField="0" baseItem="0" numFmtId="2"/>
  </dataFields>
  <formats count="1">
    <format dxfId="8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C90D3C-E275-45B3-9FB3-59386C053212}"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I17:J23" firstHeaderRow="1" firstDataRow="1" firstDataCol="1"/>
  <pivotFields count="12">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6">
        <item x="0"/>
        <item x="1"/>
        <item x="2"/>
        <item x="3"/>
        <item x="4"/>
        <item t="default"/>
      </items>
    </pivotField>
    <pivotField showAll="0">
      <items count="3">
        <item x="0"/>
        <item x="1"/>
        <item t="default"/>
      </items>
    </pivotField>
    <pivotField showAll="0"/>
    <pivotField showAll="0"/>
    <pivotField showAll="0">
      <items count="6">
        <item x="1"/>
        <item x="0"/>
        <item x="3"/>
        <item x="2"/>
        <item x="4"/>
        <item t="default"/>
      </items>
    </pivotField>
    <pivotField showAll="0">
      <items count="6">
        <item x="3"/>
        <item x="1"/>
        <item x="0"/>
        <item x="2"/>
        <item x="4"/>
        <item t="default"/>
      </items>
    </pivotField>
    <pivotField showAll="0"/>
    <pivotField showAll="0"/>
    <pivotField axis="axisRow" showAll="0">
      <items count="6">
        <item x="1"/>
        <item x="2"/>
        <item x="3"/>
        <item x="0"/>
        <item x="4"/>
        <item t="default"/>
      </items>
    </pivotField>
    <pivotField dataField="1" numFmtId="2" showAll="0"/>
    <pivotField showAll="0">
      <items count="3">
        <item x="1"/>
        <item x="0"/>
        <item t="default"/>
      </items>
    </pivotField>
  </pivotFields>
  <rowFields count="1">
    <field x="9"/>
  </rowFields>
  <rowItems count="6">
    <i>
      <x/>
    </i>
    <i>
      <x v="1"/>
    </i>
    <i>
      <x v="2"/>
    </i>
    <i>
      <x v="3"/>
    </i>
    <i>
      <x v="4"/>
    </i>
    <i t="grand">
      <x/>
    </i>
  </rowItems>
  <colItems count="1">
    <i/>
  </colItems>
  <dataFields count="1">
    <dataField name="Average of BMI" fld="10" subtotal="average" baseField="9" baseItem="0" numFmtId="2"/>
  </dataFields>
  <formats count="1">
    <format dxfId="89">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9" count="1" selected="0">
            <x v="0"/>
          </reference>
        </references>
      </pivotArea>
    </chartFormat>
    <chartFormat chart="9" format="9">
      <pivotArea type="data" outline="0" fieldPosition="0">
        <references count="2">
          <reference field="4294967294" count="1" selected="0">
            <x v="0"/>
          </reference>
          <reference field="9" count="1" selected="0">
            <x v="1"/>
          </reference>
        </references>
      </pivotArea>
    </chartFormat>
    <chartFormat chart="9" format="10">
      <pivotArea type="data" outline="0" fieldPosition="0">
        <references count="2">
          <reference field="4294967294" count="1" selected="0">
            <x v="0"/>
          </reference>
          <reference field="9" count="1" selected="0">
            <x v="2"/>
          </reference>
        </references>
      </pivotArea>
    </chartFormat>
    <chartFormat chart="9" format="11">
      <pivotArea type="data" outline="0" fieldPosition="0">
        <references count="2">
          <reference field="4294967294" count="1" selected="0">
            <x v="0"/>
          </reference>
          <reference field="9" count="1" selected="0">
            <x v="3"/>
          </reference>
        </references>
      </pivotArea>
    </chartFormat>
    <chartFormat chart="9" format="12">
      <pivotArea type="data" outline="0" fieldPosition="0">
        <references count="2">
          <reference field="4294967294" count="1" selected="0">
            <x v="0"/>
          </reference>
          <reference field="9" count="1" selected="0">
            <x v="4"/>
          </reference>
        </references>
      </pivotArea>
    </chartFormat>
    <chartFormat chart="19" format="1" series="1">
      <pivotArea type="data" outline="0" fieldPosition="0">
        <references count="1">
          <reference field="4294967294" count="1" selected="0">
            <x v="0"/>
          </reference>
        </references>
      </pivotArea>
    </chartFormat>
    <chartFormat chart="19" format="2">
      <pivotArea type="data" outline="0" fieldPosition="0">
        <references count="2">
          <reference field="4294967294" count="1" selected="0">
            <x v="0"/>
          </reference>
          <reference field="9" count="1" selected="0">
            <x v="0"/>
          </reference>
        </references>
      </pivotArea>
    </chartFormat>
    <chartFormat chart="19" format="3">
      <pivotArea type="data" outline="0" fieldPosition="0">
        <references count="2">
          <reference field="4294967294" count="1" selected="0">
            <x v="0"/>
          </reference>
          <reference field="9" count="1" selected="0">
            <x v="1"/>
          </reference>
        </references>
      </pivotArea>
    </chartFormat>
    <chartFormat chart="19" format="4">
      <pivotArea type="data" outline="0" fieldPosition="0">
        <references count="2">
          <reference field="4294967294" count="1" selected="0">
            <x v="0"/>
          </reference>
          <reference field="9" count="1" selected="0">
            <x v="2"/>
          </reference>
        </references>
      </pivotArea>
    </chartFormat>
    <chartFormat chart="19" format="5">
      <pivotArea type="data" outline="0" fieldPosition="0">
        <references count="2">
          <reference field="4294967294" count="1" selected="0">
            <x v="0"/>
          </reference>
          <reference field="9" count="1" selected="0">
            <x v="3"/>
          </reference>
        </references>
      </pivotArea>
    </chartFormat>
    <chartFormat chart="19" format="6">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931219-01FC-411D-AF18-633B9FFE1B88}"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G7:I13" firstHeaderRow="0" firstDataRow="1" firstDataCol="1"/>
  <pivotFields count="12">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6">
        <item x="0"/>
        <item x="1"/>
        <item x="2"/>
        <item x="3"/>
        <item x="4"/>
        <item t="default"/>
      </items>
    </pivotField>
    <pivotField showAll="0">
      <items count="3">
        <item x="0"/>
        <item x="1"/>
        <item t="default"/>
      </items>
    </pivotField>
    <pivotField showAll="0"/>
    <pivotField showAll="0"/>
    <pivotField dataField="1" showAll="0">
      <items count="6">
        <item x="1"/>
        <item x="0"/>
        <item x="3"/>
        <item x="2"/>
        <item x="4"/>
        <item t="default"/>
      </items>
    </pivotField>
    <pivotField showAll="0">
      <items count="6">
        <item x="3"/>
        <item x="1"/>
        <item x="0"/>
        <item x="2"/>
        <item x="4"/>
        <item t="default"/>
      </items>
    </pivotField>
    <pivotField showAll="0"/>
    <pivotField showAll="0"/>
    <pivotField axis="axisRow" showAll="0">
      <items count="6">
        <item x="1"/>
        <item x="2"/>
        <item x="3"/>
        <item x="0"/>
        <item x="4"/>
        <item t="default"/>
      </items>
    </pivotField>
    <pivotField dataField="1" numFmtId="2" showAll="0"/>
    <pivotField showAll="0">
      <items count="3">
        <item x="1"/>
        <item x="0"/>
        <item t="default"/>
      </items>
    </pivotField>
  </pivotFields>
  <rowFields count="1">
    <field x="9"/>
  </rowFields>
  <rowItems count="6">
    <i>
      <x/>
    </i>
    <i>
      <x v="1"/>
    </i>
    <i>
      <x v="2"/>
    </i>
    <i>
      <x v="3"/>
    </i>
    <i>
      <x v="4"/>
    </i>
    <i t="grand">
      <x/>
    </i>
  </rowItems>
  <colFields count="1">
    <field x="-2"/>
  </colFields>
  <colItems count="2">
    <i>
      <x/>
    </i>
    <i i="1">
      <x v="1"/>
    </i>
  </colItems>
  <dataFields count="2">
    <dataField name="Average of BMI" fld="10" subtotal="average" baseField="9" baseItem="0" numFmtId="2"/>
    <dataField name="Average of Daily_Fruit_Servings" fld="5" subtotal="average" baseField="9" baseItem="0"/>
  </dataFields>
  <formats count="1">
    <format dxfId="90">
      <pivotArea outline="0" collapsedLevelsAreSubtotals="1" fieldPosition="0"/>
    </format>
  </formats>
  <chartFormats count="2">
    <chartFormat chart="45" format="2" series="1">
      <pivotArea type="data" outline="0" fieldPosition="0">
        <references count="1">
          <reference field="4294967294" count="1" selected="0">
            <x v="0"/>
          </reference>
        </references>
      </pivotArea>
    </chartFormat>
    <chartFormat chart="45"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B13CCF-F5D0-476C-A529-2C43BE7D58A4}"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7:G24" firstHeaderRow="1" firstDataRow="2" firstDataCol="1"/>
  <pivotFields count="12">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6">
        <item x="0"/>
        <item x="1"/>
        <item x="2"/>
        <item x="3"/>
        <item x="4"/>
        <item t="default"/>
      </items>
    </pivotField>
    <pivotField showAll="0">
      <items count="3">
        <item x="0"/>
        <item x="1"/>
        <item t="default"/>
      </items>
    </pivotField>
    <pivotField showAll="0"/>
    <pivotField showAll="0"/>
    <pivotField axis="axisRow" showAll="0">
      <items count="6">
        <item x="1"/>
        <item x="0"/>
        <item x="3"/>
        <item x="2"/>
        <item x="4"/>
        <item t="default"/>
      </items>
    </pivotField>
    <pivotField axis="axisCol" showAll="0">
      <items count="6">
        <item x="3"/>
        <item x="1"/>
        <item x="0"/>
        <item x="2"/>
        <item x="4"/>
        <item t="default"/>
      </items>
    </pivotField>
    <pivotField showAll="0"/>
    <pivotField showAll="0"/>
    <pivotField showAll="0">
      <items count="6">
        <item x="1"/>
        <item x="2"/>
        <item x="3"/>
        <item x="0"/>
        <item x="4"/>
        <item t="default"/>
      </items>
    </pivotField>
    <pivotField dataField="1" numFmtId="2" showAll="0"/>
    <pivotField showAll="0">
      <items count="3">
        <item x="1"/>
        <item x="0"/>
        <item t="default"/>
      </items>
    </pivotField>
  </pivotFields>
  <rowFields count="1">
    <field x="5"/>
  </rowFields>
  <rowItems count="6">
    <i>
      <x/>
    </i>
    <i>
      <x v="1"/>
    </i>
    <i>
      <x v="2"/>
    </i>
    <i>
      <x v="3"/>
    </i>
    <i>
      <x v="4"/>
    </i>
    <i t="grand">
      <x/>
    </i>
  </rowItems>
  <colFields count="1">
    <field x="6"/>
  </colFields>
  <colItems count="6">
    <i>
      <x/>
    </i>
    <i>
      <x v="1"/>
    </i>
    <i>
      <x v="2"/>
    </i>
    <i>
      <x v="3"/>
    </i>
    <i>
      <x v="4"/>
    </i>
    <i t="grand">
      <x/>
    </i>
  </colItems>
  <dataFields count="1">
    <dataField name="Average of BMI" fld="10" subtotal="average" baseField="5" baseItem="0" numFmtId="2"/>
  </dataFields>
  <chartFormats count="10">
    <chartFormat chart="2" format="10" series="1">
      <pivotArea type="data" outline="0" fieldPosition="0">
        <references count="2">
          <reference field="4294967294" count="1" selected="0">
            <x v="0"/>
          </reference>
          <reference field="6" count="1" selected="0">
            <x v="0"/>
          </reference>
        </references>
      </pivotArea>
    </chartFormat>
    <chartFormat chart="2" format="11" series="1">
      <pivotArea type="data" outline="0" fieldPosition="0">
        <references count="2">
          <reference field="4294967294" count="1" selected="0">
            <x v="0"/>
          </reference>
          <reference field="6" count="1" selected="0">
            <x v="1"/>
          </reference>
        </references>
      </pivotArea>
    </chartFormat>
    <chartFormat chart="2" format="12" series="1">
      <pivotArea type="data" outline="0" fieldPosition="0">
        <references count="2">
          <reference field="4294967294" count="1" selected="0">
            <x v="0"/>
          </reference>
          <reference field="6" count="1" selected="0">
            <x v="2"/>
          </reference>
        </references>
      </pivotArea>
    </chartFormat>
    <chartFormat chart="2" format="13" series="1">
      <pivotArea type="data" outline="0" fieldPosition="0">
        <references count="2">
          <reference field="4294967294" count="1" selected="0">
            <x v="0"/>
          </reference>
          <reference field="6" count="1" selected="0">
            <x v="3"/>
          </reference>
        </references>
      </pivotArea>
    </chartFormat>
    <chartFormat chart="2" format="14" series="1">
      <pivotArea type="data" outline="0" fieldPosition="0">
        <references count="2">
          <reference field="4294967294" count="1" selected="0">
            <x v="0"/>
          </reference>
          <reference field="6" count="1" selected="0">
            <x v="4"/>
          </reference>
        </references>
      </pivotArea>
    </chartFormat>
    <chartFormat chart="8" format="5" series="1">
      <pivotArea type="data" outline="0" fieldPosition="0">
        <references count="2">
          <reference field="4294967294" count="1" selected="0">
            <x v="0"/>
          </reference>
          <reference field="6" count="1" selected="0">
            <x v="0"/>
          </reference>
        </references>
      </pivotArea>
    </chartFormat>
    <chartFormat chart="8" format="6" series="1">
      <pivotArea type="data" outline="0" fieldPosition="0">
        <references count="2">
          <reference field="4294967294" count="1" selected="0">
            <x v="0"/>
          </reference>
          <reference field="6" count="1" selected="0">
            <x v="1"/>
          </reference>
        </references>
      </pivotArea>
    </chartFormat>
    <chartFormat chart="8" format="7" series="1">
      <pivotArea type="data" outline="0" fieldPosition="0">
        <references count="2">
          <reference field="4294967294" count="1" selected="0">
            <x v="0"/>
          </reference>
          <reference field="6" count="1" selected="0">
            <x v="2"/>
          </reference>
        </references>
      </pivotArea>
    </chartFormat>
    <chartFormat chart="8" format="8" series="1">
      <pivotArea type="data" outline="0" fieldPosition="0">
        <references count="2">
          <reference field="4294967294" count="1" selected="0">
            <x v="0"/>
          </reference>
          <reference field="6" count="1" selected="0">
            <x v="3"/>
          </reference>
        </references>
      </pivotArea>
    </chartFormat>
    <chartFormat chart="8" format="9"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96CBF6-3C05-4FE7-98ED-FFCAC3BF3ACC}"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8:D13" firstHeaderRow="1" firstDataRow="2" firstDataCol="1"/>
  <pivotFields count="12">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showAll="0">
      <items count="6">
        <item x="0"/>
        <item x="1"/>
        <item x="2"/>
        <item x="3"/>
        <item x="4"/>
        <item t="default"/>
      </items>
    </pivotField>
    <pivotField showAll="0">
      <items count="3">
        <item x="0"/>
        <item x="1"/>
        <item t="default"/>
      </items>
    </pivotField>
    <pivotField showAll="0"/>
    <pivotField showAll="0"/>
    <pivotField showAll="0"/>
    <pivotField showAll="0"/>
    <pivotField showAll="0"/>
    <pivotField showAll="0"/>
    <pivotField showAll="0">
      <items count="6">
        <item x="1"/>
        <item x="2"/>
        <item x="3"/>
        <item x="0"/>
        <item x="4"/>
        <item t="default"/>
      </items>
    </pivotField>
    <pivotField numFmtId="2" showAll="0"/>
    <pivotField axis="axisCol" showAll="0">
      <items count="3">
        <item x="1"/>
        <item x="0"/>
        <item t="default"/>
      </items>
    </pivotField>
  </pivotFields>
  <rowFields count="1">
    <field x="1"/>
  </rowFields>
  <rowItems count="4">
    <i>
      <x v="1"/>
    </i>
    <i>
      <x v="2"/>
    </i>
    <i>
      <x v="3"/>
    </i>
    <i t="grand">
      <x/>
    </i>
  </rowItems>
  <colFields count="1">
    <field x="11"/>
  </colFields>
  <colItems count="3">
    <i>
      <x/>
    </i>
    <i>
      <x v="1"/>
    </i>
    <i t="grand">
      <x/>
    </i>
  </colItems>
  <dataFields count="1">
    <dataField name="Count of ChildID" fld="0" subtotal="count" baseField="0" baseItem="0"/>
  </dataFields>
  <chartFormats count="8">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2" format="4" series="1">
      <pivotArea type="data" outline="0" fieldPosition="0">
        <references count="2">
          <reference field="4294967294" count="1" selected="0">
            <x v="0"/>
          </reference>
          <reference field="11" count="1" selected="0">
            <x v="0"/>
          </reference>
        </references>
      </pivotArea>
    </chartFormat>
    <chartFormat chart="2" format="5" series="1">
      <pivotArea type="data" outline="0" fieldPosition="0">
        <references count="2">
          <reference field="4294967294" count="1" selected="0">
            <x v="0"/>
          </reference>
          <reference field="11"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11" format="2" series="1">
      <pivotArea type="data" outline="0" fieldPosition="0">
        <references count="2">
          <reference field="4294967294" count="1" selected="0">
            <x v="0"/>
          </reference>
          <reference field="11" count="1" selected="0">
            <x v="0"/>
          </reference>
        </references>
      </pivotArea>
    </chartFormat>
    <chartFormat chart="11" format="3"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855917E-6122-4F26-B570-44461DB5DACB}" sourceName="Gender">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0B16794-F98A-41E5-8F7A-CEF5B92966DA}" sourceName="Region">
  <extLst>
    <x:ext xmlns:x15="http://schemas.microsoft.com/office/spreadsheetml/2010/11/main" uri="{2F2917AC-EB37-4324-AD4E-5DD8C200BD13}">
      <x15:tableSlicerCache tableId="1" column="10"/>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lth_Status" xr10:uid="{98DBAB51-F844-4494-A644-E23A2EA9FEC8}" sourceName="Health Status">
  <extLst>
    <x:ext xmlns:x15="http://schemas.microsoft.com/office/spreadsheetml/2010/11/main" uri="{2F2917AC-EB37-4324-AD4E-5DD8C200BD13}">
      <x15:tableSlicerCache tableId="1" column="1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3284CC3-A30E-48FC-AC61-FE09471C6FF9}" cache="Slicer_Gender" caption="Gender" rowHeight="234950"/>
  <slicer name="Region 1" xr10:uid="{7482C062-961C-4AF5-9F98-3FD058675317}" cache="Slicer_Region" caption="Region" rowHeight="234950"/>
  <slicer name="Health Status 1" xr10:uid="{63CEBA86-13FD-470C-83E9-444D1EDA0E3B}" cache="Slicer_Health_Status" caption="Health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0686F0-4139-4BEA-BED9-8D35FA3646AA}" name="Table1" displayName="Table1" ref="A1:L101" totalsRowShown="0" headerRowDxfId="106" headerRowBorderDxfId="104" tableBorderDxfId="105" totalsRowBorderDxfId="103">
  <autoFilter ref="A1:L101" xr:uid="{E00686F0-4139-4BEA-BED9-8D35FA3646AA}"/>
  <tableColumns count="12">
    <tableColumn id="1" xr3:uid="{62D13AF3-379E-4BEC-9106-B2B3553AEC47}" name="ChildID" dataDxfId="102"/>
    <tableColumn id="2" xr3:uid="{9439FFDF-775E-4A6E-8095-EDEFB232A81C}" name="Age_Months" dataDxfId="101"/>
    <tableColumn id="3" xr3:uid="{7077FBF6-F292-4AD1-8400-3EC8F23F5A56}" name="Gender" dataDxfId="100"/>
    <tableColumn id="4" xr3:uid="{4AB6CD41-68AF-4539-A895-D2625C255052}" name="Height_cm" dataDxfId="99"/>
    <tableColumn id="5" xr3:uid="{781E6320-5F9B-4558-9773-AA68F2FF438E}" name="Weight_kg" dataDxfId="98"/>
    <tableColumn id="6" xr3:uid="{8908A7C0-5227-4F03-84D3-94042383116E}" name="Daily_Fruit_Servings" dataDxfId="97"/>
    <tableColumn id="7" xr3:uid="{10E9984E-EBA4-45C8-B1A5-650264352A63}" name="Daily_Veggie_Servings" dataDxfId="96"/>
    <tableColumn id="8" xr3:uid="{74A43804-B974-4377-9967-E4CA17274A60}" name="Daily_Sugar_Drinks" dataDxfId="95"/>
    <tableColumn id="9" xr3:uid="{8DB25E00-3440-41A1-B8FC-D2DC0968E096}" name="ScreenTime_Hours" dataDxfId="94"/>
    <tableColumn id="10" xr3:uid="{0A2ED64B-4093-4041-B027-5D5A8C337B7A}" name="Region" dataDxfId="93"/>
    <tableColumn id="13" xr3:uid="{94CE3E8A-9837-4B6C-9BC1-227FF985DCB8}" name="BMI" dataDxfId="92">
      <calculatedColumnFormula>Table1[[#This Row],[Weight_kg]]/((Table1[[#This Row],[Height_cm]]/100)^2)</calculatedColumnFormula>
    </tableColumn>
    <tableColumn id="14" xr3:uid="{94A8934E-70E6-4DB7-936D-02F92C90C455}" name="Health Status" dataDxfId="91">
      <calculatedColumnFormula>IF(Table1[[#This Row],[BMI]]&lt;18.5,"Under Weight",IF(Table1[[#This Row],[BMI]]&lt;24.5,"Healthy Weight",IF(Table1[[#This Row],[BMI]]&lt;=29.9,"Over weight","Obese")))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87F8D-5C68-498F-8E1A-DDCC948A2BC2}">
  <dimension ref="A1:L101"/>
  <sheetViews>
    <sheetView topLeftCell="B1" workbookViewId="0">
      <selection activeCell="J2" sqref="J2"/>
    </sheetView>
  </sheetViews>
  <sheetFormatPr defaultRowHeight="14.4" x14ac:dyDescent="0.3"/>
  <cols>
    <col min="1" max="1" width="11" customWidth="1"/>
    <col min="2" max="2" width="15.33203125" customWidth="1"/>
    <col min="3" max="3" width="11.21875" customWidth="1"/>
    <col min="4" max="4" width="13.77734375" customWidth="1"/>
    <col min="5" max="5" width="13.44140625" customWidth="1"/>
    <col min="6" max="6" width="16.21875" customWidth="1"/>
    <col min="7" max="7" width="18.6640625" customWidth="1"/>
    <col min="8" max="8" width="17.6640625" customWidth="1"/>
    <col min="9" max="9" width="16.88671875" customWidth="1"/>
    <col min="10" max="10" width="10.88671875" customWidth="1"/>
    <col min="11" max="11" width="11.21875" customWidth="1"/>
    <col min="12" max="12" width="15.44140625" customWidth="1"/>
    <col min="13" max="13" width="21.88671875" customWidth="1"/>
  </cols>
  <sheetData>
    <row r="1" spans="1:12" x14ac:dyDescent="0.3">
      <c r="A1" s="1" t="s">
        <v>0</v>
      </c>
      <c r="B1" s="2" t="s">
        <v>1</v>
      </c>
      <c r="C1" s="2" t="s">
        <v>2</v>
      </c>
      <c r="D1" s="2" t="s">
        <v>3</v>
      </c>
      <c r="E1" s="2" t="s">
        <v>4</v>
      </c>
      <c r="F1" s="2" t="s">
        <v>5</v>
      </c>
      <c r="G1" s="2" t="s">
        <v>6</v>
      </c>
      <c r="H1" s="2" t="s">
        <v>7</v>
      </c>
      <c r="I1" s="2" t="s">
        <v>8</v>
      </c>
      <c r="J1" s="3" t="s">
        <v>9</v>
      </c>
      <c r="K1" s="2" t="s">
        <v>118</v>
      </c>
      <c r="L1" s="2" t="s">
        <v>117</v>
      </c>
    </row>
    <row r="2" spans="1:12" x14ac:dyDescent="0.3">
      <c r="A2" s="4" t="s">
        <v>10</v>
      </c>
      <c r="B2" s="5">
        <v>47</v>
      </c>
      <c r="C2" s="5" t="s">
        <v>11</v>
      </c>
      <c r="D2" s="5">
        <v>104.41</v>
      </c>
      <c r="E2" s="5">
        <v>17.34</v>
      </c>
      <c r="F2" s="5">
        <v>1</v>
      </c>
      <c r="G2" s="5">
        <v>2</v>
      </c>
      <c r="H2" s="5">
        <v>3</v>
      </c>
      <c r="I2" s="5">
        <v>1.2</v>
      </c>
      <c r="J2" s="6" t="s">
        <v>12</v>
      </c>
      <c r="K2" s="10">
        <f>Table1[[#This Row],[Weight_kg]]/((Table1[[#This Row],[Height_cm]]/100)^2)</f>
        <v>15.90614369846883</v>
      </c>
      <c r="L2" t="str">
        <f>IF(Table1[[#This Row],[BMI]]&lt;18.5,"Under Weight",IF(Table1[[#This Row],[BMI]]&lt;24.5,"Healthy Weight",IF(Table1[[#This Row],[BMI]]&lt;=29.9,"Over weight","Obese")))</f>
        <v>Under Weight</v>
      </c>
    </row>
    <row r="3" spans="1:12" x14ac:dyDescent="0.3">
      <c r="A3" s="4" t="s">
        <v>13</v>
      </c>
      <c r="B3" s="5">
        <v>34</v>
      </c>
      <c r="C3" s="5" t="s">
        <v>11</v>
      </c>
      <c r="D3" s="5">
        <v>99.08</v>
      </c>
      <c r="E3" s="5">
        <v>16.21</v>
      </c>
      <c r="F3" s="5">
        <v>0</v>
      </c>
      <c r="G3" s="5">
        <v>1</v>
      </c>
      <c r="H3" s="5">
        <v>1</v>
      </c>
      <c r="I3" s="5">
        <v>1.4</v>
      </c>
      <c r="J3" s="6" t="s">
        <v>14</v>
      </c>
      <c r="K3" s="10">
        <f>Table1[[#This Row],[Weight_kg]]/((Table1[[#This Row],[Height_cm]]/100)^2)</f>
        <v>16.512431120446177</v>
      </c>
      <c r="L3" t="str">
        <f>IF(Table1[[#This Row],[BMI]]&lt;18.5,"Under Weight",IF(Table1[[#This Row],[BMI]]&lt;24.5,"Healthy Weight",IF(Table1[[#This Row],[BMI]]&lt;=29.9,"Over weight","Obese")))</f>
        <v>Under Weight</v>
      </c>
    </row>
    <row r="4" spans="1:12" x14ac:dyDescent="0.3">
      <c r="A4" s="4" t="s">
        <v>15</v>
      </c>
      <c r="B4" s="5">
        <v>35</v>
      </c>
      <c r="C4" s="5" t="s">
        <v>11</v>
      </c>
      <c r="D4" s="5">
        <v>94.96</v>
      </c>
      <c r="E4" s="5">
        <v>17.3</v>
      </c>
      <c r="F4" s="5">
        <v>3</v>
      </c>
      <c r="G4" s="5">
        <v>3</v>
      </c>
      <c r="H4" s="5">
        <v>2</v>
      </c>
      <c r="I4" s="5">
        <v>0.6</v>
      </c>
      <c r="J4" s="6" t="s">
        <v>14</v>
      </c>
      <c r="K4" s="10">
        <f>Table1[[#This Row],[Weight_kg]]/((Table1[[#This Row],[Height_cm]]/100)^2)</f>
        <v>19.185127564907393</v>
      </c>
      <c r="L4" t="str">
        <f>IF(Table1[[#This Row],[BMI]]&lt;18.5,"Under Weight",IF(Table1[[#This Row],[BMI]]&lt;24.5,"Healthy Weight",IF(Table1[[#This Row],[BMI]]&lt;=29.9,"Over weight","Obese")))</f>
        <v>Healthy Weight</v>
      </c>
    </row>
    <row r="5" spans="1:12" x14ac:dyDescent="0.3">
      <c r="A5" s="4" t="s">
        <v>16</v>
      </c>
      <c r="B5" s="5">
        <v>39</v>
      </c>
      <c r="C5" s="5" t="s">
        <v>11</v>
      </c>
      <c r="D5" s="5">
        <v>100.65</v>
      </c>
      <c r="E5" s="5">
        <v>20.010000000000002</v>
      </c>
      <c r="F5" s="5">
        <v>2</v>
      </c>
      <c r="G5" s="5">
        <v>0</v>
      </c>
      <c r="H5" s="5">
        <v>1</v>
      </c>
      <c r="I5" s="5">
        <v>1.5</v>
      </c>
      <c r="J5" s="6" t="s">
        <v>14</v>
      </c>
      <c r="K5" s="10">
        <f>Table1[[#This Row],[Weight_kg]]/((Table1[[#This Row],[Height_cm]]/100)^2)</f>
        <v>19.75238446372795</v>
      </c>
      <c r="L5" t="str">
        <f>IF(Table1[[#This Row],[BMI]]&lt;18.5,"Under Weight",IF(Table1[[#This Row],[BMI]]&lt;24.5,"Healthy Weight",IF(Table1[[#This Row],[BMI]]&lt;=29.9,"Over weight","Obese")))</f>
        <v>Healthy Weight</v>
      </c>
    </row>
    <row r="6" spans="1:12" x14ac:dyDescent="0.3">
      <c r="A6" s="4" t="s">
        <v>17</v>
      </c>
      <c r="B6" s="5">
        <v>26</v>
      </c>
      <c r="C6" s="5" t="s">
        <v>11</v>
      </c>
      <c r="D6" s="5">
        <v>90.06</v>
      </c>
      <c r="E6" s="5">
        <v>12.16</v>
      </c>
      <c r="F6" s="5">
        <v>0</v>
      </c>
      <c r="G6" s="5">
        <v>1</v>
      </c>
      <c r="H6" s="5">
        <v>0</v>
      </c>
      <c r="I6" s="5">
        <v>0.9</v>
      </c>
      <c r="J6" s="6" t="s">
        <v>12</v>
      </c>
      <c r="K6" s="10">
        <f>Table1[[#This Row],[Weight_kg]]/((Table1[[#This Row],[Height_cm]]/100)^2)</f>
        <v>14.992349216790304</v>
      </c>
      <c r="L6" t="str">
        <f>IF(Table1[[#This Row],[BMI]]&lt;18.5,"Under Weight",IF(Table1[[#This Row],[BMI]]&lt;24.5,"Healthy Weight",IF(Table1[[#This Row],[BMI]]&lt;=29.9,"Over weight","Obese")))</f>
        <v>Under Weight</v>
      </c>
    </row>
    <row r="7" spans="1:12" x14ac:dyDescent="0.3">
      <c r="A7" s="4" t="s">
        <v>18</v>
      </c>
      <c r="B7" s="5">
        <v>51</v>
      </c>
      <c r="C7" s="5" t="s">
        <v>19</v>
      </c>
      <c r="D7" s="5">
        <v>108.82</v>
      </c>
      <c r="E7" s="5">
        <v>21.54</v>
      </c>
      <c r="F7" s="5">
        <v>0</v>
      </c>
      <c r="G7" s="5">
        <v>1</v>
      </c>
      <c r="H7" s="5">
        <v>1</v>
      </c>
      <c r="I7" s="5">
        <v>0.9</v>
      </c>
      <c r="J7" s="6" t="s">
        <v>20</v>
      </c>
      <c r="K7" s="10">
        <f>Table1[[#This Row],[Weight_kg]]/((Table1[[#This Row],[Height_cm]]/100)^2)</f>
        <v>18.189813900132215</v>
      </c>
      <c r="L7" t="str">
        <f>IF(Table1[[#This Row],[BMI]]&lt;18.5,"Under Weight",IF(Table1[[#This Row],[BMI]]&lt;24.5,"Healthy Weight",IF(Table1[[#This Row],[BMI]]&lt;=29.9,"Over weight","Obese")))</f>
        <v>Under Weight</v>
      </c>
    </row>
    <row r="8" spans="1:12" x14ac:dyDescent="0.3">
      <c r="A8" s="4" t="s">
        <v>21</v>
      </c>
      <c r="B8" s="5">
        <v>52</v>
      </c>
      <c r="C8" s="5" t="s">
        <v>19</v>
      </c>
      <c r="D8" s="5">
        <v>110.28</v>
      </c>
      <c r="E8" s="5">
        <v>21.49</v>
      </c>
      <c r="F8" s="5">
        <v>4</v>
      </c>
      <c r="G8" s="5">
        <v>0</v>
      </c>
      <c r="H8" s="5">
        <v>2</v>
      </c>
      <c r="I8" s="5">
        <v>2.8</v>
      </c>
      <c r="J8" s="6" t="s">
        <v>12</v>
      </c>
      <c r="K8" s="10">
        <f>Table1[[#This Row],[Weight_kg]]/((Table1[[#This Row],[Height_cm]]/100)^2)</f>
        <v>17.67025840775398</v>
      </c>
      <c r="L8" t="str">
        <f>IF(Table1[[#This Row],[BMI]]&lt;18.5,"Under Weight",IF(Table1[[#This Row],[BMI]]&lt;24.5,"Healthy Weight",IF(Table1[[#This Row],[BMI]]&lt;=29.9,"Over weight","Obese")))</f>
        <v>Under Weight</v>
      </c>
    </row>
    <row r="9" spans="1:12" x14ac:dyDescent="0.3">
      <c r="A9" s="4" t="s">
        <v>22</v>
      </c>
      <c r="B9" s="5">
        <v>52</v>
      </c>
      <c r="C9" s="5" t="s">
        <v>11</v>
      </c>
      <c r="D9" s="5">
        <v>102.65</v>
      </c>
      <c r="E9" s="5">
        <v>19.55</v>
      </c>
      <c r="F9" s="5">
        <v>2</v>
      </c>
      <c r="G9" s="5">
        <v>2</v>
      </c>
      <c r="H9" s="5">
        <v>1</v>
      </c>
      <c r="I9" s="5">
        <v>1.3</v>
      </c>
      <c r="J9" s="6" t="s">
        <v>14</v>
      </c>
      <c r="K9" s="10">
        <f>Table1[[#This Row],[Weight_kg]]/((Table1[[#This Row],[Height_cm]]/100)^2)</f>
        <v>18.553628408784363</v>
      </c>
      <c r="L9" t="str">
        <f>IF(Table1[[#This Row],[BMI]]&lt;18.5,"Under Weight",IF(Table1[[#This Row],[BMI]]&lt;24.5,"Healthy Weight",IF(Table1[[#This Row],[BMI]]&lt;=29.9,"Over weight","Obese")))</f>
        <v>Healthy Weight</v>
      </c>
    </row>
    <row r="10" spans="1:12" x14ac:dyDescent="0.3">
      <c r="A10" s="4" t="s">
        <v>23</v>
      </c>
      <c r="B10" s="5">
        <v>28</v>
      </c>
      <c r="C10" s="5" t="s">
        <v>19</v>
      </c>
      <c r="D10" s="5">
        <v>91.47</v>
      </c>
      <c r="E10" s="5">
        <v>16.39</v>
      </c>
      <c r="F10" s="5">
        <v>3</v>
      </c>
      <c r="G10" s="5">
        <v>2</v>
      </c>
      <c r="H10" s="5">
        <v>3</v>
      </c>
      <c r="I10" s="5">
        <v>0.8</v>
      </c>
      <c r="J10" s="6" t="s">
        <v>24</v>
      </c>
      <c r="K10" s="10">
        <f>Table1[[#This Row],[Weight_kg]]/((Table1[[#This Row],[Height_cm]]/100)^2)</f>
        <v>19.589420799631078</v>
      </c>
      <c r="L10" t="str">
        <f>IF(Table1[[#This Row],[BMI]]&lt;18.5,"Under Weight",IF(Table1[[#This Row],[BMI]]&lt;24.5,"Healthy Weight",IF(Table1[[#This Row],[BMI]]&lt;=29.9,"Over weight","Obese")))</f>
        <v>Healthy Weight</v>
      </c>
    </row>
    <row r="11" spans="1:12" x14ac:dyDescent="0.3">
      <c r="A11" s="4" t="s">
        <v>25</v>
      </c>
      <c r="B11" s="5">
        <v>44</v>
      </c>
      <c r="C11" s="5" t="s">
        <v>11</v>
      </c>
      <c r="D11" s="5">
        <v>111.89</v>
      </c>
      <c r="E11" s="5">
        <v>17.95</v>
      </c>
      <c r="F11" s="5">
        <v>1</v>
      </c>
      <c r="G11" s="5">
        <v>3</v>
      </c>
      <c r="H11" s="5">
        <v>0</v>
      </c>
      <c r="I11" s="5">
        <v>0.8</v>
      </c>
      <c r="J11" s="6" t="s">
        <v>14</v>
      </c>
      <c r="K11" s="10">
        <f>Table1[[#This Row],[Weight_kg]]/((Table1[[#This Row],[Height_cm]]/100)^2)</f>
        <v>14.337779767724934</v>
      </c>
      <c r="L11" t="str">
        <f>IF(Table1[[#This Row],[BMI]]&lt;18.5,"Under Weight",IF(Table1[[#This Row],[BMI]]&lt;24.5,"Healthy Weight",IF(Table1[[#This Row],[BMI]]&lt;=29.9,"Over weight","Obese")))</f>
        <v>Under Weight</v>
      </c>
    </row>
    <row r="12" spans="1:12" x14ac:dyDescent="0.3">
      <c r="A12" s="4" t="s">
        <v>26</v>
      </c>
      <c r="B12" s="5">
        <v>25</v>
      </c>
      <c r="C12" s="5" t="s">
        <v>19</v>
      </c>
      <c r="D12" s="5">
        <v>96.25</v>
      </c>
      <c r="E12" s="5">
        <v>13.5</v>
      </c>
      <c r="F12" s="5">
        <v>3</v>
      </c>
      <c r="G12" s="5">
        <v>4</v>
      </c>
      <c r="H12" s="5">
        <v>0</v>
      </c>
      <c r="I12" s="5">
        <v>0.6</v>
      </c>
      <c r="J12" s="6" t="s">
        <v>27</v>
      </c>
      <c r="K12" s="10">
        <f>Table1[[#This Row],[Weight_kg]]/((Table1[[#This Row],[Height_cm]]/100)^2)</f>
        <v>14.572440546466519</v>
      </c>
      <c r="L12" t="str">
        <f>IF(Table1[[#This Row],[BMI]]&lt;18.5,"Under Weight",IF(Table1[[#This Row],[BMI]]&lt;24.5,"Healthy Weight",IF(Table1[[#This Row],[BMI]]&lt;=29.9,"Over weight","Obese")))</f>
        <v>Under Weight</v>
      </c>
    </row>
    <row r="13" spans="1:12" x14ac:dyDescent="0.3">
      <c r="A13" s="4" t="s">
        <v>28</v>
      </c>
      <c r="B13" s="5">
        <v>32</v>
      </c>
      <c r="C13" s="5" t="s">
        <v>11</v>
      </c>
      <c r="D13" s="5">
        <v>96.02</v>
      </c>
      <c r="E13" s="5">
        <v>16.55</v>
      </c>
      <c r="F13" s="5">
        <v>2</v>
      </c>
      <c r="G13" s="5">
        <v>0</v>
      </c>
      <c r="H13" s="5">
        <v>2</v>
      </c>
      <c r="I13" s="5">
        <v>1</v>
      </c>
      <c r="J13" s="6" t="s">
        <v>24</v>
      </c>
      <c r="K13" s="10">
        <f>Table1[[#This Row],[Weight_kg]]/((Table1[[#This Row],[Height_cm]]/100)^2)</f>
        <v>17.950419185130364</v>
      </c>
      <c r="L13" t="str">
        <f>IF(Table1[[#This Row],[BMI]]&lt;18.5,"Under Weight",IF(Table1[[#This Row],[BMI]]&lt;24.5,"Healthy Weight",IF(Table1[[#This Row],[BMI]]&lt;=29.9,"Over weight","Obese")))</f>
        <v>Under Weight</v>
      </c>
    </row>
    <row r="14" spans="1:12" x14ac:dyDescent="0.3">
      <c r="A14" s="4" t="s">
        <v>29</v>
      </c>
      <c r="B14" s="5">
        <v>34</v>
      </c>
      <c r="C14" s="5" t="s">
        <v>19</v>
      </c>
      <c r="D14" s="5">
        <v>97.37</v>
      </c>
      <c r="E14" s="5">
        <v>15.55</v>
      </c>
      <c r="F14" s="5">
        <v>0</v>
      </c>
      <c r="G14" s="5">
        <v>1</v>
      </c>
      <c r="H14" s="5">
        <v>2</v>
      </c>
      <c r="I14" s="5">
        <v>1.3</v>
      </c>
      <c r="J14" s="6" t="s">
        <v>20</v>
      </c>
      <c r="K14" s="10">
        <f>Table1[[#This Row],[Weight_kg]]/((Table1[[#This Row],[Height_cm]]/100)^2)</f>
        <v>16.401367255945466</v>
      </c>
      <c r="L14" t="str">
        <f>IF(Table1[[#This Row],[BMI]]&lt;18.5,"Under Weight",IF(Table1[[#This Row],[BMI]]&lt;24.5,"Healthy Weight",IF(Table1[[#This Row],[BMI]]&lt;=29.9,"Over weight","Obese")))</f>
        <v>Under Weight</v>
      </c>
    </row>
    <row r="15" spans="1:12" x14ac:dyDescent="0.3">
      <c r="A15" s="4" t="s">
        <v>30</v>
      </c>
      <c r="B15" s="5">
        <v>49</v>
      </c>
      <c r="C15" s="5" t="s">
        <v>19</v>
      </c>
      <c r="D15" s="5">
        <v>108.39</v>
      </c>
      <c r="E15" s="5">
        <v>20.100000000000001</v>
      </c>
      <c r="F15" s="5">
        <v>0</v>
      </c>
      <c r="G15" s="5">
        <v>2</v>
      </c>
      <c r="H15" s="5">
        <v>3</v>
      </c>
      <c r="I15" s="5">
        <v>0.6</v>
      </c>
      <c r="J15" s="6" t="s">
        <v>20</v>
      </c>
      <c r="K15" s="10">
        <f>Table1[[#This Row],[Weight_kg]]/((Table1[[#This Row],[Height_cm]]/100)^2)</f>
        <v>17.108724180222072</v>
      </c>
      <c r="L15" t="str">
        <f>IF(Table1[[#This Row],[BMI]]&lt;18.5,"Under Weight",IF(Table1[[#This Row],[BMI]]&lt;24.5,"Healthy Weight",IF(Table1[[#This Row],[BMI]]&lt;=29.9,"Over weight","Obese")))</f>
        <v>Under Weight</v>
      </c>
    </row>
    <row r="16" spans="1:12" x14ac:dyDescent="0.3">
      <c r="A16" s="4" t="s">
        <v>31</v>
      </c>
      <c r="B16" s="5">
        <v>25</v>
      </c>
      <c r="C16" s="5" t="s">
        <v>19</v>
      </c>
      <c r="D16" s="5">
        <v>92.58</v>
      </c>
      <c r="E16" s="5">
        <v>15.13</v>
      </c>
      <c r="F16" s="5">
        <v>2</v>
      </c>
      <c r="G16" s="5">
        <v>2</v>
      </c>
      <c r="H16" s="5">
        <v>2</v>
      </c>
      <c r="I16" s="5">
        <v>1.6</v>
      </c>
      <c r="J16" s="6" t="s">
        <v>14</v>
      </c>
      <c r="K16" s="10">
        <f>Table1[[#This Row],[Weight_kg]]/((Table1[[#This Row],[Height_cm]]/100)^2)</f>
        <v>17.652433135313405</v>
      </c>
      <c r="L16" t="str">
        <f>IF(Table1[[#This Row],[BMI]]&lt;18.5,"Under Weight",IF(Table1[[#This Row],[BMI]]&lt;24.5,"Healthy Weight",IF(Table1[[#This Row],[BMI]]&lt;=29.9,"Over weight","Obese")))</f>
        <v>Under Weight</v>
      </c>
    </row>
    <row r="17" spans="1:12" x14ac:dyDescent="0.3">
      <c r="A17" s="4" t="s">
        <v>32</v>
      </c>
      <c r="B17" s="5">
        <v>38</v>
      </c>
      <c r="C17" s="5" t="s">
        <v>19</v>
      </c>
      <c r="D17" s="5">
        <v>99.65</v>
      </c>
      <c r="E17" s="5">
        <v>16.940000000000001</v>
      </c>
      <c r="F17" s="5">
        <v>1</v>
      </c>
      <c r="G17" s="5">
        <v>3</v>
      </c>
      <c r="H17" s="5">
        <v>3</v>
      </c>
      <c r="I17" s="5">
        <v>2.1</v>
      </c>
      <c r="J17" s="6" t="s">
        <v>14</v>
      </c>
      <c r="K17" s="10">
        <f>Table1[[#This Row],[Weight_kg]]/((Table1[[#This Row],[Height_cm]]/100)^2)</f>
        <v>17.059205462973896</v>
      </c>
      <c r="L17" t="str">
        <f>IF(Table1[[#This Row],[BMI]]&lt;18.5,"Under Weight",IF(Table1[[#This Row],[BMI]]&lt;24.5,"Healthy Weight",IF(Table1[[#This Row],[BMI]]&lt;=29.9,"Over weight","Obese")))</f>
        <v>Under Weight</v>
      </c>
    </row>
    <row r="18" spans="1:12" x14ac:dyDescent="0.3">
      <c r="A18" s="4" t="s">
        <v>33</v>
      </c>
      <c r="B18" s="5">
        <v>38</v>
      </c>
      <c r="C18" s="5" t="s">
        <v>11</v>
      </c>
      <c r="D18" s="5">
        <v>98.91</v>
      </c>
      <c r="E18" s="5">
        <v>19.489999999999998</v>
      </c>
      <c r="F18" s="5">
        <v>0</v>
      </c>
      <c r="G18" s="5">
        <v>0</v>
      </c>
      <c r="H18" s="5">
        <v>3</v>
      </c>
      <c r="I18" s="5">
        <v>3.1</v>
      </c>
      <c r="J18" s="6" t="s">
        <v>14</v>
      </c>
      <c r="K18" s="10">
        <f>Table1[[#This Row],[Weight_kg]]/((Table1[[#This Row],[Height_cm]]/100)^2)</f>
        <v>19.92193117497148</v>
      </c>
      <c r="L18" t="str">
        <f>IF(Table1[[#This Row],[BMI]]&lt;18.5,"Under Weight",IF(Table1[[#This Row],[BMI]]&lt;24.5,"Healthy Weight",IF(Table1[[#This Row],[BMI]]&lt;=29.9,"Over weight","Obese")))</f>
        <v>Healthy Weight</v>
      </c>
    </row>
    <row r="19" spans="1:12" x14ac:dyDescent="0.3">
      <c r="A19" s="4" t="s">
        <v>34</v>
      </c>
      <c r="B19" s="5">
        <v>25</v>
      </c>
      <c r="C19" s="5" t="s">
        <v>11</v>
      </c>
      <c r="D19" s="5">
        <v>96.42</v>
      </c>
      <c r="E19" s="5">
        <v>14.69</v>
      </c>
      <c r="F19" s="5">
        <v>1</v>
      </c>
      <c r="G19" s="5">
        <v>3</v>
      </c>
      <c r="H19" s="5">
        <v>2</v>
      </c>
      <c r="I19" s="5">
        <v>1.2</v>
      </c>
      <c r="J19" s="6" t="s">
        <v>24</v>
      </c>
      <c r="K19" s="10">
        <f>Table1[[#This Row],[Weight_kg]]/((Table1[[#This Row],[Height_cm]]/100)^2)</f>
        <v>15.801108000799067</v>
      </c>
      <c r="L19" t="str">
        <f>IF(Table1[[#This Row],[BMI]]&lt;18.5,"Under Weight",IF(Table1[[#This Row],[BMI]]&lt;24.5,"Healthy Weight",IF(Table1[[#This Row],[BMI]]&lt;=29.9,"Over weight","Obese")))</f>
        <v>Under Weight</v>
      </c>
    </row>
    <row r="20" spans="1:12" x14ac:dyDescent="0.3">
      <c r="A20" s="4" t="s">
        <v>35</v>
      </c>
      <c r="B20" s="5">
        <v>57</v>
      </c>
      <c r="C20" s="5" t="s">
        <v>11</v>
      </c>
      <c r="D20" s="5">
        <v>109.26</v>
      </c>
      <c r="E20" s="5">
        <v>20.61</v>
      </c>
      <c r="F20" s="5">
        <v>3</v>
      </c>
      <c r="G20" s="5">
        <v>2</v>
      </c>
      <c r="H20" s="5">
        <v>1</v>
      </c>
      <c r="I20" s="5">
        <v>2</v>
      </c>
      <c r="J20" s="6" t="s">
        <v>20</v>
      </c>
      <c r="K20" s="10">
        <f>Table1[[#This Row],[Weight_kg]]/((Table1[[#This Row],[Height_cm]]/100)^2)</f>
        <v>17.264563375422682</v>
      </c>
      <c r="L20" t="str">
        <f>IF(Table1[[#This Row],[BMI]]&lt;18.5,"Under Weight",IF(Table1[[#This Row],[BMI]]&lt;24.5,"Healthy Weight",IF(Table1[[#This Row],[BMI]]&lt;=29.9,"Over weight","Obese")))</f>
        <v>Under Weight</v>
      </c>
    </row>
    <row r="21" spans="1:12" x14ac:dyDescent="0.3">
      <c r="A21" s="4" t="s">
        <v>36</v>
      </c>
      <c r="B21" s="5">
        <v>34</v>
      </c>
      <c r="C21" s="5" t="s">
        <v>19</v>
      </c>
      <c r="D21" s="5">
        <v>98.22</v>
      </c>
      <c r="E21" s="5">
        <v>15.49</v>
      </c>
      <c r="F21" s="5">
        <v>1</v>
      </c>
      <c r="G21" s="5">
        <v>2</v>
      </c>
      <c r="H21" s="5">
        <v>0</v>
      </c>
      <c r="I21" s="5">
        <v>0.8</v>
      </c>
      <c r="J21" s="6" t="s">
        <v>14</v>
      </c>
      <c r="K21" s="10">
        <f>Table1[[#This Row],[Weight_kg]]/((Table1[[#This Row],[Height_cm]]/100)^2)</f>
        <v>16.056524938447225</v>
      </c>
      <c r="L21" t="str">
        <f>IF(Table1[[#This Row],[BMI]]&lt;18.5,"Under Weight",IF(Table1[[#This Row],[BMI]]&lt;24.5,"Healthy Weight",IF(Table1[[#This Row],[BMI]]&lt;=29.9,"Over weight","Obese")))</f>
        <v>Under Weight</v>
      </c>
    </row>
    <row r="22" spans="1:12" x14ac:dyDescent="0.3">
      <c r="A22" s="4" t="s">
        <v>37</v>
      </c>
      <c r="B22" s="5">
        <v>35</v>
      </c>
      <c r="C22" s="5" t="s">
        <v>11</v>
      </c>
      <c r="D22" s="5">
        <v>101.02</v>
      </c>
      <c r="E22" s="5">
        <v>16.760000000000002</v>
      </c>
      <c r="F22" s="5">
        <v>3</v>
      </c>
      <c r="G22" s="5">
        <v>2</v>
      </c>
      <c r="H22" s="5">
        <v>2</v>
      </c>
      <c r="I22" s="5">
        <v>1.9</v>
      </c>
      <c r="J22" s="6" t="s">
        <v>12</v>
      </c>
      <c r="K22" s="10">
        <f>Table1[[#This Row],[Weight_kg]]/((Table1[[#This Row],[Height_cm]]/100)^2)</f>
        <v>16.423256883921791</v>
      </c>
      <c r="L22" t="str">
        <f>IF(Table1[[#This Row],[BMI]]&lt;18.5,"Under Weight",IF(Table1[[#This Row],[BMI]]&lt;24.5,"Healthy Weight",IF(Table1[[#This Row],[BMI]]&lt;=29.9,"Over weight","Obese")))</f>
        <v>Under Weight</v>
      </c>
    </row>
    <row r="23" spans="1:12" x14ac:dyDescent="0.3">
      <c r="A23" s="4" t="s">
        <v>38</v>
      </c>
      <c r="B23" s="5">
        <v>56</v>
      </c>
      <c r="C23" s="5" t="s">
        <v>19</v>
      </c>
      <c r="D23" s="5">
        <v>111.44</v>
      </c>
      <c r="E23" s="5">
        <v>21.87</v>
      </c>
      <c r="F23" s="5">
        <v>4</v>
      </c>
      <c r="G23" s="5">
        <v>1</v>
      </c>
      <c r="H23" s="5">
        <v>2</v>
      </c>
      <c r="I23" s="5">
        <v>1.9</v>
      </c>
      <c r="J23" s="6" t="s">
        <v>20</v>
      </c>
      <c r="K23" s="10">
        <f>Table1[[#This Row],[Weight_kg]]/((Table1[[#This Row],[Height_cm]]/100)^2)</f>
        <v>17.610292772445963</v>
      </c>
      <c r="L23" t="str">
        <f>IF(Table1[[#This Row],[BMI]]&lt;18.5,"Under Weight",IF(Table1[[#This Row],[BMI]]&lt;24.5,"Healthy Weight",IF(Table1[[#This Row],[BMI]]&lt;=29.9,"Over weight","Obese")))</f>
        <v>Under Weight</v>
      </c>
    </row>
    <row r="24" spans="1:12" x14ac:dyDescent="0.3">
      <c r="A24" s="4" t="s">
        <v>39</v>
      </c>
      <c r="B24" s="5">
        <v>46</v>
      </c>
      <c r="C24" s="5" t="s">
        <v>19</v>
      </c>
      <c r="D24" s="5">
        <v>103.85</v>
      </c>
      <c r="E24" s="5">
        <v>19.47</v>
      </c>
      <c r="F24" s="5">
        <v>2</v>
      </c>
      <c r="G24" s="5">
        <v>4</v>
      </c>
      <c r="H24" s="5">
        <v>3</v>
      </c>
      <c r="I24" s="5">
        <v>2.9</v>
      </c>
      <c r="J24" s="6" t="s">
        <v>20</v>
      </c>
      <c r="K24" s="10">
        <f>Table1[[#This Row],[Weight_kg]]/((Table1[[#This Row],[Height_cm]]/100)^2)</f>
        <v>18.053148301698982</v>
      </c>
      <c r="L24" t="str">
        <f>IF(Table1[[#This Row],[BMI]]&lt;18.5,"Under Weight",IF(Table1[[#This Row],[BMI]]&lt;24.5,"Healthy Weight",IF(Table1[[#This Row],[BMI]]&lt;=29.9,"Over weight","Obese")))</f>
        <v>Under Weight</v>
      </c>
    </row>
    <row r="25" spans="1:12" x14ac:dyDescent="0.3">
      <c r="A25" s="4" t="s">
        <v>40</v>
      </c>
      <c r="B25" s="5">
        <v>35</v>
      </c>
      <c r="C25" s="5" t="s">
        <v>11</v>
      </c>
      <c r="D25" s="5">
        <v>102.67</v>
      </c>
      <c r="E25" s="5">
        <v>13.79</v>
      </c>
      <c r="F25" s="5">
        <v>4</v>
      </c>
      <c r="G25" s="5">
        <v>1</v>
      </c>
      <c r="H25" s="5">
        <v>1</v>
      </c>
      <c r="I25" s="5">
        <v>2</v>
      </c>
      <c r="J25" s="6" t="s">
        <v>14</v>
      </c>
      <c r="K25" s="10">
        <f>Table1[[#This Row],[Weight_kg]]/((Table1[[#This Row],[Height_cm]]/100)^2)</f>
        <v>13.082090287312587</v>
      </c>
      <c r="L25" t="str">
        <f>IF(Table1[[#This Row],[BMI]]&lt;18.5,"Under Weight",IF(Table1[[#This Row],[BMI]]&lt;24.5,"Healthy Weight",IF(Table1[[#This Row],[BMI]]&lt;=29.9,"Over weight","Obese")))</f>
        <v>Under Weight</v>
      </c>
    </row>
    <row r="26" spans="1:12" x14ac:dyDescent="0.3">
      <c r="A26" s="4" t="s">
        <v>41</v>
      </c>
      <c r="B26" s="5">
        <v>52</v>
      </c>
      <c r="C26" s="5" t="s">
        <v>19</v>
      </c>
      <c r="D26" s="5">
        <v>107.91</v>
      </c>
      <c r="E26" s="5">
        <v>19.27</v>
      </c>
      <c r="F26" s="5">
        <v>4</v>
      </c>
      <c r="G26" s="5">
        <v>0</v>
      </c>
      <c r="H26" s="5">
        <v>0</v>
      </c>
      <c r="I26" s="5">
        <v>0.8</v>
      </c>
      <c r="J26" s="6" t="s">
        <v>20</v>
      </c>
      <c r="K26" s="10">
        <f>Table1[[#This Row],[Weight_kg]]/((Table1[[#This Row],[Height_cm]]/100)^2)</f>
        <v>16.548488389191526</v>
      </c>
      <c r="L26" t="str">
        <f>IF(Table1[[#This Row],[BMI]]&lt;18.5,"Under Weight",IF(Table1[[#This Row],[BMI]]&lt;24.5,"Healthy Weight",IF(Table1[[#This Row],[BMI]]&lt;=29.9,"Over weight","Obese")))</f>
        <v>Under Weight</v>
      </c>
    </row>
    <row r="27" spans="1:12" x14ac:dyDescent="0.3">
      <c r="A27" s="4" t="s">
        <v>42</v>
      </c>
      <c r="B27" s="5">
        <v>30</v>
      </c>
      <c r="C27" s="5" t="s">
        <v>11</v>
      </c>
      <c r="D27" s="5">
        <v>96.67</v>
      </c>
      <c r="E27" s="5">
        <v>15.72</v>
      </c>
      <c r="F27" s="5">
        <v>3</v>
      </c>
      <c r="G27" s="5">
        <v>1</v>
      </c>
      <c r="H27" s="5">
        <v>2</v>
      </c>
      <c r="I27" s="5">
        <v>1.2</v>
      </c>
      <c r="J27" s="6" t="s">
        <v>24</v>
      </c>
      <c r="K27" s="10">
        <f>Table1[[#This Row],[Weight_kg]]/((Table1[[#This Row],[Height_cm]]/100)^2)</f>
        <v>16.821669829165565</v>
      </c>
      <c r="L27" t="str">
        <f>IF(Table1[[#This Row],[BMI]]&lt;18.5,"Under Weight",IF(Table1[[#This Row],[BMI]]&lt;24.5,"Healthy Weight",IF(Table1[[#This Row],[BMI]]&lt;=29.9,"Over weight","Obese")))</f>
        <v>Under Weight</v>
      </c>
    </row>
    <row r="28" spans="1:12" x14ac:dyDescent="0.3">
      <c r="A28" s="4" t="s">
        <v>43</v>
      </c>
      <c r="B28" s="5">
        <v>35</v>
      </c>
      <c r="C28" s="5" t="s">
        <v>19</v>
      </c>
      <c r="D28" s="5">
        <v>101.41</v>
      </c>
      <c r="E28" s="5">
        <v>19.45</v>
      </c>
      <c r="F28" s="5">
        <v>0</v>
      </c>
      <c r="G28" s="5">
        <v>4</v>
      </c>
      <c r="H28" s="5">
        <v>2</v>
      </c>
      <c r="I28" s="5">
        <v>1.9</v>
      </c>
      <c r="J28" s="6" t="s">
        <v>12</v>
      </c>
      <c r="K28" s="10">
        <f>Table1[[#This Row],[Weight_kg]]/((Table1[[#This Row],[Height_cm]]/100)^2)</f>
        <v>18.912896252767929</v>
      </c>
      <c r="L28" t="str">
        <f>IF(Table1[[#This Row],[BMI]]&lt;18.5,"Under Weight",IF(Table1[[#This Row],[BMI]]&lt;24.5,"Healthy Weight",IF(Table1[[#This Row],[BMI]]&lt;=29.9,"Over weight","Obese")))</f>
        <v>Healthy Weight</v>
      </c>
    </row>
    <row r="29" spans="1:12" x14ac:dyDescent="0.3">
      <c r="A29" s="4" t="s">
        <v>44</v>
      </c>
      <c r="B29" s="5">
        <v>32</v>
      </c>
      <c r="C29" s="5" t="s">
        <v>11</v>
      </c>
      <c r="D29" s="5">
        <v>102.28</v>
      </c>
      <c r="E29" s="5">
        <v>11.75</v>
      </c>
      <c r="F29" s="5">
        <v>2</v>
      </c>
      <c r="G29" s="5">
        <v>1</v>
      </c>
      <c r="H29" s="5">
        <v>1</v>
      </c>
      <c r="I29" s="5">
        <v>1.3</v>
      </c>
      <c r="J29" s="6" t="s">
        <v>20</v>
      </c>
      <c r="K29" s="10">
        <f>Table1[[#This Row],[Weight_kg]]/((Table1[[#This Row],[Height_cm]]/100)^2)</f>
        <v>11.23198275256877</v>
      </c>
      <c r="L29" t="str">
        <f>IF(Table1[[#This Row],[BMI]]&lt;18.5,"Under Weight",IF(Table1[[#This Row],[BMI]]&lt;24.5,"Healthy Weight",IF(Table1[[#This Row],[BMI]]&lt;=29.9,"Over weight","Obese")))</f>
        <v>Under Weight</v>
      </c>
    </row>
    <row r="30" spans="1:12" x14ac:dyDescent="0.3">
      <c r="A30" s="4" t="s">
        <v>45</v>
      </c>
      <c r="B30" s="5">
        <v>46</v>
      </c>
      <c r="C30" s="5" t="s">
        <v>19</v>
      </c>
      <c r="D30" s="5">
        <v>105.06</v>
      </c>
      <c r="E30" s="5">
        <v>17.260000000000002</v>
      </c>
      <c r="F30" s="5">
        <v>4</v>
      </c>
      <c r="G30" s="5">
        <v>1</v>
      </c>
      <c r="H30" s="5">
        <v>2</v>
      </c>
      <c r="I30" s="5">
        <v>0.8</v>
      </c>
      <c r="J30" s="6" t="s">
        <v>14</v>
      </c>
      <c r="K30" s="10">
        <f>Table1[[#This Row],[Weight_kg]]/((Table1[[#This Row],[Height_cm]]/100)^2)</f>
        <v>15.637452318001349</v>
      </c>
      <c r="L30" t="str">
        <f>IF(Table1[[#This Row],[BMI]]&lt;18.5,"Under Weight",IF(Table1[[#This Row],[BMI]]&lt;24.5,"Healthy Weight",IF(Table1[[#This Row],[BMI]]&lt;=29.9,"Over weight","Obese")))</f>
        <v>Under Weight</v>
      </c>
    </row>
    <row r="31" spans="1:12" x14ac:dyDescent="0.3">
      <c r="A31" s="4" t="s">
        <v>46</v>
      </c>
      <c r="B31" s="5">
        <v>43</v>
      </c>
      <c r="C31" s="5" t="s">
        <v>19</v>
      </c>
      <c r="D31" s="5">
        <v>103.22</v>
      </c>
      <c r="E31" s="5">
        <v>20.74</v>
      </c>
      <c r="F31" s="5">
        <v>2</v>
      </c>
      <c r="G31" s="5">
        <v>2</v>
      </c>
      <c r="H31" s="5">
        <v>3</v>
      </c>
      <c r="I31" s="5">
        <v>2.1</v>
      </c>
      <c r="J31" s="6" t="s">
        <v>12</v>
      </c>
      <c r="K31" s="10">
        <f>Table1[[#This Row],[Weight_kg]]/((Table1[[#This Row],[Height_cm]]/100)^2)</f>
        <v>19.466193791459283</v>
      </c>
      <c r="L31" t="str">
        <f>IF(Table1[[#This Row],[BMI]]&lt;18.5,"Under Weight",IF(Table1[[#This Row],[BMI]]&lt;24.5,"Healthy Weight",IF(Table1[[#This Row],[BMI]]&lt;=29.9,"Over weight","Obese")))</f>
        <v>Healthy Weight</v>
      </c>
    </row>
    <row r="32" spans="1:12" x14ac:dyDescent="0.3">
      <c r="A32" s="4" t="s">
        <v>47</v>
      </c>
      <c r="B32" s="5">
        <v>46</v>
      </c>
      <c r="C32" s="5" t="s">
        <v>11</v>
      </c>
      <c r="D32" s="5">
        <v>105.42</v>
      </c>
      <c r="E32" s="5">
        <v>20.23</v>
      </c>
      <c r="F32" s="5">
        <v>4</v>
      </c>
      <c r="G32" s="5">
        <v>0</v>
      </c>
      <c r="H32" s="5">
        <v>2</v>
      </c>
      <c r="I32" s="5">
        <v>2.2999999999999998</v>
      </c>
      <c r="J32" s="6" t="s">
        <v>27</v>
      </c>
      <c r="K32" s="10">
        <f>Table1[[#This Row],[Weight_kg]]/((Table1[[#This Row],[Height_cm]]/100)^2)</f>
        <v>18.203288786295403</v>
      </c>
      <c r="L32" t="str">
        <f>IF(Table1[[#This Row],[BMI]]&lt;18.5,"Under Weight",IF(Table1[[#This Row],[BMI]]&lt;24.5,"Healthy Weight",IF(Table1[[#This Row],[BMI]]&lt;=29.9,"Over weight","Obese")))</f>
        <v>Under Weight</v>
      </c>
    </row>
    <row r="33" spans="1:12" x14ac:dyDescent="0.3">
      <c r="A33" s="4" t="s">
        <v>48</v>
      </c>
      <c r="B33" s="5">
        <v>32</v>
      </c>
      <c r="C33" s="5" t="s">
        <v>19</v>
      </c>
      <c r="D33" s="5">
        <v>97.29</v>
      </c>
      <c r="E33" s="5">
        <v>12.89</v>
      </c>
      <c r="F33" s="5">
        <v>4</v>
      </c>
      <c r="G33" s="5">
        <v>2</v>
      </c>
      <c r="H33" s="5">
        <v>2</v>
      </c>
      <c r="I33" s="5">
        <v>1.3</v>
      </c>
      <c r="J33" s="6" t="s">
        <v>14</v>
      </c>
      <c r="K33" s="10">
        <f>Table1[[#This Row],[Weight_kg]]/((Table1[[#This Row],[Height_cm]]/100)^2)</f>
        <v>13.618099737124188</v>
      </c>
      <c r="L33" t="str">
        <f>IF(Table1[[#This Row],[BMI]]&lt;18.5,"Under Weight",IF(Table1[[#This Row],[BMI]]&lt;24.5,"Healthy Weight",IF(Table1[[#This Row],[BMI]]&lt;=29.9,"Over weight","Obese")))</f>
        <v>Under Weight</v>
      </c>
    </row>
    <row r="34" spans="1:12" x14ac:dyDescent="0.3">
      <c r="A34" s="4" t="s">
        <v>49</v>
      </c>
      <c r="B34" s="5">
        <v>46</v>
      </c>
      <c r="C34" s="5" t="s">
        <v>19</v>
      </c>
      <c r="D34" s="5">
        <v>106.22</v>
      </c>
      <c r="E34" s="5">
        <v>19.48</v>
      </c>
      <c r="F34" s="5">
        <v>4</v>
      </c>
      <c r="G34" s="5">
        <v>3</v>
      </c>
      <c r="H34" s="5">
        <v>0</v>
      </c>
      <c r="I34" s="5">
        <v>0.7</v>
      </c>
      <c r="J34" s="6" t="s">
        <v>12</v>
      </c>
      <c r="K34" s="10">
        <f>Table1[[#This Row],[Weight_kg]]/((Table1[[#This Row],[Height_cm]]/100)^2)</f>
        <v>17.26538862847617</v>
      </c>
      <c r="L34" t="str">
        <f>IF(Table1[[#This Row],[BMI]]&lt;18.5,"Under Weight",IF(Table1[[#This Row],[BMI]]&lt;24.5,"Healthy Weight",IF(Table1[[#This Row],[BMI]]&lt;=29.9,"Over weight","Obese")))</f>
        <v>Under Weight</v>
      </c>
    </row>
    <row r="35" spans="1:12" x14ac:dyDescent="0.3">
      <c r="A35" s="4" t="s">
        <v>50</v>
      </c>
      <c r="B35" s="5">
        <v>56</v>
      </c>
      <c r="C35" s="5" t="s">
        <v>11</v>
      </c>
      <c r="D35" s="5">
        <v>114.63</v>
      </c>
      <c r="E35" s="5">
        <v>20.11</v>
      </c>
      <c r="F35" s="5">
        <v>2</v>
      </c>
      <c r="G35" s="5">
        <v>1</v>
      </c>
      <c r="H35" s="5">
        <v>0</v>
      </c>
      <c r="I35" s="5">
        <v>0.8</v>
      </c>
      <c r="J35" s="6" t="s">
        <v>27</v>
      </c>
      <c r="K35" s="10">
        <f>Table1[[#This Row],[Weight_kg]]/((Table1[[#This Row],[Height_cm]]/100)^2)</f>
        <v>15.304371025015923</v>
      </c>
      <c r="L35" t="str">
        <f>IF(Table1[[#This Row],[BMI]]&lt;18.5,"Under Weight",IF(Table1[[#This Row],[BMI]]&lt;24.5,"Healthy Weight",IF(Table1[[#This Row],[BMI]]&lt;=29.9,"Over weight","Obese")))</f>
        <v>Under Weight</v>
      </c>
    </row>
    <row r="36" spans="1:12" x14ac:dyDescent="0.3">
      <c r="A36" s="4" t="s">
        <v>51</v>
      </c>
      <c r="B36" s="5">
        <v>30</v>
      </c>
      <c r="C36" s="5" t="s">
        <v>11</v>
      </c>
      <c r="D36" s="5">
        <v>93.15</v>
      </c>
      <c r="E36" s="5">
        <v>14.24</v>
      </c>
      <c r="F36" s="5">
        <v>1</v>
      </c>
      <c r="G36" s="5">
        <v>1</v>
      </c>
      <c r="H36" s="5">
        <v>2</v>
      </c>
      <c r="I36" s="5">
        <v>1.3</v>
      </c>
      <c r="J36" s="6" t="s">
        <v>14</v>
      </c>
      <c r="K36" s="10">
        <f>Table1[[#This Row],[Weight_kg]]/((Table1[[#This Row],[Height_cm]]/100)^2)</f>
        <v>16.411348608910586</v>
      </c>
      <c r="L36" t="str">
        <f>IF(Table1[[#This Row],[BMI]]&lt;18.5,"Under Weight",IF(Table1[[#This Row],[BMI]]&lt;24.5,"Healthy Weight",IF(Table1[[#This Row],[BMI]]&lt;=29.9,"Over weight","Obese")))</f>
        <v>Under Weight</v>
      </c>
    </row>
    <row r="37" spans="1:12" x14ac:dyDescent="0.3">
      <c r="A37" s="4" t="s">
        <v>52</v>
      </c>
      <c r="B37" s="5">
        <v>44</v>
      </c>
      <c r="C37" s="5" t="s">
        <v>11</v>
      </c>
      <c r="D37" s="5">
        <v>102.36</v>
      </c>
      <c r="E37" s="5">
        <v>19.600000000000001</v>
      </c>
      <c r="F37" s="5">
        <v>1</v>
      </c>
      <c r="G37" s="5">
        <v>2</v>
      </c>
      <c r="H37" s="5">
        <v>0</v>
      </c>
      <c r="I37" s="5">
        <v>0.9</v>
      </c>
      <c r="J37" s="6" t="s">
        <v>27</v>
      </c>
      <c r="K37" s="10">
        <f>Table1[[#This Row],[Weight_kg]]/((Table1[[#This Row],[Height_cm]]/100)^2)</f>
        <v>18.706628300517327</v>
      </c>
      <c r="L37" t="str">
        <f>IF(Table1[[#This Row],[BMI]]&lt;18.5,"Under Weight",IF(Table1[[#This Row],[BMI]]&lt;24.5,"Healthy Weight",IF(Table1[[#This Row],[BMI]]&lt;=29.9,"Over weight","Obese")))</f>
        <v>Healthy Weight</v>
      </c>
    </row>
    <row r="38" spans="1:12" x14ac:dyDescent="0.3">
      <c r="A38" s="4" t="s">
        <v>53</v>
      </c>
      <c r="B38" s="5">
        <v>43</v>
      </c>
      <c r="C38" s="5" t="s">
        <v>11</v>
      </c>
      <c r="D38" s="5">
        <v>105.34</v>
      </c>
      <c r="E38" s="5">
        <v>14.14</v>
      </c>
      <c r="F38" s="5">
        <v>4</v>
      </c>
      <c r="G38" s="5">
        <v>3</v>
      </c>
      <c r="H38" s="5">
        <v>0</v>
      </c>
      <c r="I38" s="5">
        <v>0.8</v>
      </c>
      <c r="J38" s="6" t="s">
        <v>20</v>
      </c>
      <c r="K38" s="10">
        <f>Table1[[#This Row],[Weight_kg]]/((Table1[[#This Row],[Height_cm]]/100)^2)</f>
        <v>12.742738810730817</v>
      </c>
      <c r="L38" t="str">
        <f>IF(Table1[[#This Row],[BMI]]&lt;18.5,"Under Weight",IF(Table1[[#This Row],[BMI]]&lt;24.5,"Healthy Weight",IF(Table1[[#This Row],[BMI]]&lt;=29.9,"Over weight","Obese")))</f>
        <v>Under Weight</v>
      </c>
    </row>
    <row r="39" spans="1:12" x14ac:dyDescent="0.3">
      <c r="A39" s="4" t="s">
        <v>54</v>
      </c>
      <c r="B39" s="5">
        <v>31</v>
      </c>
      <c r="C39" s="5" t="s">
        <v>11</v>
      </c>
      <c r="D39" s="5">
        <v>96.26</v>
      </c>
      <c r="E39" s="5">
        <v>17.63</v>
      </c>
      <c r="F39" s="5">
        <v>3</v>
      </c>
      <c r="G39" s="5">
        <v>3</v>
      </c>
      <c r="H39" s="5">
        <v>2</v>
      </c>
      <c r="I39" s="5">
        <v>1.7</v>
      </c>
      <c r="J39" s="6" t="s">
        <v>20</v>
      </c>
      <c r="K39" s="10">
        <f>Table1[[#This Row],[Weight_kg]]/((Table1[[#This Row],[Height_cm]]/100)^2)</f>
        <v>19.026574134418222</v>
      </c>
      <c r="L39" t="str">
        <f>IF(Table1[[#This Row],[BMI]]&lt;18.5,"Under Weight",IF(Table1[[#This Row],[BMI]]&lt;24.5,"Healthy Weight",IF(Table1[[#This Row],[BMI]]&lt;=29.9,"Over weight","Obese")))</f>
        <v>Healthy Weight</v>
      </c>
    </row>
    <row r="40" spans="1:12" x14ac:dyDescent="0.3">
      <c r="A40" s="4" t="s">
        <v>55</v>
      </c>
      <c r="B40" s="5">
        <v>28</v>
      </c>
      <c r="C40" s="5" t="s">
        <v>19</v>
      </c>
      <c r="D40" s="5">
        <v>97.25</v>
      </c>
      <c r="E40" s="5">
        <v>14.98</v>
      </c>
      <c r="F40" s="5">
        <v>3</v>
      </c>
      <c r="G40" s="5">
        <v>4</v>
      </c>
      <c r="H40" s="5">
        <v>3</v>
      </c>
      <c r="I40" s="5">
        <v>3.2</v>
      </c>
      <c r="J40" s="6" t="s">
        <v>14</v>
      </c>
      <c r="K40" s="10">
        <f>Table1[[#This Row],[Weight_kg]]/((Table1[[#This Row],[Height_cm]]/100)^2)</f>
        <v>15.839176320537135</v>
      </c>
      <c r="L40" t="str">
        <f>IF(Table1[[#This Row],[BMI]]&lt;18.5,"Under Weight",IF(Table1[[#This Row],[BMI]]&lt;24.5,"Healthy Weight",IF(Table1[[#This Row],[BMI]]&lt;=29.9,"Over weight","Obese")))</f>
        <v>Under Weight</v>
      </c>
    </row>
    <row r="41" spans="1:12" x14ac:dyDescent="0.3">
      <c r="A41" s="4" t="s">
        <v>56</v>
      </c>
      <c r="B41" s="5">
        <v>48</v>
      </c>
      <c r="C41" s="5" t="s">
        <v>19</v>
      </c>
      <c r="D41" s="5">
        <v>108.23</v>
      </c>
      <c r="E41" s="5">
        <v>21</v>
      </c>
      <c r="F41" s="5">
        <v>3</v>
      </c>
      <c r="G41" s="5">
        <v>4</v>
      </c>
      <c r="H41" s="5">
        <v>0</v>
      </c>
      <c r="I41" s="5">
        <v>0.6</v>
      </c>
      <c r="J41" s="6" t="s">
        <v>14</v>
      </c>
      <c r="K41" s="10">
        <f>Table1[[#This Row],[Weight_kg]]/((Table1[[#This Row],[Height_cm]]/100)^2)</f>
        <v>17.927675301525785</v>
      </c>
      <c r="L41" t="str">
        <f>IF(Table1[[#This Row],[BMI]]&lt;18.5,"Under Weight",IF(Table1[[#This Row],[BMI]]&lt;24.5,"Healthy Weight",IF(Table1[[#This Row],[BMI]]&lt;=29.9,"Over weight","Obese")))</f>
        <v>Under Weight</v>
      </c>
    </row>
    <row r="42" spans="1:12" x14ac:dyDescent="0.3">
      <c r="A42" s="4" t="s">
        <v>57</v>
      </c>
      <c r="B42" s="5">
        <v>27</v>
      </c>
      <c r="C42" s="5" t="s">
        <v>19</v>
      </c>
      <c r="D42" s="5">
        <v>97</v>
      </c>
      <c r="E42" s="5">
        <v>15.12</v>
      </c>
      <c r="F42" s="5">
        <v>4</v>
      </c>
      <c r="G42" s="5">
        <v>0</v>
      </c>
      <c r="H42" s="5">
        <v>1</v>
      </c>
      <c r="I42" s="5">
        <v>1.7</v>
      </c>
      <c r="J42" s="6" t="s">
        <v>24</v>
      </c>
      <c r="K42" s="10">
        <f>Table1[[#This Row],[Weight_kg]]/((Table1[[#This Row],[Height_cm]]/100)^2)</f>
        <v>16.069720480391116</v>
      </c>
      <c r="L42" t="str">
        <f>IF(Table1[[#This Row],[BMI]]&lt;18.5,"Under Weight",IF(Table1[[#This Row],[BMI]]&lt;24.5,"Healthy Weight",IF(Table1[[#This Row],[BMI]]&lt;=29.9,"Over weight","Obese")))</f>
        <v>Under Weight</v>
      </c>
    </row>
    <row r="43" spans="1:12" x14ac:dyDescent="0.3">
      <c r="A43" s="4" t="s">
        <v>58</v>
      </c>
      <c r="B43" s="5">
        <v>45</v>
      </c>
      <c r="C43" s="5" t="s">
        <v>19</v>
      </c>
      <c r="D43" s="5">
        <v>107.27</v>
      </c>
      <c r="E43" s="5">
        <v>22.7</v>
      </c>
      <c r="F43" s="5">
        <v>4</v>
      </c>
      <c r="G43" s="5">
        <v>0</v>
      </c>
      <c r="H43" s="5">
        <v>0</v>
      </c>
      <c r="I43" s="5">
        <v>0.8</v>
      </c>
      <c r="J43" s="6" t="s">
        <v>12</v>
      </c>
      <c r="K43" s="10">
        <f>Table1[[#This Row],[Weight_kg]]/((Table1[[#This Row],[Height_cm]]/100)^2)</f>
        <v>19.727374806364303</v>
      </c>
      <c r="L43" t="str">
        <f>IF(Table1[[#This Row],[BMI]]&lt;18.5,"Under Weight",IF(Table1[[#This Row],[BMI]]&lt;24.5,"Healthy Weight",IF(Table1[[#This Row],[BMI]]&lt;=29.9,"Over weight","Obese")))</f>
        <v>Healthy Weight</v>
      </c>
    </row>
    <row r="44" spans="1:12" x14ac:dyDescent="0.3">
      <c r="A44" s="4" t="s">
        <v>59</v>
      </c>
      <c r="B44" s="5">
        <v>54</v>
      </c>
      <c r="C44" s="5" t="s">
        <v>19</v>
      </c>
      <c r="D44" s="5">
        <v>112.46</v>
      </c>
      <c r="E44" s="5">
        <v>21.36</v>
      </c>
      <c r="F44" s="5">
        <v>2</v>
      </c>
      <c r="G44" s="5">
        <v>0</v>
      </c>
      <c r="H44" s="5">
        <v>1</v>
      </c>
      <c r="I44" s="5">
        <v>1</v>
      </c>
      <c r="J44" s="6" t="s">
        <v>14</v>
      </c>
      <c r="K44" s="10">
        <f>Table1[[#This Row],[Weight_kg]]/((Table1[[#This Row],[Height_cm]]/100)^2)</f>
        <v>16.889044889405064</v>
      </c>
      <c r="L44" t="str">
        <f>IF(Table1[[#This Row],[BMI]]&lt;18.5,"Under Weight",IF(Table1[[#This Row],[BMI]]&lt;24.5,"Healthy Weight",IF(Table1[[#This Row],[BMI]]&lt;=29.9,"Over weight","Obese")))</f>
        <v>Under Weight</v>
      </c>
    </row>
    <row r="45" spans="1:12" x14ac:dyDescent="0.3">
      <c r="A45" s="4" t="s">
        <v>60</v>
      </c>
      <c r="B45" s="5">
        <v>40</v>
      </c>
      <c r="C45" s="5" t="s">
        <v>19</v>
      </c>
      <c r="D45" s="5">
        <v>103.32</v>
      </c>
      <c r="E45" s="5">
        <v>17.41</v>
      </c>
      <c r="F45" s="5">
        <v>1</v>
      </c>
      <c r="G45" s="5">
        <v>0</v>
      </c>
      <c r="H45" s="5">
        <v>2</v>
      </c>
      <c r="I45" s="5">
        <v>2</v>
      </c>
      <c r="J45" s="6" t="s">
        <v>20</v>
      </c>
      <c r="K45" s="10">
        <f>Table1[[#This Row],[Weight_kg]]/((Table1[[#This Row],[Height_cm]]/100)^2)</f>
        <v>16.309099267089127</v>
      </c>
      <c r="L45" t="str">
        <f>IF(Table1[[#This Row],[BMI]]&lt;18.5,"Under Weight",IF(Table1[[#This Row],[BMI]]&lt;24.5,"Healthy Weight",IF(Table1[[#This Row],[BMI]]&lt;=29.9,"Over weight","Obese")))</f>
        <v>Under Weight</v>
      </c>
    </row>
    <row r="46" spans="1:12" x14ac:dyDescent="0.3">
      <c r="A46" s="4" t="s">
        <v>61</v>
      </c>
      <c r="B46" s="5">
        <v>52</v>
      </c>
      <c r="C46" s="5" t="s">
        <v>11</v>
      </c>
      <c r="D46" s="5">
        <v>107.31</v>
      </c>
      <c r="E46" s="5">
        <v>17.34</v>
      </c>
      <c r="F46" s="5">
        <v>1</v>
      </c>
      <c r="G46" s="5">
        <v>3</v>
      </c>
      <c r="H46" s="5">
        <v>0</v>
      </c>
      <c r="I46" s="5">
        <v>0.5</v>
      </c>
      <c r="J46" s="6" t="s">
        <v>24</v>
      </c>
      <c r="K46" s="10">
        <f>Table1[[#This Row],[Weight_kg]]/((Table1[[#This Row],[Height_cm]]/100)^2)</f>
        <v>15.058048908803379</v>
      </c>
      <c r="L46" t="str">
        <f>IF(Table1[[#This Row],[BMI]]&lt;18.5,"Under Weight",IF(Table1[[#This Row],[BMI]]&lt;24.5,"Healthy Weight",IF(Table1[[#This Row],[BMI]]&lt;=29.9,"Over weight","Obese")))</f>
        <v>Under Weight</v>
      </c>
    </row>
    <row r="47" spans="1:12" x14ac:dyDescent="0.3">
      <c r="A47" s="4" t="s">
        <v>62</v>
      </c>
      <c r="B47" s="5">
        <v>34</v>
      </c>
      <c r="C47" s="5" t="s">
        <v>19</v>
      </c>
      <c r="D47" s="5">
        <v>99.12</v>
      </c>
      <c r="E47" s="5">
        <v>17.43</v>
      </c>
      <c r="F47" s="5">
        <v>3</v>
      </c>
      <c r="G47" s="5">
        <v>4</v>
      </c>
      <c r="H47" s="5">
        <v>3</v>
      </c>
      <c r="I47" s="5">
        <v>1.6</v>
      </c>
      <c r="J47" s="6" t="s">
        <v>12</v>
      </c>
      <c r="K47" s="10">
        <f>Table1[[#This Row],[Weight_kg]]/((Table1[[#This Row],[Height_cm]]/100)^2)</f>
        <v>17.740865378038603</v>
      </c>
      <c r="L47" t="str">
        <f>IF(Table1[[#This Row],[BMI]]&lt;18.5,"Under Weight",IF(Table1[[#This Row],[BMI]]&lt;24.5,"Healthy Weight",IF(Table1[[#This Row],[BMI]]&lt;=29.9,"Over weight","Obese")))</f>
        <v>Under Weight</v>
      </c>
    </row>
    <row r="48" spans="1:12" x14ac:dyDescent="0.3">
      <c r="A48" s="4" t="s">
        <v>63</v>
      </c>
      <c r="B48" s="5">
        <v>27</v>
      </c>
      <c r="C48" s="5" t="s">
        <v>19</v>
      </c>
      <c r="D48" s="5">
        <v>93.16</v>
      </c>
      <c r="E48" s="5">
        <v>15.53</v>
      </c>
      <c r="F48" s="5">
        <v>2</v>
      </c>
      <c r="G48" s="5">
        <v>2</v>
      </c>
      <c r="H48" s="5">
        <v>0</v>
      </c>
      <c r="I48" s="5">
        <v>0.8</v>
      </c>
      <c r="J48" s="6" t="s">
        <v>14</v>
      </c>
      <c r="K48" s="10">
        <f>Table1[[#This Row],[Weight_kg]]/((Table1[[#This Row],[Height_cm]]/100)^2)</f>
        <v>17.89420860909388</v>
      </c>
      <c r="L48" t="str">
        <f>IF(Table1[[#This Row],[BMI]]&lt;18.5,"Under Weight",IF(Table1[[#This Row],[BMI]]&lt;24.5,"Healthy Weight",IF(Table1[[#This Row],[BMI]]&lt;=29.9,"Over weight","Obese")))</f>
        <v>Under Weight</v>
      </c>
    </row>
    <row r="49" spans="1:12" x14ac:dyDescent="0.3">
      <c r="A49" s="4" t="s">
        <v>64</v>
      </c>
      <c r="B49" s="5">
        <v>55</v>
      </c>
      <c r="C49" s="5" t="s">
        <v>19</v>
      </c>
      <c r="D49" s="5">
        <v>111.49</v>
      </c>
      <c r="E49" s="5">
        <v>20.23</v>
      </c>
      <c r="F49" s="5">
        <v>1</v>
      </c>
      <c r="G49" s="5">
        <v>0</v>
      </c>
      <c r="H49" s="5">
        <v>1</v>
      </c>
      <c r="I49" s="5">
        <v>1.6</v>
      </c>
      <c r="J49" s="6" t="s">
        <v>24</v>
      </c>
      <c r="K49" s="10">
        <f>Table1[[#This Row],[Weight_kg]]/((Table1[[#This Row],[Height_cm]]/100)^2)</f>
        <v>16.27511447065158</v>
      </c>
      <c r="L49" t="str">
        <f>IF(Table1[[#This Row],[BMI]]&lt;18.5,"Under Weight",IF(Table1[[#This Row],[BMI]]&lt;24.5,"Healthy Weight",IF(Table1[[#This Row],[BMI]]&lt;=29.9,"Over weight","Obese")))</f>
        <v>Under Weight</v>
      </c>
    </row>
    <row r="50" spans="1:12" x14ac:dyDescent="0.3">
      <c r="A50" s="4" t="s">
        <v>65</v>
      </c>
      <c r="B50" s="5">
        <v>42</v>
      </c>
      <c r="C50" s="5" t="s">
        <v>11</v>
      </c>
      <c r="D50" s="5">
        <v>108.71</v>
      </c>
      <c r="E50" s="5">
        <v>16.2</v>
      </c>
      <c r="F50" s="5">
        <v>2</v>
      </c>
      <c r="G50" s="5">
        <v>1</v>
      </c>
      <c r="H50" s="5">
        <v>3</v>
      </c>
      <c r="I50" s="5">
        <v>1.1000000000000001</v>
      </c>
      <c r="J50" s="6" t="s">
        <v>24</v>
      </c>
      <c r="K50" s="10">
        <f>Table1[[#This Row],[Weight_kg]]/((Table1[[#This Row],[Height_cm]]/100)^2)</f>
        <v>13.708060833090812</v>
      </c>
      <c r="L50" t="str">
        <f>IF(Table1[[#This Row],[BMI]]&lt;18.5,"Under Weight",IF(Table1[[#This Row],[BMI]]&lt;24.5,"Healthy Weight",IF(Table1[[#This Row],[BMI]]&lt;=29.9,"Over weight","Obese")))</f>
        <v>Under Weight</v>
      </c>
    </row>
    <row r="51" spans="1:12" x14ac:dyDescent="0.3">
      <c r="A51" s="4" t="s">
        <v>66</v>
      </c>
      <c r="B51" s="5">
        <v>36</v>
      </c>
      <c r="C51" s="5" t="s">
        <v>11</v>
      </c>
      <c r="D51" s="5">
        <v>97.21</v>
      </c>
      <c r="E51" s="5">
        <v>13.41</v>
      </c>
      <c r="F51" s="5">
        <v>4</v>
      </c>
      <c r="G51" s="5">
        <v>3</v>
      </c>
      <c r="H51" s="5">
        <v>1</v>
      </c>
      <c r="I51" s="5">
        <v>0.9</v>
      </c>
      <c r="J51" s="6" t="s">
        <v>14</v>
      </c>
      <c r="K51" s="10">
        <f>Table1[[#This Row],[Weight_kg]]/((Table1[[#This Row],[Height_cm]]/100)^2)</f>
        <v>14.190800401461026</v>
      </c>
      <c r="L51" t="str">
        <f>IF(Table1[[#This Row],[BMI]]&lt;18.5,"Under Weight",IF(Table1[[#This Row],[BMI]]&lt;24.5,"Healthy Weight",IF(Table1[[#This Row],[BMI]]&lt;=29.9,"Over weight","Obese")))</f>
        <v>Under Weight</v>
      </c>
    </row>
    <row r="52" spans="1:12" x14ac:dyDescent="0.3">
      <c r="A52" s="4" t="s">
        <v>67</v>
      </c>
      <c r="B52" s="5">
        <v>34</v>
      </c>
      <c r="C52" s="5" t="s">
        <v>11</v>
      </c>
      <c r="D52" s="5">
        <v>98.46</v>
      </c>
      <c r="E52" s="5">
        <v>15.38</v>
      </c>
      <c r="F52" s="5">
        <v>3</v>
      </c>
      <c r="G52" s="5">
        <v>2</v>
      </c>
      <c r="H52" s="5">
        <v>2</v>
      </c>
      <c r="I52" s="5">
        <v>1.2</v>
      </c>
      <c r="J52" s="6" t="s">
        <v>12</v>
      </c>
      <c r="K52" s="10">
        <f>Table1[[#This Row],[Weight_kg]]/((Table1[[#This Row],[Height_cm]]/100)^2)</f>
        <v>15.864875656303504</v>
      </c>
      <c r="L52" t="str">
        <f>IF(Table1[[#This Row],[BMI]]&lt;18.5,"Under Weight",IF(Table1[[#This Row],[BMI]]&lt;24.5,"Healthy Weight",IF(Table1[[#This Row],[BMI]]&lt;=29.9,"Over weight","Obese")))</f>
        <v>Under Weight</v>
      </c>
    </row>
    <row r="53" spans="1:12" x14ac:dyDescent="0.3">
      <c r="A53" s="4" t="s">
        <v>68</v>
      </c>
      <c r="B53" s="5">
        <v>40</v>
      </c>
      <c r="C53" s="5" t="s">
        <v>11</v>
      </c>
      <c r="D53" s="5">
        <v>100.6</v>
      </c>
      <c r="E53" s="5">
        <v>17.309999999999999</v>
      </c>
      <c r="F53" s="5">
        <v>0</v>
      </c>
      <c r="G53" s="5">
        <v>3</v>
      </c>
      <c r="H53" s="5">
        <v>0</v>
      </c>
      <c r="I53" s="5">
        <v>0.6</v>
      </c>
      <c r="J53" s="6" t="s">
        <v>27</v>
      </c>
      <c r="K53" s="10">
        <f>Table1[[#This Row],[Weight_kg]]/((Table1[[#This Row],[Height_cm]]/100)^2)</f>
        <v>17.104134635526798</v>
      </c>
      <c r="L53" t="str">
        <f>IF(Table1[[#This Row],[BMI]]&lt;18.5,"Under Weight",IF(Table1[[#This Row],[BMI]]&lt;24.5,"Healthy Weight",IF(Table1[[#This Row],[BMI]]&lt;=29.9,"Over weight","Obese")))</f>
        <v>Under Weight</v>
      </c>
    </row>
    <row r="54" spans="1:12" x14ac:dyDescent="0.3">
      <c r="A54" s="4" t="s">
        <v>69</v>
      </c>
      <c r="B54" s="5">
        <v>39</v>
      </c>
      <c r="C54" s="5" t="s">
        <v>11</v>
      </c>
      <c r="D54" s="5">
        <v>96.54</v>
      </c>
      <c r="E54" s="5">
        <v>18.239999999999998</v>
      </c>
      <c r="F54" s="5">
        <v>4</v>
      </c>
      <c r="G54" s="5">
        <v>3</v>
      </c>
      <c r="H54" s="5">
        <v>1</v>
      </c>
      <c r="I54" s="5">
        <v>1.9</v>
      </c>
      <c r="J54" s="6" t="s">
        <v>27</v>
      </c>
      <c r="K54" s="10">
        <f>Table1[[#This Row],[Weight_kg]]/((Table1[[#This Row],[Height_cm]]/100)^2)</f>
        <v>19.570875087215928</v>
      </c>
      <c r="L54" t="str">
        <f>IF(Table1[[#This Row],[BMI]]&lt;18.5,"Under Weight",IF(Table1[[#This Row],[BMI]]&lt;24.5,"Healthy Weight",IF(Table1[[#This Row],[BMI]]&lt;=29.9,"Over weight","Obese")))</f>
        <v>Healthy Weight</v>
      </c>
    </row>
    <row r="55" spans="1:12" x14ac:dyDescent="0.3">
      <c r="A55" s="4" t="s">
        <v>70</v>
      </c>
      <c r="B55" s="5">
        <v>57</v>
      </c>
      <c r="C55" s="5" t="s">
        <v>19</v>
      </c>
      <c r="D55" s="5">
        <v>110.58</v>
      </c>
      <c r="E55" s="5">
        <v>21.99</v>
      </c>
      <c r="F55" s="5">
        <v>3</v>
      </c>
      <c r="G55" s="5">
        <v>0</v>
      </c>
      <c r="H55" s="5">
        <v>0</v>
      </c>
      <c r="I55" s="5">
        <v>0.9</v>
      </c>
      <c r="J55" s="6" t="s">
        <v>12</v>
      </c>
      <c r="K55" s="10">
        <f>Table1[[#This Row],[Weight_kg]]/((Table1[[#This Row],[Height_cm]]/100)^2)</f>
        <v>17.983410512341237</v>
      </c>
      <c r="L55" t="str">
        <f>IF(Table1[[#This Row],[BMI]]&lt;18.5,"Under Weight",IF(Table1[[#This Row],[BMI]]&lt;24.5,"Healthy Weight",IF(Table1[[#This Row],[BMI]]&lt;=29.9,"Over weight","Obese")))</f>
        <v>Under Weight</v>
      </c>
    </row>
    <row r="56" spans="1:12" x14ac:dyDescent="0.3">
      <c r="A56" s="4" t="s">
        <v>71</v>
      </c>
      <c r="B56" s="5">
        <v>50</v>
      </c>
      <c r="C56" s="5" t="s">
        <v>11</v>
      </c>
      <c r="D56" s="5">
        <v>114.47</v>
      </c>
      <c r="E56" s="5">
        <v>18.010000000000002</v>
      </c>
      <c r="F56" s="5">
        <v>1</v>
      </c>
      <c r="G56" s="5">
        <v>3</v>
      </c>
      <c r="H56" s="5">
        <v>0</v>
      </c>
      <c r="I56" s="5">
        <v>0.6</v>
      </c>
      <c r="J56" s="6" t="s">
        <v>24</v>
      </c>
      <c r="K56" s="10">
        <f>Table1[[#This Row],[Weight_kg]]/((Table1[[#This Row],[Height_cm]]/100)^2)</f>
        <v>13.744544356487417</v>
      </c>
      <c r="L56" t="str">
        <f>IF(Table1[[#This Row],[BMI]]&lt;18.5,"Under Weight",IF(Table1[[#This Row],[BMI]]&lt;24.5,"Healthy Weight",IF(Table1[[#This Row],[BMI]]&lt;=29.9,"Over weight","Obese")))</f>
        <v>Under Weight</v>
      </c>
    </row>
    <row r="57" spans="1:12" x14ac:dyDescent="0.3">
      <c r="A57" s="4" t="s">
        <v>72</v>
      </c>
      <c r="B57" s="5">
        <v>31</v>
      </c>
      <c r="C57" s="5" t="s">
        <v>11</v>
      </c>
      <c r="D57" s="5">
        <v>96.28</v>
      </c>
      <c r="E57" s="5">
        <v>16.84</v>
      </c>
      <c r="F57" s="5">
        <v>4</v>
      </c>
      <c r="G57" s="5">
        <v>2</v>
      </c>
      <c r="H57" s="5">
        <v>3</v>
      </c>
      <c r="I57" s="5">
        <v>0.5</v>
      </c>
      <c r="J57" s="6" t="s">
        <v>20</v>
      </c>
      <c r="K57" s="10">
        <f>Table1[[#This Row],[Weight_kg]]/((Table1[[#This Row],[Height_cm]]/100)^2)</f>
        <v>18.166443980296357</v>
      </c>
      <c r="L57" t="str">
        <f>IF(Table1[[#This Row],[BMI]]&lt;18.5,"Under Weight",IF(Table1[[#This Row],[BMI]]&lt;24.5,"Healthy Weight",IF(Table1[[#This Row],[BMI]]&lt;=29.9,"Over weight","Obese")))</f>
        <v>Under Weight</v>
      </c>
    </row>
    <row r="58" spans="1:12" x14ac:dyDescent="0.3">
      <c r="A58" s="4" t="s">
        <v>73</v>
      </c>
      <c r="B58" s="5">
        <v>44</v>
      </c>
      <c r="C58" s="5" t="s">
        <v>11</v>
      </c>
      <c r="D58" s="5">
        <v>104.76</v>
      </c>
      <c r="E58" s="5">
        <v>18.399999999999999</v>
      </c>
      <c r="F58" s="5">
        <v>4</v>
      </c>
      <c r="G58" s="5">
        <v>2</v>
      </c>
      <c r="H58" s="5">
        <v>1</v>
      </c>
      <c r="I58" s="5">
        <v>0.7</v>
      </c>
      <c r="J58" s="6" t="s">
        <v>12</v>
      </c>
      <c r="K58" s="10">
        <f>Table1[[#This Row],[Weight_kg]]/((Table1[[#This Row],[Height_cm]]/100)^2)</f>
        <v>16.765898919707524</v>
      </c>
      <c r="L58" t="str">
        <f>IF(Table1[[#This Row],[BMI]]&lt;18.5,"Under Weight",IF(Table1[[#This Row],[BMI]]&lt;24.5,"Healthy Weight",IF(Table1[[#This Row],[BMI]]&lt;=29.9,"Over weight","Obese")))</f>
        <v>Under Weight</v>
      </c>
    </row>
    <row r="59" spans="1:12" x14ac:dyDescent="0.3">
      <c r="A59" s="4" t="s">
        <v>74</v>
      </c>
      <c r="B59" s="5">
        <v>42</v>
      </c>
      <c r="C59" s="5" t="s">
        <v>19</v>
      </c>
      <c r="D59" s="5">
        <v>105.35</v>
      </c>
      <c r="E59" s="5">
        <v>19.88</v>
      </c>
      <c r="F59" s="5">
        <v>1</v>
      </c>
      <c r="G59" s="5">
        <v>2</v>
      </c>
      <c r="H59" s="5">
        <v>2</v>
      </c>
      <c r="I59" s="5">
        <v>2.8</v>
      </c>
      <c r="J59" s="6" t="s">
        <v>20</v>
      </c>
      <c r="K59" s="10">
        <f>Table1[[#This Row],[Weight_kg]]/((Table1[[#This Row],[Height_cm]]/100)^2)</f>
        <v>17.912132789452027</v>
      </c>
      <c r="L59" t="str">
        <f>IF(Table1[[#This Row],[BMI]]&lt;18.5,"Under Weight",IF(Table1[[#This Row],[BMI]]&lt;24.5,"Healthy Weight",IF(Table1[[#This Row],[BMI]]&lt;=29.9,"Over weight","Obese")))</f>
        <v>Under Weight</v>
      </c>
    </row>
    <row r="60" spans="1:12" x14ac:dyDescent="0.3">
      <c r="A60" s="4" t="s">
        <v>75</v>
      </c>
      <c r="B60" s="5">
        <v>59</v>
      </c>
      <c r="C60" s="5" t="s">
        <v>19</v>
      </c>
      <c r="D60" s="5">
        <v>110.75</v>
      </c>
      <c r="E60" s="5">
        <v>24.56</v>
      </c>
      <c r="F60" s="5">
        <v>4</v>
      </c>
      <c r="G60" s="5">
        <v>4</v>
      </c>
      <c r="H60" s="5">
        <v>1</v>
      </c>
      <c r="I60" s="5">
        <v>1.7</v>
      </c>
      <c r="J60" s="6" t="s">
        <v>12</v>
      </c>
      <c r="K60" s="10">
        <f>Table1[[#This Row],[Weight_kg]]/((Table1[[#This Row],[Height_cm]]/100)^2)</f>
        <v>20.023541521230683</v>
      </c>
      <c r="L60" t="str">
        <f>IF(Table1[[#This Row],[BMI]]&lt;18.5,"Under Weight",IF(Table1[[#This Row],[BMI]]&lt;24.5,"Healthy Weight",IF(Table1[[#This Row],[BMI]]&lt;=29.9,"Over weight","Obese")))</f>
        <v>Healthy Weight</v>
      </c>
    </row>
    <row r="61" spans="1:12" x14ac:dyDescent="0.3">
      <c r="A61" s="4" t="s">
        <v>76</v>
      </c>
      <c r="B61" s="5">
        <v>56</v>
      </c>
      <c r="C61" s="5" t="s">
        <v>19</v>
      </c>
      <c r="D61" s="5">
        <v>108</v>
      </c>
      <c r="E61" s="5">
        <v>22.24</v>
      </c>
      <c r="F61" s="5">
        <v>2</v>
      </c>
      <c r="G61" s="5">
        <v>4</v>
      </c>
      <c r="H61" s="5">
        <v>2</v>
      </c>
      <c r="I61" s="5">
        <v>1.1000000000000001</v>
      </c>
      <c r="J61" s="6" t="s">
        <v>14</v>
      </c>
      <c r="K61" s="10">
        <f>Table1[[#This Row],[Weight_kg]]/((Table1[[#This Row],[Height_cm]]/100)^2)</f>
        <v>19.067215363511657</v>
      </c>
      <c r="L61" t="str">
        <f>IF(Table1[[#This Row],[BMI]]&lt;18.5,"Under Weight",IF(Table1[[#This Row],[BMI]]&lt;24.5,"Healthy Weight",IF(Table1[[#This Row],[BMI]]&lt;=29.9,"Over weight","Obese")))</f>
        <v>Healthy Weight</v>
      </c>
    </row>
    <row r="62" spans="1:12" x14ac:dyDescent="0.3">
      <c r="A62" s="4" t="s">
        <v>77</v>
      </c>
      <c r="B62" s="5">
        <v>32</v>
      </c>
      <c r="C62" s="5" t="s">
        <v>11</v>
      </c>
      <c r="D62" s="5">
        <v>98.63</v>
      </c>
      <c r="E62" s="5">
        <v>17.96</v>
      </c>
      <c r="F62" s="5">
        <v>0</v>
      </c>
      <c r="G62" s="5">
        <v>0</v>
      </c>
      <c r="H62" s="5">
        <v>2</v>
      </c>
      <c r="I62" s="5">
        <v>2.6</v>
      </c>
      <c r="J62" s="6" t="s">
        <v>24</v>
      </c>
      <c r="K62" s="10">
        <f>Table1[[#This Row],[Weight_kg]]/((Table1[[#This Row],[Height_cm]]/100)^2)</f>
        <v>18.462404679483562</v>
      </c>
      <c r="L62" t="str">
        <f>IF(Table1[[#This Row],[BMI]]&lt;18.5,"Under Weight",IF(Table1[[#This Row],[BMI]]&lt;24.5,"Healthy Weight",IF(Table1[[#This Row],[BMI]]&lt;=29.9,"Over weight","Obese")))</f>
        <v>Under Weight</v>
      </c>
    </row>
    <row r="63" spans="1:12" x14ac:dyDescent="0.3">
      <c r="A63" s="4" t="s">
        <v>78</v>
      </c>
      <c r="B63" s="5">
        <v>47</v>
      </c>
      <c r="C63" s="5" t="s">
        <v>11</v>
      </c>
      <c r="D63" s="5">
        <v>103.57</v>
      </c>
      <c r="E63" s="5">
        <v>22.13</v>
      </c>
      <c r="F63" s="5">
        <v>3</v>
      </c>
      <c r="G63" s="5">
        <v>2</v>
      </c>
      <c r="H63" s="5">
        <v>0</v>
      </c>
      <c r="I63" s="5">
        <v>0.6</v>
      </c>
      <c r="J63" s="6" t="s">
        <v>12</v>
      </c>
      <c r="K63" s="10">
        <f>Table1[[#This Row],[Weight_kg]]/((Table1[[#This Row],[Height_cm]]/100)^2)</f>
        <v>20.630676133633052</v>
      </c>
      <c r="L63" t="str">
        <f>IF(Table1[[#This Row],[BMI]]&lt;18.5,"Under Weight",IF(Table1[[#This Row],[BMI]]&lt;24.5,"Healthy Weight",IF(Table1[[#This Row],[BMI]]&lt;=29.9,"Over weight","Obese")))</f>
        <v>Healthy Weight</v>
      </c>
    </row>
    <row r="64" spans="1:12" x14ac:dyDescent="0.3">
      <c r="A64" s="4" t="s">
        <v>79</v>
      </c>
      <c r="B64" s="5">
        <v>28</v>
      </c>
      <c r="C64" s="5" t="s">
        <v>19</v>
      </c>
      <c r="D64" s="5">
        <v>92.72</v>
      </c>
      <c r="E64" s="5">
        <v>15.7</v>
      </c>
      <c r="F64" s="5">
        <v>4</v>
      </c>
      <c r="G64" s="5">
        <v>0</v>
      </c>
      <c r="H64" s="5">
        <v>1</v>
      </c>
      <c r="I64" s="5">
        <v>0.5</v>
      </c>
      <c r="J64" s="6" t="s">
        <v>24</v>
      </c>
      <c r="K64" s="10">
        <f>Table1[[#This Row],[Weight_kg]]/((Table1[[#This Row],[Height_cm]]/100)^2)</f>
        <v>18.26218788176115</v>
      </c>
      <c r="L64" t="str">
        <f>IF(Table1[[#This Row],[BMI]]&lt;18.5,"Under Weight",IF(Table1[[#This Row],[BMI]]&lt;24.5,"Healthy Weight",IF(Table1[[#This Row],[BMI]]&lt;=29.9,"Over weight","Obese")))</f>
        <v>Under Weight</v>
      </c>
    </row>
    <row r="65" spans="1:12" x14ac:dyDescent="0.3">
      <c r="A65" s="4" t="s">
        <v>80</v>
      </c>
      <c r="B65" s="5">
        <v>56</v>
      </c>
      <c r="C65" s="5" t="s">
        <v>19</v>
      </c>
      <c r="D65" s="5">
        <v>113.3</v>
      </c>
      <c r="E65" s="5">
        <v>20.45</v>
      </c>
      <c r="F65" s="5">
        <v>2</v>
      </c>
      <c r="G65" s="5">
        <v>2</v>
      </c>
      <c r="H65" s="5">
        <v>2</v>
      </c>
      <c r="I65" s="5">
        <v>0.5</v>
      </c>
      <c r="J65" s="6" t="s">
        <v>27</v>
      </c>
      <c r="K65" s="10">
        <f>Table1[[#This Row],[Weight_kg]]/((Table1[[#This Row],[Height_cm]]/100)^2)</f>
        <v>15.930649869244029</v>
      </c>
      <c r="L65" t="str">
        <f>IF(Table1[[#This Row],[BMI]]&lt;18.5,"Under Weight",IF(Table1[[#This Row],[BMI]]&lt;24.5,"Healthy Weight",IF(Table1[[#This Row],[BMI]]&lt;=29.9,"Over weight","Obese")))</f>
        <v>Under Weight</v>
      </c>
    </row>
    <row r="66" spans="1:12" x14ac:dyDescent="0.3">
      <c r="A66" s="4" t="s">
        <v>81</v>
      </c>
      <c r="B66" s="5">
        <v>38</v>
      </c>
      <c r="C66" s="5" t="s">
        <v>19</v>
      </c>
      <c r="D66" s="5">
        <v>104.84</v>
      </c>
      <c r="E66" s="5">
        <v>19.829999999999998</v>
      </c>
      <c r="F66" s="5">
        <v>4</v>
      </c>
      <c r="G66" s="5">
        <v>0</v>
      </c>
      <c r="H66" s="5">
        <v>0</v>
      </c>
      <c r="I66" s="5">
        <v>0.8</v>
      </c>
      <c r="J66" s="6" t="s">
        <v>24</v>
      </c>
      <c r="K66" s="10">
        <f>Table1[[#This Row],[Weight_kg]]/((Table1[[#This Row],[Height_cm]]/100)^2)</f>
        <v>18.041335784504604</v>
      </c>
      <c r="L66" t="str">
        <f>IF(Table1[[#This Row],[BMI]]&lt;18.5,"Under Weight",IF(Table1[[#This Row],[BMI]]&lt;24.5,"Healthy Weight",IF(Table1[[#This Row],[BMI]]&lt;=29.9,"Over weight","Obese")))</f>
        <v>Under Weight</v>
      </c>
    </row>
    <row r="67" spans="1:12" x14ac:dyDescent="0.3">
      <c r="A67" s="4" t="s">
        <v>82</v>
      </c>
      <c r="B67" s="5">
        <v>50</v>
      </c>
      <c r="C67" s="5" t="s">
        <v>11</v>
      </c>
      <c r="D67" s="5">
        <v>104.56</v>
      </c>
      <c r="E67" s="5">
        <v>21.62</v>
      </c>
      <c r="F67" s="5">
        <v>4</v>
      </c>
      <c r="G67" s="5">
        <v>1</v>
      </c>
      <c r="H67" s="5">
        <v>1</v>
      </c>
      <c r="I67" s="5">
        <v>2</v>
      </c>
      <c r="J67" s="6" t="s">
        <v>12</v>
      </c>
      <c r="K67" s="10">
        <f>Table1[[#This Row],[Weight_kg]]/((Table1[[#This Row],[Height_cm]]/100)^2)</f>
        <v>19.775366471749727</v>
      </c>
      <c r="L67" t="str">
        <f>IF(Table1[[#This Row],[BMI]]&lt;18.5,"Under Weight",IF(Table1[[#This Row],[BMI]]&lt;24.5,"Healthy Weight",IF(Table1[[#This Row],[BMI]]&lt;=29.9,"Over weight","Obese")))</f>
        <v>Healthy Weight</v>
      </c>
    </row>
    <row r="68" spans="1:12" x14ac:dyDescent="0.3">
      <c r="A68" s="4" t="s">
        <v>83</v>
      </c>
      <c r="B68" s="5">
        <v>27</v>
      </c>
      <c r="C68" s="5" t="s">
        <v>19</v>
      </c>
      <c r="D68" s="5">
        <v>97.32</v>
      </c>
      <c r="E68" s="5">
        <v>16.28</v>
      </c>
      <c r="F68" s="5">
        <v>2</v>
      </c>
      <c r="G68" s="5">
        <v>4</v>
      </c>
      <c r="H68" s="5">
        <v>0</v>
      </c>
      <c r="I68" s="5">
        <v>0.8</v>
      </c>
      <c r="J68" s="6" t="s">
        <v>12</v>
      </c>
      <c r="K68" s="10">
        <f>Table1[[#This Row],[Weight_kg]]/((Table1[[#This Row],[Height_cm]]/100)^2)</f>
        <v>17.188983711262917</v>
      </c>
      <c r="L68" t="str">
        <f>IF(Table1[[#This Row],[BMI]]&lt;18.5,"Under Weight",IF(Table1[[#This Row],[BMI]]&lt;24.5,"Healthy Weight",IF(Table1[[#This Row],[BMI]]&lt;=29.9,"Over weight","Obese")))</f>
        <v>Under Weight</v>
      </c>
    </row>
    <row r="69" spans="1:12" x14ac:dyDescent="0.3">
      <c r="A69" s="4" t="s">
        <v>84</v>
      </c>
      <c r="B69" s="5">
        <v>32</v>
      </c>
      <c r="C69" s="5" t="s">
        <v>11</v>
      </c>
      <c r="D69" s="5">
        <v>103.58</v>
      </c>
      <c r="E69" s="5">
        <v>15.12</v>
      </c>
      <c r="F69" s="5">
        <v>4</v>
      </c>
      <c r="G69" s="5">
        <v>0</v>
      </c>
      <c r="H69" s="5">
        <v>2</v>
      </c>
      <c r="I69" s="5">
        <v>1.8</v>
      </c>
      <c r="J69" s="6" t="s">
        <v>20</v>
      </c>
      <c r="K69" s="10">
        <f>Table1[[#This Row],[Weight_kg]]/((Table1[[#This Row],[Height_cm]]/100)^2)</f>
        <v>14.092887263873765</v>
      </c>
      <c r="L69" t="str">
        <f>IF(Table1[[#This Row],[BMI]]&lt;18.5,"Under Weight",IF(Table1[[#This Row],[BMI]]&lt;24.5,"Healthy Weight",IF(Table1[[#This Row],[BMI]]&lt;=29.9,"Over weight","Obese")))</f>
        <v>Under Weight</v>
      </c>
    </row>
    <row r="70" spans="1:12" x14ac:dyDescent="0.3">
      <c r="A70" s="4" t="s">
        <v>85</v>
      </c>
      <c r="B70" s="5">
        <v>53</v>
      </c>
      <c r="C70" s="5" t="s">
        <v>19</v>
      </c>
      <c r="D70" s="5">
        <v>105.92</v>
      </c>
      <c r="E70" s="5">
        <v>22.98</v>
      </c>
      <c r="F70" s="5">
        <v>2</v>
      </c>
      <c r="G70" s="5">
        <v>0</v>
      </c>
      <c r="H70" s="5">
        <v>0</v>
      </c>
      <c r="I70" s="5">
        <v>0.8</v>
      </c>
      <c r="J70" s="6" t="s">
        <v>27</v>
      </c>
      <c r="K70" s="10">
        <f>Table1[[#This Row],[Weight_kg]]/((Table1[[#This Row],[Height_cm]]/100)^2)</f>
        <v>20.483024296966988</v>
      </c>
      <c r="L70" t="str">
        <f>IF(Table1[[#This Row],[BMI]]&lt;18.5,"Under Weight",IF(Table1[[#This Row],[BMI]]&lt;24.5,"Healthy Weight",IF(Table1[[#This Row],[BMI]]&lt;=29.9,"Over weight","Obese")))</f>
        <v>Healthy Weight</v>
      </c>
    </row>
    <row r="71" spans="1:12" x14ac:dyDescent="0.3">
      <c r="A71" s="4" t="s">
        <v>86</v>
      </c>
      <c r="B71" s="5">
        <v>33</v>
      </c>
      <c r="C71" s="5" t="s">
        <v>19</v>
      </c>
      <c r="D71" s="5">
        <v>104.76</v>
      </c>
      <c r="E71" s="5">
        <v>13.89</v>
      </c>
      <c r="F71" s="5">
        <v>3</v>
      </c>
      <c r="G71" s="5">
        <v>4</v>
      </c>
      <c r="H71" s="5">
        <v>0</v>
      </c>
      <c r="I71" s="5">
        <v>0.5</v>
      </c>
      <c r="J71" s="6" t="s">
        <v>20</v>
      </c>
      <c r="K71" s="10">
        <f>Table1[[#This Row],[Weight_kg]]/((Table1[[#This Row],[Height_cm]]/100)^2)</f>
        <v>12.656431304061822</v>
      </c>
      <c r="L71" t="str">
        <f>IF(Table1[[#This Row],[BMI]]&lt;18.5,"Under Weight",IF(Table1[[#This Row],[BMI]]&lt;24.5,"Healthy Weight",IF(Table1[[#This Row],[BMI]]&lt;=29.9,"Over weight","Obese")))</f>
        <v>Under Weight</v>
      </c>
    </row>
    <row r="72" spans="1:12" x14ac:dyDescent="0.3">
      <c r="A72" s="4" t="s">
        <v>87</v>
      </c>
      <c r="B72" s="5">
        <v>49</v>
      </c>
      <c r="C72" s="5" t="s">
        <v>19</v>
      </c>
      <c r="D72" s="5">
        <v>108.22</v>
      </c>
      <c r="E72" s="5">
        <v>19.55</v>
      </c>
      <c r="F72" s="5">
        <v>1</v>
      </c>
      <c r="G72" s="5">
        <v>1</v>
      </c>
      <c r="H72" s="5">
        <v>2</v>
      </c>
      <c r="I72" s="5">
        <v>1.6</v>
      </c>
      <c r="J72" s="6" t="s">
        <v>20</v>
      </c>
      <c r="K72" s="10">
        <f>Table1[[#This Row],[Weight_kg]]/((Table1[[#This Row],[Height_cm]]/100)^2)</f>
        <v>16.692896572247317</v>
      </c>
      <c r="L72" t="str">
        <f>IF(Table1[[#This Row],[BMI]]&lt;18.5,"Under Weight",IF(Table1[[#This Row],[BMI]]&lt;24.5,"Healthy Weight",IF(Table1[[#This Row],[BMI]]&lt;=29.9,"Over weight","Obese")))</f>
        <v>Under Weight</v>
      </c>
    </row>
    <row r="73" spans="1:12" x14ac:dyDescent="0.3">
      <c r="A73" s="4" t="s">
        <v>88</v>
      </c>
      <c r="B73" s="5">
        <v>32</v>
      </c>
      <c r="C73" s="5" t="s">
        <v>11</v>
      </c>
      <c r="D73" s="5">
        <v>97.69</v>
      </c>
      <c r="E73" s="5">
        <v>18.04</v>
      </c>
      <c r="F73" s="5">
        <v>3</v>
      </c>
      <c r="G73" s="5">
        <v>2</v>
      </c>
      <c r="H73" s="5">
        <v>2</v>
      </c>
      <c r="I73" s="5">
        <v>2.2000000000000002</v>
      </c>
      <c r="J73" s="6" t="s">
        <v>12</v>
      </c>
      <c r="K73" s="10">
        <f>Table1[[#This Row],[Weight_kg]]/((Table1[[#This Row],[Height_cm]]/100)^2)</f>
        <v>18.903242860743426</v>
      </c>
      <c r="L73" t="str">
        <f>IF(Table1[[#This Row],[BMI]]&lt;18.5,"Under Weight",IF(Table1[[#This Row],[BMI]]&lt;24.5,"Healthy Weight",IF(Table1[[#This Row],[BMI]]&lt;=29.9,"Over weight","Obese")))</f>
        <v>Healthy Weight</v>
      </c>
    </row>
    <row r="74" spans="1:12" x14ac:dyDescent="0.3">
      <c r="A74" s="4" t="s">
        <v>89</v>
      </c>
      <c r="B74" s="5">
        <v>52</v>
      </c>
      <c r="C74" s="5" t="s">
        <v>11</v>
      </c>
      <c r="D74" s="5">
        <v>104.99</v>
      </c>
      <c r="E74" s="5">
        <v>22.77</v>
      </c>
      <c r="F74" s="5">
        <v>3</v>
      </c>
      <c r="G74" s="5">
        <v>2</v>
      </c>
      <c r="H74" s="5">
        <v>1</v>
      </c>
      <c r="I74" s="5">
        <v>1.1000000000000001</v>
      </c>
      <c r="J74" s="6" t="s">
        <v>14</v>
      </c>
      <c r="K74" s="10">
        <f>Table1[[#This Row],[Weight_kg]]/((Table1[[#This Row],[Height_cm]]/100)^2)</f>
        <v>20.656995702972939</v>
      </c>
      <c r="L74" t="str">
        <f>IF(Table1[[#This Row],[BMI]]&lt;18.5,"Under Weight",IF(Table1[[#This Row],[BMI]]&lt;24.5,"Healthy Weight",IF(Table1[[#This Row],[BMI]]&lt;=29.9,"Over weight","Obese")))</f>
        <v>Healthy Weight</v>
      </c>
    </row>
    <row r="75" spans="1:12" x14ac:dyDescent="0.3">
      <c r="A75" s="4" t="s">
        <v>90</v>
      </c>
      <c r="B75" s="5">
        <v>25</v>
      </c>
      <c r="C75" s="5" t="s">
        <v>19</v>
      </c>
      <c r="D75" s="5">
        <v>88.93</v>
      </c>
      <c r="E75" s="5">
        <v>15.5</v>
      </c>
      <c r="F75" s="5">
        <v>3</v>
      </c>
      <c r="G75" s="5">
        <v>0</v>
      </c>
      <c r="H75" s="5">
        <v>3</v>
      </c>
      <c r="I75" s="5">
        <v>3.8</v>
      </c>
      <c r="J75" s="6" t="s">
        <v>14</v>
      </c>
      <c r="K75" s="10">
        <f>Table1[[#This Row],[Weight_kg]]/((Table1[[#This Row],[Height_cm]]/100)^2)</f>
        <v>19.59905418252098</v>
      </c>
      <c r="L75" t="str">
        <f>IF(Table1[[#This Row],[BMI]]&lt;18.5,"Under Weight",IF(Table1[[#This Row],[BMI]]&lt;24.5,"Healthy Weight",IF(Table1[[#This Row],[BMI]]&lt;=29.9,"Over weight","Obese")))</f>
        <v>Healthy Weight</v>
      </c>
    </row>
    <row r="76" spans="1:12" x14ac:dyDescent="0.3">
      <c r="A76" s="4" t="s">
        <v>91</v>
      </c>
      <c r="B76" s="5">
        <v>41</v>
      </c>
      <c r="C76" s="5" t="s">
        <v>11</v>
      </c>
      <c r="D76" s="5">
        <v>105.5</v>
      </c>
      <c r="E76" s="5">
        <v>20.18</v>
      </c>
      <c r="F76" s="5">
        <v>1</v>
      </c>
      <c r="G76" s="5">
        <v>4</v>
      </c>
      <c r="H76" s="5">
        <v>3</v>
      </c>
      <c r="I76" s="5">
        <v>1.9</v>
      </c>
      <c r="J76" s="6" t="s">
        <v>24</v>
      </c>
      <c r="K76" s="10">
        <f>Table1[[#This Row],[Weight_kg]]/((Table1[[#This Row],[Height_cm]]/100)^2)</f>
        <v>18.130769749107163</v>
      </c>
      <c r="L76" t="str">
        <f>IF(Table1[[#This Row],[BMI]]&lt;18.5,"Under Weight",IF(Table1[[#This Row],[BMI]]&lt;24.5,"Healthy Weight",IF(Table1[[#This Row],[BMI]]&lt;=29.9,"Over weight","Obese")))</f>
        <v>Under Weight</v>
      </c>
    </row>
    <row r="77" spans="1:12" x14ac:dyDescent="0.3">
      <c r="A77" s="4" t="s">
        <v>92</v>
      </c>
      <c r="B77" s="5">
        <v>38</v>
      </c>
      <c r="C77" s="5" t="s">
        <v>19</v>
      </c>
      <c r="D77" s="5">
        <v>101.47</v>
      </c>
      <c r="E77" s="5">
        <v>15.96</v>
      </c>
      <c r="F77" s="5">
        <v>1</v>
      </c>
      <c r="G77" s="5">
        <v>1</v>
      </c>
      <c r="H77" s="5">
        <v>0</v>
      </c>
      <c r="I77" s="5">
        <v>0.8</v>
      </c>
      <c r="J77" s="6" t="s">
        <v>12</v>
      </c>
      <c r="K77" s="10">
        <f>Table1[[#This Row],[Weight_kg]]/((Table1[[#This Row],[Height_cm]]/100)^2)</f>
        <v>15.500923261601326</v>
      </c>
      <c r="L77" t="str">
        <f>IF(Table1[[#This Row],[BMI]]&lt;18.5,"Under Weight",IF(Table1[[#This Row],[BMI]]&lt;24.5,"Healthy Weight",IF(Table1[[#This Row],[BMI]]&lt;=29.9,"Over weight","Obese")))</f>
        <v>Under Weight</v>
      </c>
    </row>
    <row r="78" spans="1:12" x14ac:dyDescent="0.3">
      <c r="A78" s="4" t="s">
        <v>93</v>
      </c>
      <c r="B78" s="5">
        <v>46</v>
      </c>
      <c r="C78" s="5" t="s">
        <v>19</v>
      </c>
      <c r="D78" s="5">
        <v>103.84</v>
      </c>
      <c r="E78" s="5">
        <v>17.13</v>
      </c>
      <c r="F78" s="5">
        <v>0</v>
      </c>
      <c r="G78" s="5">
        <v>4</v>
      </c>
      <c r="H78" s="5">
        <v>1</v>
      </c>
      <c r="I78" s="5">
        <v>0.7</v>
      </c>
      <c r="J78" s="6" t="s">
        <v>20</v>
      </c>
      <c r="K78" s="10">
        <f>Table1[[#This Row],[Weight_kg]]/((Table1[[#This Row],[Height_cm]]/100)^2)</f>
        <v>15.886491841187462</v>
      </c>
      <c r="L78" t="str">
        <f>IF(Table1[[#This Row],[BMI]]&lt;18.5,"Under Weight",IF(Table1[[#This Row],[BMI]]&lt;24.5,"Healthy Weight",IF(Table1[[#This Row],[BMI]]&lt;=29.9,"Over weight","Obese")))</f>
        <v>Under Weight</v>
      </c>
    </row>
    <row r="79" spans="1:12" x14ac:dyDescent="0.3">
      <c r="A79" s="4" t="s">
        <v>94</v>
      </c>
      <c r="B79" s="5">
        <v>45</v>
      </c>
      <c r="C79" s="5" t="s">
        <v>19</v>
      </c>
      <c r="D79" s="5">
        <v>103.74</v>
      </c>
      <c r="E79" s="5">
        <v>18.21</v>
      </c>
      <c r="F79" s="5">
        <v>1</v>
      </c>
      <c r="G79" s="5">
        <v>3</v>
      </c>
      <c r="H79" s="5">
        <v>0</v>
      </c>
      <c r="I79" s="5">
        <v>0.5</v>
      </c>
      <c r="J79" s="6" t="s">
        <v>20</v>
      </c>
      <c r="K79" s="10">
        <f>Table1[[#This Row],[Weight_kg]]/((Table1[[#This Row],[Height_cm]]/100)^2)</f>
        <v>16.920666215969256</v>
      </c>
      <c r="L79" t="str">
        <f>IF(Table1[[#This Row],[BMI]]&lt;18.5,"Under Weight",IF(Table1[[#This Row],[BMI]]&lt;24.5,"Healthy Weight",IF(Table1[[#This Row],[BMI]]&lt;=29.9,"Over weight","Obese")))</f>
        <v>Under Weight</v>
      </c>
    </row>
    <row r="80" spans="1:12" x14ac:dyDescent="0.3">
      <c r="A80" s="4" t="s">
        <v>95</v>
      </c>
      <c r="B80" s="5">
        <v>48</v>
      </c>
      <c r="C80" s="5" t="s">
        <v>19</v>
      </c>
      <c r="D80" s="5">
        <v>101.32</v>
      </c>
      <c r="E80" s="5">
        <v>21.93</v>
      </c>
      <c r="F80" s="5">
        <v>4</v>
      </c>
      <c r="G80" s="5">
        <v>2</v>
      </c>
      <c r="H80" s="5">
        <v>2</v>
      </c>
      <c r="I80" s="5">
        <v>2.8</v>
      </c>
      <c r="J80" s="6" t="s">
        <v>14</v>
      </c>
      <c r="K80" s="10">
        <f>Table1[[#This Row],[Weight_kg]]/((Table1[[#This Row],[Height_cm]]/100)^2)</f>
        <v>21.36231277340449</v>
      </c>
      <c r="L80" t="str">
        <f>IF(Table1[[#This Row],[BMI]]&lt;18.5,"Under Weight",IF(Table1[[#This Row],[BMI]]&lt;24.5,"Healthy Weight",IF(Table1[[#This Row],[BMI]]&lt;=29.9,"Over weight","Obese")))</f>
        <v>Healthy Weight</v>
      </c>
    </row>
    <row r="81" spans="1:12" x14ac:dyDescent="0.3">
      <c r="A81" s="4" t="s">
        <v>96</v>
      </c>
      <c r="B81" s="5">
        <v>54</v>
      </c>
      <c r="C81" s="5" t="s">
        <v>11</v>
      </c>
      <c r="D81" s="5">
        <v>109.83</v>
      </c>
      <c r="E81" s="5">
        <v>21.35</v>
      </c>
      <c r="F81" s="5">
        <v>3</v>
      </c>
      <c r="G81" s="5">
        <v>2</v>
      </c>
      <c r="H81" s="5">
        <v>1</v>
      </c>
      <c r="I81" s="5">
        <v>0.7</v>
      </c>
      <c r="J81" s="6" t="s">
        <v>24</v>
      </c>
      <c r="K81" s="10">
        <f>Table1[[#This Row],[Weight_kg]]/((Table1[[#This Row],[Height_cm]]/100)^2)</f>
        <v>17.699292730459444</v>
      </c>
      <c r="L81" t="str">
        <f>IF(Table1[[#This Row],[BMI]]&lt;18.5,"Under Weight",IF(Table1[[#This Row],[BMI]]&lt;24.5,"Healthy Weight",IF(Table1[[#This Row],[BMI]]&lt;=29.9,"Over weight","Obese")))</f>
        <v>Under Weight</v>
      </c>
    </row>
    <row r="82" spans="1:12" x14ac:dyDescent="0.3">
      <c r="A82" s="4" t="s">
        <v>97</v>
      </c>
      <c r="B82" s="5">
        <v>49</v>
      </c>
      <c r="C82" s="5" t="s">
        <v>19</v>
      </c>
      <c r="D82" s="5">
        <v>112.98</v>
      </c>
      <c r="E82" s="5">
        <v>18.22</v>
      </c>
      <c r="F82" s="5">
        <v>3</v>
      </c>
      <c r="G82" s="5">
        <v>1</v>
      </c>
      <c r="H82" s="5">
        <v>1</v>
      </c>
      <c r="I82" s="5">
        <v>1.7</v>
      </c>
      <c r="J82" s="6" t="s">
        <v>12</v>
      </c>
      <c r="K82" s="10">
        <f>Table1[[#This Row],[Weight_kg]]/((Table1[[#This Row],[Height_cm]]/100)^2)</f>
        <v>14.273984861929826</v>
      </c>
      <c r="L82" t="str">
        <f>IF(Table1[[#This Row],[BMI]]&lt;18.5,"Under Weight",IF(Table1[[#This Row],[BMI]]&lt;24.5,"Healthy Weight",IF(Table1[[#This Row],[BMI]]&lt;=29.9,"Over weight","Obese")))</f>
        <v>Under Weight</v>
      </c>
    </row>
    <row r="83" spans="1:12" x14ac:dyDescent="0.3">
      <c r="A83" s="4" t="s">
        <v>98</v>
      </c>
      <c r="B83" s="5">
        <v>45</v>
      </c>
      <c r="C83" s="5" t="s">
        <v>11</v>
      </c>
      <c r="D83" s="5">
        <v>104.87</v>
      </c>
      <c r="E83" s="5">
        <v>19.66</v>
      </c>
      <c r="F83" s="5">
        <v>1</v>
      </c>
      <c r="G83" s="5">
        <v>4</v>
      </c>
      <c r="H83" s="5">
        <v>2</v>
      </c>
      <c r="I83" s="5">
        <v>1.1000000000000001</v>
      </c>
      <c r="J83" s="6" t="s">
        <v>27</v>
      </c>
      <c r="K83" s="10">
        <f>Table1[[#This Row],[Weight_kg]]/((Table1[[#This Row],[Height_cm]]/100)^2)</f>
        <v>17.876437608609475</v>
      </c>
      <c r="L83" t="str">
        <f>IF(Table1[[#This Row],[BMI]]&lt;18.5,"Under Weight",IF(Table1[[#This Row],[BMI]]&lt;24.5,"Healthy Weight",IF(Table1[[#This Row],[BMI]]&lt;=29.9,"Over weight","Obese")))</f>
        <v>Under Weight</v>
      </c>
    </row>
    <row r="84" spans="1:12" x14ac:dyDescent="0.3">
      <c r="A84" s="4" t="s">
        <v>99</v>
      </c>
      <c r="B84" s="5">
        <v>30</v>
      </c>
      <c r="C84" s="5" t="s">
        <v>19</v>
      </c>
      <c r="D84" s="5">
        <v>100.81</v>
      </c>
      <c r="E84" s="5">
        <v>14.39</v>
      </c>
      <c r="F84" s="5">
        <v>2</v>
      </c>
      <c r="G84" s="5">
        <v>4</v>
      </c>
      <c r="H84" s="5">
        <v>2</v>
      </c>
      <c r="I84" s="5">
        <v>2.6</v>
      </c>
      <c r="J84" s="6" t="s">
        <v>12</v>
      </c>
      <c r="K84" s="10">
        <f>Table1[[#This Row],[Weight_kg]]/((Table1[[#This Row],[Height_cm]]/100)^2)</f>
        <v>14.159684100694896</v>
      </c>
      <c r="L84" t="str">
        <f>IF(Table1[[#This Row],[BMI]]&lt;18.5,"Under Weight",IF(Table1[[#This Row],[BMI]]&lt;24.5,"Healthy Weight",IF(Table1[[#This Row],[BMI]]&lt;=29.9,"Over weight","Obese")))</f>
        <v>Under Weight</v>
      </c>
    </row>
    <row r="85" spans="1:12" x14ac:dyDescent="0.3">
      <c r="A85" s="4" t="s">
        <v>100</v>
      </c>
      <c r="B85" s="5">
        <v>29</v>
      </c>
      <c r="C85" s="5" t="s">
        <v>11</v>
      </c>
      <c r="D85" s="5">
        <v>101.16</v>
      </c>
      <c r="E85" s="5">
        <v>14.14</v>
      </c>
      <c r="F85" s="5">
        <v>2</v>
      </c>
      <c r="G85" s="5">
        <v>2</v>
      </c>
      <c r="H85" s="5">
        <v>3</v>
      </c>
      <c r="I85" s="5">
        <v>1.3</v>
      </c>
      <c r="J85" s="6" t="s">
        <v>12</v>
      </c>
      <c r="K85" s="10">
        <f>Table1[[#This Row],[Weight_kg]]/((Table1[[#This Row],[Height_cm]]/100)^2)</f>
        <v>13.817573013462967</v>
      </c>
      <c r="L85" t="str">
        <f>IF(Table1[[#This Row],[BMI]]&lt;18.5,"Under Weight",IF(Table1[[#This Row],[BMI]]&lt;24.5,"Healthy Weight",IF(Table1[[#This Row],[BMI]]&lt;=29.9,"Over weight","Obese")))</f>
        <v>Under Weight</v>
      </c>
    </row>
    <row r="86" spans="1:12" x14ac:dyDescent="0.3">
      <c r="A86" s="4" t="s">
        <v>101</v>
      </c>
      <c r="B86" s="5">
        <v>57</v>
      </c>
      <c r="C86" s="5" t="s">
        <v>11</v>
      </c>
      <c r="D86" s="5">
        <v>115.19</v>
      </c>
      <c r="E86" s="5">
        <v>20.76</v>
      </c>
      <c r="F86" s="5">
        <v>1</v>
      </c>
      <c r="G86" s="5">
        <v>4</v>
      </c>
      <c r="H86" s="5">
        <v>0</v>
      </c>
      <c r="I86" s="5">
        <v>1</v>
      </c>
      <c r="J86" s="6" t="s">
        <v>12</v>
      </c>
      <c r="K86" s="10">
        <f>Table1[[#This Row],[Weight_kg]]/((Table1[[#This Row],[Height_cm]]/100)^2)</f>
        <v>15.645800657682841</v>
      </c>
      <c r="L86" t="str">
        <f>IF(Table1[[#This Row],[BMI]]&lt;18.5,"Under Weight",IF(Table1[[#This Row],[BMI]]&lt;24.5,"Healthy Weight",IF(Table1[[#This Row],[BMI]]&lt;=29.9,"Over weight","Obese")))</f>
        <v>Under Weight</v>
      </c>
    </row>
    <row r="87" spans="1:12" x14ac:dyDescent="0.3">
      <c r="A87" s="4" t="s">
        <v>102</v>
      </c>
      <c r="B87" s="5">
        <v>56</v>
      </c>
      <c r="C87" s="5" t="s">
        <v>19</v>
      </c>
      <c r="D87" s="5">
        <v>110.72</v>
      </c>
      <c r="E87" s="5">
        <v>20.149999999999999</v>
      </c>
      <c r="F87" s="5">
        <v>0</v>
      </c>
      <c r="G87" s="5">
        <v>1</v>
      </c>
      <c r="H87" s="5">
        <v>1</v>
      </c>
      <c r="I87" s="5">
        <v>2</v>
      </c>
      <c r="J87" s="6" t="s">
        <v>27</v>
      </c>
      <c r="K87" s="10">
        <f>Table1[[#This Row],[Weight_kg]]/((Table1[[#This Row],[Height_cm]]/100)^2)</f>
        <v>16.43701290971967</v>
      </c>
      <c r="L87" t="str">
        <f>IF(Table1[[#This Row],[BMI]]&lt;18.5,"Under Weight",IF(Table1[[#This Row],[BMI]]&lt;24.5,"Healthy Weight",IF(Table1[[#This Row],[BMI]]&lt;=29.9,"Over weight","Obese")))</f>
        <v>Under Weight</v>
      </c>
    </row>
    <row r="88" spans="1:12" x14ac:dyDescent="0.3">
      <c r="A88" s="4" t="s">
        <v>103</v>
      </c>
      <c r="B88" s="5">
        <v>56</v>
      </c>
      <c r="C88" s="5" t="s">
        <v>11</v>
      </c>
      <c r="D88" s="5">
        <v>106.73</v>
      </c>
      <c r="E88" s="5">
        <v>24.09</v>
      </c>
      <c r="F88" s="5">
        <v>0</v>
      </c>
      <c r="G88" s="5">
        <v>1</v>
      </c>
      <c r="H88" s="5">
        <v>3</v>
      </c>
      <c r="I88" s="5">
        <v>1.7</v>
      </c>
      <c r="J88" s="6" t="s">
        <v>27</v>
      </c>
      <c r="K88" s="10">
        <f>Table1[[#This Row],[Weight_kg]]/((Table1[[#This Row],[Height_cm]]/100)^2)</f>
        <v>21.147731176326783</v>
      </c>
      <c r="L88" t="str">
        <f>IF(Table1[[#This Row],[BMI]]&lt;18.5,"Under Weight",IF(Table1[[#This Row],[BMI]]&lt;24.5,"Healthy Weight",IF(Table1[[#This Row],[BMI]]&lt;=29.9,"Over weight","Obese")))</f>
        <v>Healthy Weight</v>
      </c>
    </row>
    <row r="89" spans="1:12" x14ac:dyDescent="0.3">
      <c r="A89" s="4" t="s">
        <v>104</v>
      </c>
      <c r="B89" s="5">
        <v>25</v>
      </c>
      <c r="C89" s="5" t="s">
        <v>11</v>
      </c>
      <c r="D89" s="5">
        <v>99.72</v>
      </c>
      <c r="E89" s="5">
        <v>14.9</v>
      </c>
      <c r="F89" s="5">
        <v>4</v>
      </c>
      <c r="G89" s="5">
        <v>2</v>
      </c>
      <c r="H89" s="5">
        <v>3</v>
      </c>
      <c r="I89" s="5">
        <v>2.2000000000000002</v>
      </c>
      <c r="J89" s="6" t="s">
        <v>14</v>
      </c>
      <c r="K89" s="10">
        <f>Table1[[#This Row],[Weight_kg]]/((Table1[[#This Row],[Height_cm]]/100)^2)</f>
        <v>14.983791760933824</v>
      </c>
      <c r="L89" t="str">
        <f>IF(Table1[[#This Row],[BMI]]&lt;18.5,"Under Weight",IF(Table1[[#This Row],[BMI]]&lt;24.5,"Healthy Weight",IF(Table1[[#This Row],[BMI]]&lt;=29.9,"Over weight","Obese")))</f>
        <v>Under Weight</v>
      </c>
    </row>
    <row r="90" spans="1:12" x14ac:dyDescent="0.3">
      <c r="A90" s="4" t="s">
        <v>105</v>
      </c>
      <c r="B90" s="5">
        <v>30</v>
      </c>
      <c r="C90" s="5" t="s">
        <v>11</v>
      </c>
      <c r="D90" s="5">
        <v>96.45</v>
      </c>
      <c r="E90" s="5">
        <v>14.77</v>
      </c>
      <c r="F90" s="5">
        <v>4</v>
      </c>
      <c r="G90" s="5">
        <v>2</v>
      </c>
      <c r="H90" s="5">
        <v>0</v>
      </c>
      <c r="I90" s="5">
        <v>0.6</v>
      </c>
      <c r="J90" s="6" t="s">
        <v>24</v>
      </c>
      <c r="K90" s="10">
        <f>Table1[[#This Row],[Weight_kg]]/((Table1[[#This Row],[Height_cm]]/100)^2)</f>
        <v>15.877277353299789</v>
      </c>
      <c r="L90" t="str">
        <f>IF(Table1[[#This Row],[BMI]]&lt;18.5,"Under Weight",IF(Table1[[#This Row],[BMI]]&lt;24.5,"Healthy Weight",IF(Table1[[#This Row],[BMI]]&lt;=29.9,"Over weight","Obese")))</f>
        <v>Under Weight</v>
      </c>
    </row>
    <row r="91" spans="1:12" x14ac:dyDescent="0.3">
      <c r="A91" s="4" t="s">
        <v>106</v>
      </c>
      <c r="B91" s="5">
        <v>53</v>
      </c>
      <c r="C91" s="5" t="s">
        <v>19</v>
      </c>
      <c r="D91" s="5">
        <v>106.44</v>
      </c>
      <c r="E91" s="5">
        <v>20.73</v>
      </c>
      <c r="F91" s="5">
        <v>4</v>
      </c>
      <c r="G91" s="5">
        <v>3</v>
      </c>
      <c r="H91" s="5">
        <v>2</v>
      </c>
      <c r="I91" s="5">
        <v>2</v>
      </c>
      <c r="J91" s="6" t="s">
        <v>12</v>
      </c>
      <c r="K91" s="10">
        <f>Table1[[#This Row],[Weight_kg]]/((Table1[[#This Row],[Height_cm]]/100)^2)</f>
        <v>18.29740792193558</v>
      </c>
      <c r="L91" t="str">
        <f>IF(Table1[[#This Row],[BMI]]&lt;18.5,"Under Weight",IF(Table1[[#This Row],[BMI]]&lt;24.5,"Healthy Weight",IF(Table1[[#This Row],[BMI]]&lt;=29.9,"Over weight","Obese")))</f>
        <v>Under Weight</v>
      </c>
    </row>
    <row r="92" spans="1:12" x14ac:dyDescent="0.3">
      <c r="A92" s="4" t="s">
        <v>107</v>
      </c>
      <c r="B92" s="5">
        <v>29</v>
      </c>
      <c r="C92" s="5" t="s">
        <v>11</v>
      </c>
      <c r="D92" s="5">
        <v>97.77</v>
      </c>
      <c r="E92" s="5">
        <v>15.72</v>
      </c>
      <c r="F92" s="5">
        <v>2</v>
      </c>
      <c r="G92" s="5">
        <v>0</v>
      </c>
      <c r="H92" s="5">
        <v>0</v>
      </c>
      <c r="I92" s="5">
        <v>0.9</v>
      </c>
      <c r="J92" s="6" t="s">
        <v>12</v>
      </c>
      <c r="K92" s="10">
        <f>Table1[[#This Row],[Weight_kg]]/((Table1[[#This Row],[Height_cm]]/100)^2)</f>
        <v>16.445281479979926</v>
      </c>
      <c r="L92" t="str">
        <f>IF(Table1[[#This Row],[BMI]]&lt;18.5,"Under Weight",IF(Table1[[#This Row],[BMI]]&lt;24.5,"Healthy Weight",IF(Table1[[#This Row],[BMI]]&lt;=29.9,"Over weight","Obese")))</f>
        <v>Under Weight</v>
      </c>
    </row>
    <row r="93" spans="1:12" x14ac:dyDescent="0.3">
      <c r="A93" s="4" t="s">
        <v>108</v>
      </c>
      <c r="B93" s="5">
        <v>58</v>
      </c>
      <c r="C93" s="5" t="s">
        <v>19</v>
      </c>
      <c r="D93" s="5">
        <v>113.49</v>
      </c>
      <c r="E93" s="5">
        <v>25.26</v>
      </c>
      <c r="F93" s="5">
        <v>0</v>
      </c>
      <c r="G93" s="5">
        <v>4</v>
      </c>
      <c r="H93" s="5">
        <v>3</v>
      </c>
      <c r="I93" s="5">
        <v>3</v>
      </c>
      <c r="J93" s="6" t="s">
        <v>27</v>
      </c>
      <c r="K93" s="10">
        <f>Table1[[#This Row],[Weight_kg]]/((Table1[[#This Row],[Height_cm]]/100)^2)</f>
        <v>19.611831543124822</v>
      </c>
      <c r="L93" t="str">
        <f>IF(Table1[[#This Row],[BMI]]&lt;18.5,"Under Weight",IF(Table1[[#This Row],[BMI]]&lt;24.5,"Healthy Weight",IF(Table1[[#This Row],[BMI]]&lt;=29.9,"Over weight","Obese")))</f>
        <v>Healthy Weight</v>
      </c>
    </row>
    <row r="94" spans="1:12" x14ac:dyDescent="0.3">
      <c r="A94" s="4" t="s">
        <v>109</v>
      </c>
      <c r="B94" s="5">
        <v>26</v>
      </c>
      <c r="C94" s="5" t="s">
        <v>19</v>
      </c>
      <c r="D94" s="5">
        <v>92.08</v>
      </c>
      <c r="E94" s="5">
        <v>15.29</v>
      </c>
      <c r="F94" s="5">
        <v>4</v>
      </c>
      <c r="G94" s="5">
        <v>1</v>
      </c>
      <c r="H94" s="5">
        <v>2</v>
      </c>
      <c r="I94" s="5">
        <v>2.6</v>
      </c>
      <c r="J94" s="6" t="s">
        <v>20</v>
      </c>
      <c r="K94" s="10">
        <f>Table1[[#This Row],[Weight_kg]]/((Table1[[#This Row],[Height_cm]]/100)^2)</f>
        <v>18.033368785198682</v>
      </c>
      <c r="L94" t="str">
        <f>IF(Table1[[#This Row],[BMI]]&lt;18.5,"Under Weight",IF(Table1[[#This Row],[BMI]]&lt;24.5,"Healthy Weight",IF(Table1[[#This Row],[BMI]]&lt;=29.9,"Over weight","Obese")))</f>
        <v>Under Weight</v>
      </c>
    </row>
    <row r="95" spans="1:12" x14ac:dyDescent="0.3">
      <c r="A95" s="4" t="s">
        <v>110</v>
      </c>
      <c r="B95" s="5">
        <v>25</v>
      </c>
      <c r="C95" s="5" t="s">
        <v>11</v>
      </c>
      <c r="D95" s="5">
        <v>96.42</v>
      </c>
      <c r="E95" s="5">
        <v>15.34</v>
      </c>
      <c r="F95" s="5">
        <v>4</v>
      </c>
      <c r="G95" s="5">
        <v>3</v>
      </c>
      <c r="H95" s="5">
        <v>2</v>
      </c>
      <c r="I95" s="5">
        <v>0.9</v>
      </c>
      <c r="J95" s="6" t="s">
        <v>20</v>
      </c>
      <c r="K95" s="10">
        <f>Table1[[#This Row],[Weight_kg]]/((Table1[[#This Row],[Height_cm]]/100)^2)</f>
        <v>16.500272071630885</v>
      </c>
      <c r="L95" t="str">
        <f>IF(Table1[[#This Row],[BMI]]&lt;18.5,"Under Weight",IF(Table1[[#This Row],[BMI]]&lt;24.5,"Healthy Weight",IF(Table1[[#This Row],[BMI]]&lt;=29.9,"Over weight","Obese")))</f>
        <v>Under Weight</v>
      </c>
    </row>
    <row r="96" spans="1:12" x14ac:dyDescent="0.3">
      <c r="A96" s="4" t="s">
        <v>111</v>
      </c>
      <c r="B96" s="5">
        <v>59</v>
      </c>
      <c r="C96" s="5" t="s">
        <v>11</v>
      </c>
      <c r="D96" s="5">
        <v>108.1</v>
      </c>
      <c r="E96" s="5">
        <v>19.25</v>
      </c>
      <c r="F96" s="5">
        <v>1</v>
      </c>
      <c r="G96" s="5">
        <v>0</v>
      </c>
      <c r="H96" s="5">
        <v>1</v>
      </c>
      <c r="I96" s="5">
        <v>1</v>
      </c>
      <c r="J96" s="6" t="s">
        <v>12</v>
      </c>
      <c r="K96" s="10">
        <f>Table1[[#This Row],[Weight_kg]]/((Table1[[#This Row],[Height_cm]]/100)^2)</f>
        <v>16.47325214515973</v>
      </c>
      <c r="L96" t="str">
        <f>IF(Table1[[#This Row],[BMI]]&lt;18.5,"Under Weight",IF(Table1[[#This Row],[BMI]]&lt;24.5,"Healthy Weight",IF(Table1[[#This Row],[BMI]]&lt;=29.9,"Over weight","Obese")))</f>
        <v>Under Weight</v>
      </c>
    </row>
    <row r="97" spans="1:12" x14ac:dyDescent="0.3">
      <c r="A97" s="4" t="s">
        <v>112</v>
      </c>
      <c r="B97" s="5">
        <v>50</v>
      </c>
      <c r="C97" s="5" t="s">
        <v>11</v>
      </c>
      <c r="D97" s="5">
        <v>109.15</v>
      </c>
      <c r="E97" s="5">
        <v>22.09</v>
      </c>
      <c r="F97" s="5">
        <v>1</v>
      </c>
      <c r="G97" s="5">
        <v>4</v>
      </c>
      <c r="H97" s="5">
        <v>0</v>
      </c>
      <c r="I97" s="5">
        <v>0.6</v>
      </c>
      <c r="J97" s="6" t="s">
        <v>14</v>
      </c>
      <c r="K97" s="10">
        <f>Table1[[#This Row],[Weight_kg]]/((Table1[[#This Row],[Height_cm]]/100)^2)</f>
        <v>18.541643890060385</v>
      </c>
      <c r="L97" t="str">
        <f>IF(Table1[[#This Row],[BMI]]&lt;18.5,"Under Weight",IF(Table1[[#This Row],[BMI]]&lt;24.5,"Healthy Weight",IF(Table1[[#This Row],[BMI]]&lt;=29.9,"Over weight","Obese")))</f>
        <v>Healthy Weight</v>
      </c>
    </row>
    <row r="98" spans="1:12" x14ac:dyDescent="0.3">
      <c r="A98" s="4" t="s">
        <v>113</v>
      </c>
      <c r="B98" s="5">
        <v>48</v>
      </c>
      <c r="C98" s="5" t="s">
        <v>19</v>
      </c>
      <c r="D98" s="5">
        <v>107.71</v>
      </c>
      <c r="E98" s="5">
        <v>19.079999999999998</v>
      </c>
      <c r="F98" s="5">
        <v>0</v>
      </c>
      <c r="G98" s="5">
        <v>2</v>
      </c>
      <c r="H98" s="5">
        <v>2</v>
      </c>
      <c r="I98" s="5">
        <v>1.8</v>
      </c>
      <c r="J98" s="6" t="s">
        <v>20</v>
      </c>
      <c r="K98" s="10">
        <f>Table1[[#This Row],[Weight_kg]]/((Table1[[#This Row],[Height_cm]]/100)^2)</f>
        <v>16.446228448404973</v>
      </c>
      <c r="L98" t="str">
        <f>IF(Table1[[#This Row],[BMI]]&lt;18.5,"Under Weight",IF(Table1[[#This Row],[BMI]]&lt;24.5,"Healthy Weight",IF(Table1[[#This Row],[BMI]]&lt;=29.9,"Over weight","Obese")))</f>
        <v>Under Weight</v>
      </c>
    </row>
    <row r="99" spans="1:12" x14ac:dyDescent="0.3">
      <c r="A99" s="4" t="s">
        <v>114</v>
      </c>
      <c r="B99" s="5">
        <v>57</v>
      </c>
      <c r="C99" s="5" t="s">
        <v>19</v>
      </c>
      <c r="D99" s="5">
        <v>112.41</v>
      </c>
      <c r="E99" s="5">
        <v>21.55</v>
      </c>
      <c r="F99" s="5">
        <v>2</v>
      </c>
      <c r="G99" s="5">
        <v>4</v>
      </c>
      <c r="H99" s="5">
        <v>0</v>
      </c>
      <c r="I99" s="5">
        <v>0.9</v>
      </c>
      <c r="J99" s="6" t="s">
        <v>12</v>
      </c>
      <c r="K99" s="10">
        <f>Table1[[#This Row],[Weight_kg]]/((Table1[[#This Row],[Height_cm]]/100)^2)</f>
        <v>17.054436677671966</v>
      </c>
      <c r="L99" t="str">
        <f>IF(Table1[[#This Row],[BMI]]&lt;18.5,"Under Weight",IF(Table1[[#This Row],[BMI]]&lt;24.5,"Healthy Weight",IF(Table1[[#This Row],[BMI]]&lt;=29.9,"Over weight","Obese")))</f>
        <v>Under Weight</v>
      </c>
    </row>
    <row r="100" spans="1:12" x14ac:dyDescent="0.3">
      <c r="A100" s="4" t="s">
        <v>115</v>
      </c>
      <c r="B100" s="5">
        <v>45</v>
      </c>
      <c r="C100" s="5" t="s">
        <v>19</v>
      </c>
      <c r="D100" s="5">
        <v>110.12</v>
      </c>
      <c r="E100" s="5">
        <v>18.510000000000002</v>
      </c>
      <c r="F100" s="5">
        <v>0</v>
      </c>
      <c r="G100" s="5">
        <v>2</v>
      </c>
      <c r="H100" s="5">
        <v>0</v>
      </c>
      <c r="I100" s="5">
        <v>0.9</v>
      </c>
      <c r="J100" s="6" t="s">
        <v>24</v>
      </c>
      <c r="K100" s="10">
        <f>Table1[[#This Row],[Weight_kg]]/((Table1[[#This Row],[Height_cm]]/100)^2)</f>
        <v>15.264198789050129</v>
      </c>
      <c r="L100" t="str">
        <f>IF(Table1[[#This Row],[BMI]]&lt;18.5,"Under Weight",IF(Table1[[#This Row],[BMI]]&lt;24.5,"Healthy Weight",IF(Table1[[#This Row],[BMI]]&lt;=29.9,"Over weight","Obese")))</f>
        <v>Under Weight</v>
      </c>
    </row>
    <row r="101" spans="1:12" x14ac:dyDescent="0.3">
      <c r="A101" s="7" t="s">
        <v>116</v>
      </c>
      <c r="B101" s="8">
        <v>49</v>
      </c>
      <c r="C101" s="8" t="s">
        <v>19</v>
      </c>
      <c r="D101" s="8">
        <v>106.6</v>
      </c>
      <c r="E101" s="8">
        <v>21.21</v>
      </c>
      <c r="F101" s="8">
        <v>0</v>
      </c>
      <c r="G101" s="8">
        <v>0</v>
      </c>
      <c r="H101" s="8">
        <v>2</v>
      </c>
      <c r="I101" s="8">
        <v>2.5</v>
      </c>
      <c r="J101" s="9" t="s">
        <v>24</v>
      </c>
      <c r="K101" s="10">
        <f>Table1[[#This Row],[Weight_kg]]/((Table1[[#This Row],[Height_cm]]/100)^2)</f>
        <v>18.664925428298883</v>
      </c>
      <c r="L101" t="str">
        <f>IF(Table1[[#This Row],[BMI]]&lt;18.5,"Under Weight",IF(Table1[[#This Row],[BMI]]&lt;24.5,"Healthy Weight",IF(Table1[[#This Row],[BMI]]&lt;=29.9,"Over weight","Obese")))</f>
        <v>Healthy Weight</v>
      </c>
    </row>
  </sheetData>
  <phoneticPr fontId="1" type="noConversion"/>
  <conditionalFormatting sqref="K1">
    <cfRule type="colorScale" priority="3">
      <colorScale>
        <cfvo type="min"/>
        <cfvo type="percentile" val="50"/>
        <cfvo type="max"/>
        <color rgb="FFF8696B"/>
        <color rgb="FFFFEB84"/>
        <color rgb="FF63BE7B"/>
      </colorScale>
    </cfRule>
  </conditionalFormatting>
  <conditionalFormatting sqref="K1:K101">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84336-FEC1-48C2-8721-BD7BB3A15631}">
  <dimension ref="A1:J24"/>
  <sheetViews>
    <sheetView workbookViewId="0">
      <selection activeCell="G3" sqref="G3"/>
    </sheetView>
  </sheetViews>
  <sheetFormatPr defaultRowHeight="14.4" x14ac:dyDescent="0.3"/>
  <cols>
    <col min="1" max="1" width="26.6640625" bestFit="1" customWidth="1"/>
    <col min="2" max="2" width="15.5546875" bestFit="1" customWidth="1"/>
    <col min="3" max="3" width="14.109375" bestFit="1" customWidth="1"/>
    <col min="4" max="4" width="17.109375" customWidth="1"/>
    <col min="5" max="6" width="5.5546875" bestFit="1" customWidth="1"/>
    <col min="7" max="7" width="13.5546875" bestFit="1" customWidth="1"/>
    <col min="8" max="8" width="27.109375" bestFit="1" customWidth="1"/>
    <col min="9" max="9" width="26.6640625" bestFit="1" customWidth="1"/>
    <col min="10" max="10" width="14.109375" bestFit="1" customWidth="1"/>
  </cols>
  <sheetData>
    <row r="1" spans="1:9" ht="18" customHeight="1" x14ac:dyDescent="0.3"/>
    <row r="2" spans="1:9" x14ac:dyDescent="0.3">
      <c r="A2" s="15" t="s">
        <v>132</v>
      </c>
      <c r="B2" s="15"/>
      <c r="C2" s="15"/>
      <c r="G2" s="12" t="s">
        <v>122</v>
      </c>
      <c r="H2" s="16" t="s">
        <v>133</v>
      </c>
      <c r="I2" s="16" t="s">
        <v>119</v>
      </c>
    </row>
    <row r="3" spans="1:9" x14ac:dyDescent="0.3">
      <c r="A3" t="s">
        <v>119</v>
      </c>
      <c r="C3" t="s">
        <v>120</v>
      </c>
      <c r="G3" s="14" t="s">
        <v>125</v>
      </c>
      <c r="H3" s="13">
        <v>1.5833333333333333</v>
      </c>
      <c r="I3" s="13">
        <v>1.6875000000000002</v>
      </c>
    </row>
    <row r="4" spans="1:9" x14ac:dyDescent="0.3">
      <c r="A4" s="13">
        <v>1.3919999999999997</v>
      </c>
      <c r="C4" s="13">
        <v>17.05804960612538</v>
      </c>
      <c r="G4" s="14" t="s">
        <v>126</v>
      </c>
      <c r="H4" s="13">
        <v>1.3026315789473684</v>
      </c>
      <c r="I4" s="13">
        <v>1.2986842105263157</v>
      </c>
    </row>
    <row r="5" spans="1:9" x14ac:dyDescent="0.3">
      <c r="G5" s="14" t="s">
        <v>123</v>
      </c>
      <c r="H5" s="13">
        <v>1.37</v>
      </c>
      <c r="I5" s="13">
        <v>1.3919999999999999</v>
      </c>
    </row>
    <row r="6" spans="1:9" x14ac:dyDescent="0.3">
      <c r="A6" s="13"/>
      <c r="C6" s="13"/>
    </row>
    <row r="7" spans="1:9" x14ac:dyDescent="0.3">
      <c r="A7" s="15" t="s">
        <v>127</v>
      </c>
      <c r="B7" s="15"/>
      <c r="C7" s="15"/>
      <c r="D7" s="15"/>
      <c r="G7" s="12" t="s">
        <v>122</v>
      </c>
      <c r="H7" t="s">
        <v>120</v>
      </c>
      <c r="I7" t="s">
        <v>131</v>
      </c>
    </row>
    <row r="8" spans="1:9" x14ac:dyDescent="0.3">
      <c r="A8" s="12" t="s">
        <v>121</v>
      </c>
      <c r="B8" s="12" t="s">
        <v>124</v>
      </c>
      <c r="G8" s="14" t="s">
        <v>14</v>
      </c>
      <c r="H8" s="13">
        <v>17.280514841003029</v>
      </c>
      <c r="I8" s="13">
        <v>2.3333333333333335</v>
      </c>
    </row>
    <row r="9" spans="1:9" x14ac:dyDescent="0.3">
      <c r="A9" s="12" t="s">
        <v>122</v>
      </c>
      <c r="B9" t="s">
        <v>125</v>
      </c>
      <c r="C9" t="s">
        <v>126</v>
      </c>
      <c r="D9" t="s">
        <v>123</v>
      </c>
      <c r="G9" s="14" t="s">
        <v>20</v>
      </c>
      <c r="H9" s="13">
        <v>16.371172019628016</v>
      </c>
      <c r="I9" s="13">
        <v>2.1428571428571428</v>
      </c>
    </row>
    <row r="10" spans="1:9" x14ac:dyDescent="0.3">
      <c r="A10" s="14" t="s">
        <v>128</v>
      </c>
      <c r="B10" s="11">
        <v>6</v>
      </c>
      <c r="C10" s="11">
        <v>33</v>
      </c>
      <c r="D10" s="11">
        <v>39</v>
      </c>
      <c r="G10" s="14" t="s">
        <v>24</v>
      </c>
      <c r="H10" s="13">
        <v>16.789441132947946</v>
      </c>
      <c r="I10" s="13">
        <v>2</v>
      </c>
    </row>
    <row r="11" spans="1:9" x14ac:dyDescent="0.3">
      <c r="A11" s="14" t="s">
        <v>129</v>
      </c>
      <c r="B11" s="11">
        <v>8</v>
      </c>
      <c r="C11" s="11">
        <v>22</v>
      </c>
      <c r="D11" s="11">
        <v>30</v>
      </c>
      <c r="G11" s="14" t="s">
        <v>12</v>
      </c>
      <c r="H11" s="13">
        <v>17.188810268120474</v>
      </c>
      <c r="I11" s="13">
        <v>2.5</v>
      </c>
    </row>
    <row r="12" spans="1:9" x14ac:dyDescent="0.3">
      <c r="A12" s="14" t="s">
        <v>130</v>
      </c>
      <c r="B12" s="11">
        <v>10</v>
      </c>
      <c r="C12" s="11">
        <v>21</v>
      </c>
      <c r="D12" s="11">
        <v>31</v>
      </c>
      <c r="G12" s="14" t="s">
        <v>27</v>
      </c>
      <c r="H12" s="13">
        <v>17.912368815419139</v>
      </c>
      <c r="I12" s="13">
        <v>1.5833333333333333</v>
      </c>
    </row>
    <row r="13" spans="1:9" x14ac:dyDescent="0.3">
      <c r="A13" s="14" t="s">
        <v>123</v>
      </c>
      <c r="B13" s="11">
        <v>24</v>
      </c>
      <c r="C13" s="11">
        <v>76</v>
      </c>
      <c r="D13" s="11">
        <v>100</v>
      </c>
      <c r="G13" s="14" t="s">
        <v>123</v>
      </c>
      <c r="H13" s="13">
        <v>17.058049606125373</v>
      </c>
      <c r="I13" s="13">
        <v>2.19</v>
      </c>
    </row>
    <row r="17" spans="1:10" x14ac:dyDescent="0.3">
      <c r="A17" s="12" t="s">
        <v>120</v>
      </c>
      <c r="B17" s="12" t="s">
        <v>124</v>
      </c>
      <c r="I17" s="12" t="s">
        <v>122</v>
      </c>
      <c r="J17" t="s">
        <v>120</v>
      </c>
    </row>
    <row r="18" spans="1:10" x14ac:dyDescent="0.3">
      <c r="A18" s="12" t="s">
        <v>122</v>
      </c>
      <c r="B18">
        <v>0</v>
      </c>
      <c r="C18">
        <v>1</v>
      </c>
      <c r="D18">
        <v>2</v>
      </c>
      <c r="E18">
        <v>3</v>
      </c>
      <c r="F18">
        <v>4</v>
      </c>
      <c r="G18" t="s">
        <v>123</v>
      </c>
      <c r="I18" s="14" t="s">
        <v>14</v>
      </c>
      <c r="J18" s="13">
        <v>17.280514841003029</v>
      </c>
    </row>
    <row r="19" spans="1:10" x14ac:dyDescent="0.3">
      <c r="A19" s="14">
        <v>0</v>
      </c>
      <c r="B19" s="13">
        <v>19.016420427584645</v>
      </c>
      <c r="C19" s="13">
        <v>17.280117596560103</v>
      </c>
      <c r="D19" s="13">
        <v>16.27305047255906</v>
      </c>
      <c r="E19" s="13">
        <v>17.104134635526798</v>
      </c>
      <c r="F19" s="13">
        <v>18.137073212360072</v>
      </c>
      <c r="G19" s="13">
        <v>17.566529534524921</v>
      </c>
      <c r="I19" s="14" t="s">
        <v>20</v>
      </c>
      <c r="J19" s="13">
        <v>16.371172019628016</v>
      </c>
    </row>
    <row r="20" spans="1:10" x14ac:dyDescent="0.3">
      <c r="A20" s="14">
        <v>1</v>
      </c>
      <c r="B20" s="13">
        <v>16.35248862763348</v>
      </c>
      <c r="C20" s="13">
        <v>16.201722814253078</v>
      </c>
      <c r="D20" s="13">
        <v>17.145357431721354</v>
      </c>
      <c r="E20" s="13">
        <v>15.486892118792989</v>
      </c>
      <c r="F20" s="13">
        <v>17.548662976364966</v>
      </c>
      <c r="G20" s="13">
        <v>16.468003433538151</v>
      </c>
      <c r="I20" s="14" t="s">
        <v>24</v>
      </c>
      <c r="J20" s="13">
        <v>16.789441132947946</v>
      </c>
    </row>
    <row r="21" spans="1:10" x14ac:dyDescent="0.3">
      <c r="A21" s="14">
        <v>2</v>
      </c>
      <c r="B21" s="13">
        <v>18.304030863042058</v>
      </c>
      <c r="C21" s="13">
        <v>13.414804870225169</v>
      </c>
      <c r="D21" s="13">
        <v>17.219114471226323</v>
      </c>
      <c r="E21" s="13"/>
      <c r="F21" s="13">
        <v>17.104693630968079</v>
      </c>
      <c r="G21" s="13">
        <v>16.87382757410969</v>
      </c>
      <c r="I21" s="14" t="s">
        <v>12</v>
      </c>
      <c r="J21" s="13">
        <v>17.188810268120474</v>
      </c>
    </row>
    <row r="22" spans="1:10" x14ac:dyDescent="0.3">
      <c r="A22" s="14">
        <v>3</v>
      </c>
      <c r="B22" s="13">
        <v>18.791232347431109</v>
      </c>
      <c r="C22" s="13">
        <v>15.547827345547695</v>
      </c>
      <c r="D22" s="13">
        <v>18.37904051788599</v>
      </c>
      <c r="E22" s="13">
        <v>19.105850849662808</v>
      </c>
      <c r="F22" s="13">
        <v>15.747317770125974</v>
      </c>
      <c r="G22" s="13">
        <v>17.50835442521058</v>
      </c>
      <c r="I22" s="14" t="s">
        <v>27</v>
      </c>
      <c r="J22" s="13">
        <v>17.912368815419139</v>
      </c>
    </row>
    <row r="23" spans="1:10" x14ac:dyDescent="0.3">
      <c r="A23" s="14">
        <v>4</v>
      </c>
      <c r="B23" s="13">
        <v>17.326942725016981</v>
      </c>
      <c r="C23" s="13">
        <v>16.827714126941665</v>
      </c>
      <c r="D23" s="13">
        <v>16.79563742079436</v>
      </c>
      <c r="E23" s="13">
        <v>16.427913820241738</v>
      </c>
      <c r="F23" s="13">
        <v>20.023541521230683</v>
      </c>
      <c r="G23" s="13">
        <v>17.004575438549672</v>
      </c>
      <c r="I23" s="14" t="s">
        <v>123</v>
      </c>
      <c r="J23" s="13">
        <v>17.058049606125373</v>
      </c>
    </row>
    <row r="24" spans="1:10" x14ac:dyDescent="0.3">
      <c r="A24" s="14" t="s">
        <v>123</v>
      </c>
      <c r="B24" s="13">
        <v>17.801185141707748</v>
      </c>
      <c r="C24" s="13">
        <v>16.198132313610472</v>
      </c>
      <c r="D24" s="13">
        <v>17.352645060732396</v>
      </c>
      <c r="E24" s="13">
        <v>16.453644797937383</v>
      </c>
      <c r="F24" s="13">
        <v>17.160526114957836</v>
      </c>
      <c r="G24" s="13">
        <v>17.058049606125383</v>
      </c>
    </row>
  </sheetData>
  <mergeCells count="2">
    <mergeCell ref="A7:D7"/>
    <mergeCell ref="A2: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EB868-DDF5-4343-97F3-00498638754A}">
  <dimension ref="A1"/>
  <sheetViews>
    <sheetView tabSelected="1" topLeftCell="A4" zoomScale="80" zoomScaleNormal="80" workbookViewId="0">
      <selection activeCell="W15" sqref="W15"/>
    </sheetView>
  </sheetViews>
  <sheetFormatPr defaultRowHeight="14.4" x14ac:dyDescent="0.3"/>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2BA85B-5A67-462E-B17F-C1C10D9DBB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Child_health_data</vt:lpstr>
      <vt:lpstr>Pivot_Analysis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Sruthi Sruthi (SW-TEGRA)</dc:creator>
  <cp:lastModifiedBy>Sruthi Sruthi (SW-TEGRA)</cp:lastModifiedBy>
  <dcterms:created xsi:type="dcterms:W3CDTF">2026-03-18T10:36:22Z</dcterms:created>
  <dcterms:modified xsi:type="dcterms:W3CDTF">2026-03-18T14:44:52Z</dcterms:modified>
</cp:coreProperties>
</file>