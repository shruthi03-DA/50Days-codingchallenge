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unny Shruthi\OneDrive\Desktop\Entri assignments\50 days code challenge\"/>
    </mc:Choice>
  </mc:AlternateContent>
  <xr:revisionPtr revIDLastSave="0" documentId="13_ncr:1_{D67EA6B6-C069-4E75-987E-010E55530C82}" xr6:coauthVersionLast="47" xr6:coauthVersionMax="47" xr10:uidLastSave="{00000000-0000-0000-0000-000000000000}"/>
  <bookViews>
    <workbookView xWindow="-108" yWindow="372" windowWidth="23256" windowHeight="12696" activeTab="4" xr2:uid="{2665D0E0-025E-4BF0-B338-ADA950F308C0}"/>
  </bookViews>
  <sheets>
    <sheet name="Help Desk" sheetId="1" r:id="rId1"/>
    <sheet name="&quot;MHW&quot; Analysis" sheetId="3" r:id="rId2"/>
    <sheet name="Analyst Performance" sheetId="4" r:id="rId3"/>
    <sheet name="Avg of RT" sheetId="5" r:id="rId4"/>
    <sheet name="Dashboard" sheetId="2" r:id="rId5"/>
  </sheets>
  <externalReferences>
    <externalReference r:id="rId6"/>
  </externalReferences>
  <definedNames>
    <definedName name="Slicer_Month">#N/A</definedName>
    <definedName name="Slicer_Priority">#N/A</definedName>
    <definedName name="Slicer_Week">#N/A</definedName>
  </definedNames>
  <calcPr calcId="191029"/>
  <pivotCaches>
    <pivotCache cacheId="2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1" i="1" l="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alcChain>
</file>

<file path=xl/sharedStrings.xml><?xml version="1.0" encoding="utf-8"?>
<sst xmlns="http://schemas.openxmlformats.org/spreadsheetml/2006/main" count="824" uniqueCount="347">
  <si>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</si>
  <si>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</si>
  <si>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</si>
  <si>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</si>
  <si>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</si>
  <si>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</si>
  <si>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</si>
  <si>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</si>
  <si>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</si>
  <si>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</si>
  <si>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</si>
  <si>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</si>
  <si>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</si>
  <si>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</si>
  <si>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</si>
  <si>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</si>
  <si>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</si>
  <si>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</si>
  <si>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</si>
  <si>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</si>
  <si>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</si>
  <si>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</si>
  <si>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</si>
  <si>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</si>
  <si>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</si>
  <si>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</si>
  <si>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</si>
  <si>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</si>
  <si>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</si>
  <si>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</si>
  <si>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</si>
  <si>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</si>
  <si>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</si>
  <si>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</si>
  <si>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</si>
  <si>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</si>
  <si>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</si>
  <si>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</si>
  <si>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</si>
  <si>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</si>
  <si>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</si>
  <si>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</si>
  <si>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</si>
  <si>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</si>
  <si>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</si>
  <si>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</si>
  <si>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</si>
  <si>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</si>
  <si>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</si>
  <si>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</si>
  <si>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</si>
  <si>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</si>
  <si>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</si>
  <si>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</si>
  <si>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</si>
  <si>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</si>
  <si>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</si>
  <si>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</si>
  <si>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</si>
  <si>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</si>
  <si>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</si>
  <si>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</si>
  <si>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</si>
  <si>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</si>
  <si>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</si>
  <si>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</si>
  <si>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</si>
  <si>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</si>
  <si>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</si>
  <si>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</si>
  <si>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</si>
  <si>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</si>
  <si>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</si>
  <si>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</si>
  <si>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</si>
  <si>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</si>
  <si>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</si>
  <si>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</si>
  <si>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</si>
  <si>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</si>
  <si>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</si>
  <si>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</si>
  <si>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</si>
  <si>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</si>
  <si>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</si>
  <si>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</si>
  <si>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</si>
  <si>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</si>
  <si>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</si>
  <si>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</si>
  <si>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</si>
  <si>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</si>
  <si>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</si>
  <si>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</si>
  <si>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</si>
  <si>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</si>
  <si>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</si>
  <si>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</si>
  <si>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</si>
  <si>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</si>
  <si>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</si>
  <si>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</si>
  <si>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</si>
  <si>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</si>
  <si>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</si>
  <si>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</si>
  <si>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</si>
  <si>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</si>
  <si>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</si>
  <si>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</si>
  <si>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</si>
  <si>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</si>
  <si>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</si>
  <si>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</si>
  <si>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</si>
  <si>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</si>
  <si>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</si>
  <si>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</si>
  <si>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</si>
  <si>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</si>
  <si>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</si>
  <si>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</si>
  <si>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</si>
  <si>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</si>
  <si>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</si>
  <si>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</si>
  <si>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</si>
  <si>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</si>
  <si>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</si>
  <si>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</si>
  <si>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</si>
  <si>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</si>
  <si>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</si>
  <si>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</si>
  <si>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</si>
  <si>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</si>
  <si>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</si>
  <si>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</si>
  <si>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</si>
  <si>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</si>
  <si>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</si>
  <si>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</si>
  <si>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</si>
  <si>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</si>
  <si>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</si>
  <si>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</si>
  <si>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</si>
  <si>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</si>
  <si>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</si>
  <si>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</si>
  <si>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</si>
  <si>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</si>
  <si>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</si>
  <si>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</si>
  <si>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</si>
  <si>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</si>
  <si>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</si>
  <si>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</si>
  <si>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</si>
  <si>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</si>
  <si>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</si>
  <si>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</si>
  <si>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</si>
  <si>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</si>
  <si>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</si>
  <si>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</si>
  <si>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</si>
  <si>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</si>
  <si>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</si>
  <si>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</si>
  <si>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</si>
  <si>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</si>
  <si>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</si>
  <si>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</si>
  <si>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</si>
  <si>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</si>
  <si>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</si>
  <si>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</si>
  <si>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</si>
  <si>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</si>
  <si>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</si>
  <si>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</si>
  <si>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</si>
  <si>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</si>
  <si>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</si>
  <si>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</si>
  <si>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</si>
  <si>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</si>
  <si>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</si>
  <si>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</si>
  <si>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</si>
  <si>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</si>
  <si>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</si>
  <si>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</si>
  <si>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</si>
  <si>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</si>
  <si>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</si>
  <si>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</si>
  <si>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</si>
  <si>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</si>
  <si>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</si>
  <si>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</si>
  <si>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</si>
  <si>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</si>
  <si>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</si>
  <si>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</si>
  <si>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</si>
  <si>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</si>
  <si>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</si>
  <si>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</si>
  <si>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</si>
  <si>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</si>
  <si>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</si>
  <si>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</si>
  <si>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</si>
  <si>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</si>
  <si>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</si>
  <si>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</si>
  <si>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</si>
  <si>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</si>
  <si>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</si>
  <si>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</si>
  <si>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</si>
  <si>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</si>
  <si>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</si>
  <si>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</si>
  <si>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</si>
  <si>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</si>
  <si>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</si>
  <si>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</si>
  <si>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</si>
  <si>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</si>
  <si>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</si>
  <si>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</si>
  <si>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</si>
  <si>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</si>
  <si>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</si>
  <si>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</si>
  <si>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</si>
  <si>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</si>
  <si>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</si>
  <si>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</si>
  <si>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</si>
  <si>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</si>
  <si>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</si>
  <si>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</si>
  <si>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</si>
  <si>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</si>
  <si>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</si>
  <si>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</si>
  <si>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</si>
  <si>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</si>
  <si>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</si>
  <si>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</si>
  <si>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</si>
  <si>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</si>
  <si>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</si>
  <si>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</si>
  <si>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</si>
  <si>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</si>
  <si>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</si>
  <si>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</si>
  <si>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</si>
  <si>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</si>
  <si>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</si>
  <si>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</si>
  <si>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</si>
  <si>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</si>
  <si>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</si>
  <si>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</si>
  <si>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</si>
  <si>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</si>
  <si>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</si>
  <si>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</si>
  <si>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</si>
  <si>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</si>
  <si>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</si>
  <si>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</si>
  <si>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</si>
  <si>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</si>
  <si>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</si>
  <si>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</si>
  <si>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</si>
  <si>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</si>
  <si>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</si>
  <si>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</si>
  <si>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</si>
  <si>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</si>
  <si>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</si>
  <si>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</si>
  <si>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</si>
  <si>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</si>
  <si>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</si>
  <si>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</si>
  <si>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</si>
  <si>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</si>
  <si>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</si>
  <si>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</si>
  <si>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</si>
  <si>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</si>
  <si>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</si>
  <si>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</si>
  <si>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</si>
  <si>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</si>
  <si>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</si>
  <si>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</si>
  <si>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</si>
  <si>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</si>
  <si>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</si>
  <si>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</si>
  <si>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</si>
  <si>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</si>
  <si>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</si>
  <si>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</si>
  <si>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</si>
  <si>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</si>
  <si>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</si>
  <si>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</si>
  <si>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</si>
  <si>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</si>
  <si>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</si>
  <si>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Week</t>
  </si>
  <si>
    <t>Month</t>
  </si>
  <si>
    <t>Hour</t>
  </si>
  <si>
    <t>Resolution Time</t>
  </si>
  <si>
    <t>Submission_Date</t>
  </si>
  <si>
    <t>Resolution_Date</t>
  </si>
  <si>
    <t>Category</t>
  </si>
  <si>
    <t>Assigned_analyst</t>
  </si>
  <si>
    <t>Description</t>
  </si>
  <si>
    <t>Priority</t>
  </si>
  <si>
    <t>Ticket_id</t>
  </si>
  <si>
    <t>Row Labels</t>
  </si>
  <si>
    <t>Grand Total</t>
  </si>
  <si>
    <t>Count of Ticket_id</t>
  </si>
  <si>
    <t>Monday</t>
  </si>
  <si>
    <t>Tuesday</t>
  </si>
  <si>
    <t>Wednesday</t>
  </si>
  <si>
    <t>Thursday</t>
  </si>
  <si>
    <t>Friday</t>
  </si>
  <si>
    <t>Saturday</t>
  </si>
  <si>
    <t>Sunday</t>
  </si>
  <si>
    <t>Jun</t>
  </si>
  <si>
    <t>Jul</t>
  </si>
  <si>
    <t>Aug</t>
  </si>
  <si>
    <t>Sep</t>
  </si>
  <si>
    <t>Average of Resolution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</si>
</sst>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1" xfId="0" applyBorder="1" applyAlignment="1">
      <alignment wrapText="1"/>
    </xf>
    <xf numFmtId="0" fontId="0" fillId="0" borderId="7" xfId="0" applyBorder="1"/>
    <xf numFmtId="0" fontId="0" fillId="0" borderId="8" xfId="0" applyBorder="1"/>
    <xf numFmtId="0" fontId="0" fillId="0" borderId="9" xfId="0" applyBorder="1"/>
    <xf numFmtId="164" fontId="0" fillId="0" borderId="0" xfId="0" applyNumberFormat="1"/>
    <xf numFmtId="164" fontId="0" fillId="0" borderId="3" xfId="0" applyNumberFormat="1" applyBorder="1"/>
    <xf numFmtId="22" fontId="0" fillId="0" borderId="1" xfId="0" applyNumberFormat="1" applyBorder="1"/>
    <xf numFmtId="22" fontId="0" fillId="0" borderId="8" xfId="0" applyNumberFormat="1" applyBorder="1"/>
    <xf numFmtId="164" fontId="0" fillId="0" borderId="1" xfId="0" applyNumberFormat="1" applyBorder="1"/>
    <xf numFmtId="164" fontId="0" fillId="0" borderId="8"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5">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400]h:mm:ss\ AM/P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'"MHW" Analysis'!$B$4</c:f>
              <c:strCache>
                <c:ptCount val="1"/>
                <c:pt idx="0">
                  <c:v>Total</c:v>
                </c:pt>
              </c:strCache>
            </c:strRef>
          </c:tx>
          <c:spPr>
            <a:solidFill>
              <a:schemeClr val="accent1"/>
            </a:solidFill>
            <a:ln>
              <a:noFill/>
            </a:ln>
            <a:effectLst/>
          </c:spPr>
          <c:invertIfNegative val="0"/>
          <c:cat>
            <c:strRef>
              <c:f>'"MHW" Analysis'!$A$5:$A$12</c:f>
              <c:strCache>
                <c:ptCount val="7"/>
                <c:pt idx="0">
                  <c:v>Monday</c:v>
                </c:pt>
                <c:pt idx="1">
                  <c:v>Tuesday</c:v>
                </c:pt>
                <c:pt idx="2">
                  <c:v>Wednesday</c:v>
                </c:pt>
                <c:pt idx="3">
                  <c:v>Thursday</c:v>
                </c:pt>
                <c:pt idx="4">
                  <c:v>Friday</c:v>
                </c:pt>
                <c:pt idx="5">
                  <c:v>Saturday</c:v>
                </c:pt>
                <c:pt idx="6">
                  <c:v>Sunday</c:v>
                </c:pt>
              </c:strCache>
            </c:strRef>
          </c:cat>
          <c:val>
            <c:numRef>
              <c:f>'"MHW" Analysis'!$B$5:$B$12</c:f>
              <c:numCache>
                <c:formatCode>General</c:formatCode>
                <c:ptCount val="7"/>
                <c:pt idx="0">
                  <c:v>19</c:v>
                </c:pt>
                <c:pt idx="1">
                  <c:v>22</c:v>
                </c:pt>
                <c:pt idx="2">
                  <c:v>24</c:v>
                </c:pt>
                <c:pt idx="3">
                  <c:v>23</c:v>
                </c:pt>
                <c:pt idx="4">
                  <c:v>16</c:v>
                </c:pt>
                <c:pt idx="5">
                  <c:v>20</c:v>
                </c:pt>
                <c:pt idx="6">
                  <c:v>26</c:v>
                </c:pt>
              </c:numCache>
            </c:numRef>
          </c:val>
          <c:extLst>
            <c:ext xmlns:c16="http://schemas.microsoft.com/office/drawing/2014/chart" uri="{C3380CC4-5D6E-409C-BE32-E72D297353CC}">
              <c16:uniqueId val="{00000000-0EA3-4D5B-A306-0F83227F2B7F}"/>
            </c:ext>
          </c:extLst>
        </c:ser>
        <c:dLbls>
          <c:showLegendKey val="0"/>
          <c:showVal val="0"/>
          <c:showCatName val="0"/>
          <c:showSerName val="0"/>
          <c:showPercent val="0"/>
          <c:showBubbleSize val="0"/>
        </c:dLbls>
        <c:gapWidth val="219"/>
        <c:overlap val="-27"/>
        <c:axId val="386144352"/>
        <c:axId val="386144832"/>
      </c:barChart>
      <c:catAx>
        <c:axId val="3861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832"/>
        <c:crosses val="autoZero"/>
        <c:auto val="1"/>
        <c:lblAlgn val="ctr"/>
        <c:lblOffset val="100"/>
        <c:noMultiLvlLbl val="0"/>
      </c:catAx>
      <c:valAx>
        <c:axId val="38614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'"MHW" Analysis'!$B$19</c:f>
              <c:strCache>
                <c:ptCount val="1"/>
                <c:pt idx="0">
                  <c:v>Total</c:v>
                </c:pt>
              </c:strCache>
            </c:strRef>
          </c:tx>
          <c:spPr>
            <a:solidFill>
              <a:schemeClr val="accent1"/>
            </a:solidFill>
            <a:ln>
              <a:noFill/>
            </a:ln>
            <a:effectLst/>
          </c:spPr>
          <c:invertIfNegative val="0"/>
          <c:cat>
            <c:strRef>
              <c:f>'"MHW" Analysis'!$A$20:$A$24</c:f>
              <c:strCache>
                <c:ptCount val="4"/>
                <c:pt idx="0">
                  <c:v>Jun</c:v>
                </c:pt>
                <c:pt idx="1">
                  <c:v>Jul</c:v>
                </c:pt>
                <c:pt idx="2">
                  <c:v>Aug</c:v>
                </c:pt>
                <c:pt idx="3">
                  <c:v>Sep</c:v>
                </c:pt>
              </c:strCache>
            </c:strRef>
          </c:cat>
          <c:val>
            <c:numRef>
              <c:f>'"MHW" Analysis'!$B$20:$B$24</c:f>
              <c:numCache>
                <c:formatCode>General</c:formatCode>
                <c:ptCount val="4"/>
                <c:pt idx="0">
                  <c:v>27</c:v>
                </c:pt>
                <c:pt idx="1">
                  <c:v>51</c:v>
                </c:pt>
                <c:pt idx="2">
                  <c:v>45</c:v>
                </c:pt>
                <c:pt idx="3">
                  <c:v>27</c:v>
                </c:pt>
              </c:numCache>
            </c:numRef>
          </c:val>
          <c:extLst>
            <c:ext xmlns:c16="http://schemas.microsoft.com/office/drawing/2014/chart" uri="{C3380CC4-5D6E-409C-BE32-E72D297353CC}">
              <c16:uniqueId val="{00000000-5AB6-422A-B04E-A38AC62230ED}"/>
            </c:ext>
          </c:extLst>
        </c:ser>
        <c:dLbls>
          <c:showLegendKey val="0"/>
          <c:showVal val="0"/>
          <c:showCatName val="0"/>
          <c:showSerName val="0"/>
          <c:showPercent val="0"/>
          <c:showBubbleSize val="0"/>
        </c:dLbls>
        <c:gapWidth val="219"/>
        <c:overlap val="-27"/>
        <c:axId val="264871360"/>
        <c:axId val="264871840"/>
      </c:barChart>
      <c:catAx>
        <c:axId val="26487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1840"/>
        <c:crosses val="autoZero"/>
        <c:auto val="1"/>
        <c:lblAlgn val="ctr"/>
        <c:lblOffset val="100"/>
        <c:noMultiLvlLbl val="0"/>
      </c:catAx>
      <c:valAx>
        <c:axId val="2648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'"MHW" Analysis'!$B$34</c:f>
              <c:strCache>
                <c:ptCount val="1"/>
                <c:pt idx="0">
                  <c:v>Total</c:v>
                </c:pt>
              </c:strCache>
            </c:strRef>
          </c:tx>
          <c:spPr>
            <a:solidFill>
              <a:schemeClr val="accent1"/>
            </a:solidFill>
            <a:ln>
              <a:noFill/>
            </a:ln>
            <a:effectLst/>
            <a:sp3d/>
          </c:spPr>
          <c:invertIfNegative val="0"/>
          <c:cat>
            <c:strRef>
              <c:f>'"MHW" Analysis'!$A$35:$A$59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'"MHW" Analysis'!$B$35:$B$59</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FF21-475B-8341-0BC21B3F5A20}"/>
            </c:ext>
          </c:extLst>
        </c:ser>
        <c:dLbls>
          <c:showLegendKey val="0"/>
          <c:showVal val="0"/>
          <c:showCatName val="0"/>
          <c:showSerName val="0"/>
          <c:showPercent val="0"/>
          <c:showBubbleSize val="0"/>
        </c:dLbls>
        <c:gapWidth val="150"/>
        <c:shape val="box"/>
        <c:axId val="897031584"/>
        <c:axId val="897032064"/>
        <c:axId val="0"/>
      </c:bar3DChart>
      <c:catAx>
        <c:axId val="89703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32064"/>
        <c:crosses val="autoZero"/>
        <c:auto val="1"/>
        <c:lblAlgn val="ctr"/>
        <c:lblOffset val="100"/>
        <c:noMultiLvlLbl val="0"/>
      </c:catAx>
      <c:valAx>
        <c:axId val="89703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[day5_excel_challenge.xlsx]Analyst Performance!PivotTable4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'Analyst Performance'!$A$4:$A$14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Performance'!$B$4:$B$14</c:f>
              <c:numCache>
                <c:formatCode>[$-F400]h:mm:ss\ AM/PM</c:formatCode>
                <c:ptCount val="10"/>
                <c:pt idx="0">
                  <c:v>46.389930555555551</c:v>
                </c:pt>
                <c:pt idx="1">
                  <c:v>82.225592592592605</c:v>
                </c:pt>
                <c:pt idx="2">
                  <c:v>72.610359477124177</c:v>
                </c:pt>
                <c:pt idx="3">
                  <c:v>50.214640522875818</c:v>
                </c:pt>
                <c:pt idx="4">
                  <c:v>35.375320512820515</c:v>
                </c:pt>
                <c:pt idx="5">
                  <c:v>64.433263888888888</c:v>
                </c:pt>
                <c:pt idx="6">
                  <c:v>33.45392857142857</c:v>
                </c:pt>
                <c:pt idx="7">
                  <c:v>66.843559027777786</c:v>
                </c:pt>
                <c:pt idx="8">
                  <c:v>47.042602880658428</c:v>
                </c:pt>
                <c:pt idx="9">
                  <c:v>27.262321428571425</c:v>
                </c:pt>
              </c:numCache>
            </c:numRef>
          </c:val>
          <c:extLst>
            <c:ext xmlns:c16="http://schemas.microsoft.com/office/drawing/2014/chart" uri="{C3380CC4-5D6E-409C-BE32-E72D297353CC}">
              <c16:uniqueId val="{00000000-7AB3-412F-B45A-D7543CA0A40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[day5_excel_challenge.xlsx]Avg of RT!PivotTable5</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of RT'!$B$3</c:f>
              <c:strCache>
                <c:ptCount val="1"/>
                <c:pt idx="0">
                  <c:v>Total</c:v>
                </c:pt>
              </c:strCache>
            </c:strRef>
          </c:tx>
          <c:spPr>
            <a:ln w="28575" cap="rnd">
              <a:solidFill>
                <a:schemeClr val="accent1"/>
              </a:solidFill>
              <a:round/>
            </a:ln>
            <a:effectLst/>
          </c:spPr>
          <c:marker>
            <c:symbol val="none"/>
          </c:marker>
          <c:cat>
            <c:multiLvlStrRef>
              <c:f>'Avg of RT'!$A$4:$A$31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'Avg of RT'!$B$4:$B$31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smooth val="0"/>
          <c:extLst>
            <c:ext xmlns:c16="http://schemas.microsoft.com/office/drawing/2014/chart" uri="{C3380CC4-5D6E-409C-BE32-E72D297353CC}">
              <c16:uniqueId val="{00000000-F429-4FC8-B299-DEFB59828DA1}"/>
            </c:ext>
          </c:extLst>
        </c:ser>
        <c:dLbls>
          <c:showLegendKey val="0"/>
          <c:showVal val="0"/>
          <c:showCatName val="0"/>
          <c:showSerName val="0"/>
          <c:showPercent val="0"/>
          <c:showBubbleSize val="0"/>
        </c:dLbls>
        <c:smooth val="0"/>
        <c:axId val="1044670928"/>
        <c:axId val="1044669488"/>
      </c:lineChart>
      <c:catAx>
        <c:axId val="10446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69488"/>
        <c:crosses val="autoZero"/>
        <c:auto val="1"/>
        <c:lblAlgn val="ctr"/>
        <c:lblOffset val="100"/>
        <c:noMultiLvlLbl val="0"/>
      </c:catAx>
      <c:valAx>
        <c:axId val="1044669488"/>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7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'"MHW" Analysis'!$B$4</c:f>
              <c:strCache>
                <c:ptCount val="1"/>
                <c:pt idx="0">
                  <c:v>Total</c:v>
                </c:pt>
              </c:strCache>
            </c:strRef>
          </c:tx>
          <c:spPr>
            <a:solidFill>
              <a:schemeClr val="accent1"/>
            </a:solidFill>
            <a:ln>
              <a:noFill/>
            </a:ln>
            <a:effectLst/>
          </c:spPr>
          <c:invertIfNegative val="0"/>
          <c:cat>
            <c:strRef>
              <c:f>'"MHW" Analysis'!$A$5:$A$12</c:f>
              <c:strCache>
                <c:ptCount val="7"/>
                <c:pt idx="0">
                  <c:v>Monday</c:v>
                </c:pt>
                <c:pt idx="1">
                  <c:v>Tuesday</c:v>
                </c:pt>
                <c:pt idx="2">
                  <c:v>Wednesday</c:v>
                </c:pt>
                <c:pt idx="3">
                  <c:v>Thursday</c:v>
                </c:pt>
                <c:pt idx="4">
                  <c:v>Friday</c:v>
                </c:pt>
                <c:pt idx="5">
                  <c:v>Saturday</c:v>
                </c:pt>
                <c:pt idx="6">
                  <c:v>Sunday</c:v>
                </c:pt>
              </c:strCache>
            </c:strRef>
          </c:cat>
          <c:val>
            <c:numRef>
              <c:f>'"MHW" Analysis'!$B$5:$B$12</c:f>
              <c:numCache>
                <c:formatCode>General</c:formatCode>
                <c:ptCount val="7"/>
                <c:pt idx="0">
                  <c:v>19</c:v>
                </c:pt>
                <c:pt idx="1">
                  <c:v>22</c:v>
                </c:pt>
                <c:pt idx="2">
                  <c:v>24</c:v>
                </c:pt>
                <c:pt idx="3">
                  <c:v>23</c:v>
                </c:pt>
                <c:pt idx="4">
                  <c:v>16</c:v>
                </c:pt>
                <c:pt idx="5">
                  <c:v>20</c:v>
                </c:pt>
                <c:pt idx="6">
                  <c:v>26</c:v>
                </c:pt>
              </c:numCache>
            </c:numRef>
          </c:val>
          <c:extLst>
            <c:ext xmlns:c16="http://schemas.microsoft.com/office/drawing/2014/chart" uri="{C3380CC4-5D6E-409C-BE32-E72D297353CC}">
              <c16:uniqueId val="{00000000-A4F6-41BC-8124-20B35CBC3122}"/>
            </c:ext>
          </c:extLst>
        </c:ser>
        <c:dLbls>
          <c:showLegendKey val="0"/>
          <c:showVal val="0"/>
          <c:showCatName val="0"/>
          <c:showSerName val="0"/>
          <c:showPercent val="0"/>
          <c:showBubbleSize val="0"/>
        </c:dLbls>
        <c:gapWidth val="219"/>
        <c:overlap val="-27"/>
        <c:axId val="386144352"/>
        <c:axId val="386144832"/>
      </c:barChart>
      <c:catAx>
        <c:axId val="38614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832"/>
        <c:crosses val="autoZero"/>
        <c:auto val="1"/>
        <c:lblAlgn val="ctr"/>
        <c:lblOffset val="100"/>
        <c:noMultiLvlLbl val="0"/>
      </c:catAx>
      <c:valAx>
        <c:axId val="38614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4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'"MHW" Analysis'!$B$19</c:f>
              <c:strCache>
                <c:ptCount val="1"/>
                <c:pt idx="0">
                  <c:v>Total</c:v>
                </c:pt>
              </c:strCache>
            </c:strRef>
          </c:tx>
          <c:spPr>
            <a:solidFill>
              <a:schemeClr val="accent1"/>
            </a:solidFill>
            <a:ln>
              <a:noFill/>
            </a:ln>
            <a:effectLst/>
          </c:spPr>
          <c:invertIfNegative val="0"/>
          <c:cat>
            <c:strRef>
              <c:f>'"MHW" Analysis'!$A$20:$A$24</c:f>
              <c:strCache>
                <c:ptCount val="4"/>
                <c:pt idx="0">
                  <c:v>Jun</c:v>
                </c:pt>
                <c:pt idx="1">
                  <c:v>Jul</c:v>
                </c:pt>
                <c:pt idx="2">
                  <c:v>Aug</c:v>
                </c:pt>
                <c:pt idx="3">
                  <c:v>Sep</c:v>
                </c:pt>
              </c:strCache>
            </c:strRef>
          </c:cat>
          <c:val>
            <c:numRef>
              <c:f>'"MHW" Analysis'!$B$20:$B$24</c:f>
              <c:numCache>
                <c:formatCode>General</c:formatCode>
                <c:ptCount val="4"/>
                <c:pt idx="0">
                  <c:v>27</c:v>
                </c:pt>
                <c:pt idx="1">
                  <c:v>51</c:v>
                </c:pt>
                <c:pt idx="2">
                  <c:v>45</c:v>
                </c:pt>
                <c:pt idx="3">
                  <c:v>27</c:v>
                </c:pt>
              </c:numCache>
            </c:numRef>
          </c:val>
          <c:extLst>
            <c:ext xmlns:c16="http://schemas.microsoft.com/office/drawing/2014/chart" uri="{C3380CC4-5D6E-409C-BE32-E72D297353CC}">
              <c16:uniqueId val="{00000000-C978-4B6F-A647-226DC775FFB7}"/>
            </c:ext>
          </c:extLst>
        </c:ser>
        <c:dLbls>
          <c:showLegendKey val="0"/>
          <c:showVal val="0"/>
          <c:showCatName val="0"/>
          <c:showSerName val="0"/>
          <c:showPercent val="0"/>
          <c:showBubbleSize val="0"/>
        </c:dLbls>
        <c:gapWidth val="219"/>
        <c:overlap val="-27"/>
        <c:axId val="264871360"/>
        <c:axId val="264871840"/>
      </c:barChart>
      <c:catAx>
        <c:axId val="26487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1840"/>
        <c:crosses val="autoZero"/>
        <c:auto val="1"/>
        <c:lblAlgn val="ctr"/>
        <c:lblOffset val="100"/>
        <c:noMultiLvlLbl val="0"/>
      </c:catAx>
      <c:valAx>
        <c:axId val="2648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7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[day5_excel_challenge.xlsx]"MHW" Analysis!PivotTable3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'"MHW" Analysis'!$B$34</c:f>
              <c:strCache>
                <c:ptCount val="1"/>
                <c:pt idx="0">
                  <c:v>Total</c:v>
                </c:pt>
              </c:strCache>
            </c:strRef>
          </c:tx>
          <c:spPr>
            <a:solidFill>
              <a:schemeClr val="accent1"/>
            </a:solidFill>
            <a:ln>
              <a:noFill/>
            </a:ln>
            <a:effectLst/>
            <a:sp3d/>
          </c:spPr>
          <c:invertIfNegative val="0"/>
          <c:cat>
            <c:strRef>
              <c:f>'"MHW" Analysis'!$A$35:$A$59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'"MHW" Analysis'!$B$35:$B$59</c:f>
              <c:numCache>
                <c:formatCode>General</c:formatCode>
                <c:ptCount val="24"/>
                <c:pt idx="0">
                  <c:v>9</c:v>
                </c:pt>
                <c:pt idx="1">
                  <c:v>6</c:v>
                </c:pt>
                <c:pt idx="2">
                  <c:v>4</c:v>
                </c:pt>
                <c:pt idx="3">
                  <c:v>6</c:v>
                </c:pt>
                <c:pt idx="4">
                  <c:v>3</c:v>
                </c:pt>
                <c:pt idx="5">
                  <c:v>6</c:v>
                </c:pt>
                <c:pt idx="6">
                  <c:v>9</c:v>
                </c:pt>
                <c:pt idx="7">
                  <c:v>6</c:v>
                </c:pt>
                <c:pt idx="8">
                  <c:v>5</c:v>
                </c:pt>
                <c:pt idx="9">
                  <c:v>6</c:v>
                </c:pt>
                <c:pt idx="10">
                  <c:v>6</c:v>
                </c:pt>
                <c:pt idx="11">
                  <c:v>7</c:v>
                </c:pt>
                <c:pt idx="12">
                  <c:v>7</c:v>
                </c:pt>
                <c:pt idx="13">
                  <c:v>7</c:v>
                </c:pt>
                <c:pt idx="14">
                  <c:v>5</c:v>
                </c:pt>
                <c:pt idx="15">
                  <c:v>6</c:v>
                </c:pt>
                <c:pt idx="16">
                  <c:v>7</c:v>
                </c:pt>
                <c:pt idx="17">
                  <c:v>9</c:v>
                </c:pt>
                <c:pt idx="18">
                  <c:v>4</c:v>
                </c:pt>
                <c:pt idx="19">
                  <c:v>7</c:v>
                </c:pt>
                <c:pt idx="20">
                  <c:v>8</c:v>
                </c:pt>
                <c:pt idx="21">
                  <c:v>6</c:v>
                </c:pt>
                <c:pt idx="22">
                  <c:v>7</c:v>
                </c:pt>
                <c:pt idx="23">
                  <c:v>4</c:v>
                </c:pt>
              </c:numCache>
            </c:numRef>
          </c:val>
          <c:extLst>
            <c:ext xmlns:c16="http://schemas.microsoft.com/office/drawing/2014/chart" uri="{C3380CC4-5D6E-409C-BE32-E72D297353CC}">
              <c16:uniqueId val="{00000000-F940-480D-8757-EA59B5CA316A}"/>
            </c:ext>
          </c:extLst>
        </c:ser>
        <c:dLbls>
          <c:showLegendKey val="0"/>
          <c:showVal val="0"/>
          <c:showCatName val="0"/>
          <c:showSerName val="0"/>
          <c:showPercent val="0"/>
          <c:showBubbleSize val="0"/>
        </c:dLbls>
        <c:gapWidth val="150"/>
        <c:shape val="box"/>
        <c:axId val="897031584"/>
        <c:axId val="897032064"/>
        <c:axId val="0"/>
      </c:bar3DChart>
      <c:catAx>
        <c:axId val="89703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32064"/>
        <c:crosses val="autoZero"/>
        <c:auto val="1"/>
        <c:lblAlgn val="ctr"/>
        <c:lblOffset val="100"/>
        <c:noMultiLvlLbl val="0"/>
      </c:catAx>
      <c:valAx>
        <c:axId val="89703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[day5_excel_challenge.xlsx]Avg of RT!PivotTable5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of RT'!$B$3</c:f>
              <c:strCache>
                <c:ptCount val="1"/>
                <c:pt idx="0">
                  <c:v>Total</c:v>
                </c:pt>
              </c:strCache>
            </c:strRef>
          </c:tx>
          <c:spPr>
            <a:ln w="28575" cap="rnd">
              <a:solidFill>
                <a:schemeClr val="accent1"/>
              </a:solidFill>
              <a:round/>
            </a:ln>
            <a:effectLst/>
          </c:spPr>
          <c:marker>
            <c:symbol val="none"/>
          </c:marker>
          <c:cat>
            <c:multiLvlStrRef>
              <c:f>'Avg of RT'!$A$4:$A$31</c:f>
              <c:multiLvlStrCache>
                <c:ptCount val="23"/>
                <c:lvl>
                  <c:pt idx="0">
                    <c:v>Billing</c:v>
                  </c:pt>
                  <c:pt idx="1">
                    <c:v>Hardware</c:v>
                  </c:pt>
                  <c:pt idx="2">
                    <c:v>Software</c:v>
                  </c:pt>
                  <c:pt idx="3">
                    <c:v>Access</c:v>
                  </c:pt>
                  <c:pt idx="4">
                    <c:v>Billing</c:v>
                  </c:pt>
                  <c:pt idx="5">
                    <c:v>Hardware</c:v>
                  </c:pt>
                  <c:pt idx="6">
                    <c:v>Network</c:v>
                  </c:pt>
                  <c:pt idx="7">
                    <c:v>Other</c:v>
                  </c:pt>
                  <c:pt idx="8">
                    <c:v>Security</c:v>
                  </c:pt>
                  <c:pt idx="9">
                    <c:v>Software</c:v>
                  </c:pt>
                  <c:pt idx="10">
                    <c:v>Access</c:v>
                  </c:pt>
                  <c:pt idx="11">
                    <c:v>Billing</c:v>
                  </c:pt>
                  <c:pt idx="12">
                    <c:v>Hardware</c:v>
                  </c:pt>
                  <c:pt idx="13">
                    <c:v>Network</c:v>
                  </c:pt>
                  <c:pt idx="14">
                    <c:v>Other</c:v>
                  </c:pt>
                  <c:pt idx="15">
                    <c:v>Security</c:v>
                  </c:pt>
                  <c:pt idx="16">
                    <c:v>Software</c:v>
                  </c:pt>
                  <c:pt idx="17">
                    <c:v>Access</c:v>
                  </c:pt>
                  <c:pt idx="18">
                    <c:v>Billing</c:v>
                  </c:pt>
                  <c:pt idx="19">
                    <c:v>Hardware</c:v>
                  </c:pt>
                  <c:pt idx="20">
                    <c:v>Network</c:v>
                  </c:pt>
                  <c:pt idx="21">
                    <c:v>Other</c:v>
                  </c:pt>
                  <c:pt idx="22">
                    <c:v>Software</c:v>
                  </c:pt>
                </c:lvl>
                <c:lvl>
                  <c:pt idx="0">
                    <c:v>Critical</c:v>
                  </c:pt>
                  <c:pt idx="3">
                    <c:v>High</c:v>
                  </c:pt>
                  <c:pt idx="10">
                    <c:v>Low</c:v>
                  </c:pt>
                  <c:pt idx="17">
                    <c:v>Medium</c:v>
                  </c:pt>
                </c:lvl>
              </c:multiLvlStrCache>
            </c:multiLvlStrRef>
          </c:cat>
          <c:val>
            <c:numRef>
              <c:f>'Avg of RT'!$B$4:$B$31</c:f>
              <c:numCache>
                <c:formatCode>[$-F400]h:mm:ss\ AM/PM</c:formatCode>
                <c:ptCount val="23"/>
                <c:pt idx="0">
                  <c:v>2.0097222222222224</c:v>
                </c:pt>
                <c:pt idx="1">
                  <c:v>3.2174999999999998</c:v>
                </c:pt>
                <c:pt idx="2">
                  <c:v>1.8023611111111111</c:v>
                </c:pt>
                <c:pt idx="3">
                  <c:v>8.3354166666666654</c:v>
                </c:pt>
                <c:pt idx="4">
                  <c:v>4.2905555555555557</c:v>
                </c:pt>
                <c:pt idx="5">
                  <c:v>4.7879861111111115</c:v>
                </c:pt>
                <c:pt idx="6">
                  <c:v>8.3625000000000007</c:v>
                </c:pt>
                <c:pt idx="7">
                  <c:v>7.0541666666666663</c:v>
                </c:pt>
                <c:pt idx="8">
                  <c:v>6.9611111111111112</c:v>
                </c:pt>
                <c:pt idx="9">
                  <c:v>5.7482936507936504</c:v>
                </c:pt>
                <c:pt idx="10">
                  <c:v>85.57421296296296</c:v>
                </c:pt>
                <c:pt idx="11">
                  <c:v>106.44976851851852</c:v>
                </c:pt>
                <c:pt idx="12">
                  <c:v>81.885222222222225</c:v>
                </c:pt>
                <c:pt idx="13">
                  <c:v>108.93666666666665</c:v>
                </c:pt>
                <c:pt idx="14">
                  <c:v>94.590793650793657</c:v>
                </c:pt>
                <c:pt idx="15">
                  <c:v>112.96796296296294</c:v>
                </c:pt>
                <c:pt idx="16">
                  <c:v>126.54246527777779</c:v>
                </c:pt>
                <c:pt idx="17">
                  <c:v>23.802833333333332</c:v>
                </c:pt>
                <c:pt idx="18">
                  <c:v>26.598749999999999</c:v>
                </c:pt>
                <c:pt idx="19">
                  <c:v>20.22854938271605</c:v>
                </c:pt>
                <c:pt idx="20">
                  <c:v>31.660353535353533</c:v>
                </c:pt>
                <c:pt idx="21">
                  <c:v>30.559374999999999</c:v>
                </c:pt>
                <c:pt idx="22">
                  <c:v>27.704594017094013</c:v>
                </c:pt>
              </c:numCache>
            </c:numRef>
          </c:val>
          <c:smooth val="0"/>
          <c:extLst>
            <c:ext xmlns:c16="http://schemas.microsoft.com/office/drawing/2014/chart" uri="{C3380CC4-5D6E-409C-BE32-E72D297353CC}">
              <c16:uniqueId val="{00000000-AABE-439F-80B8-F18BC281FF91}"/>
            </c:ext>
          </c:extLst>
        </c:ser>
        <c:dLbls>
          <c:showLegendKey val="0"/>
          <c:showVal val="0"/>
          <c:showCatName val="0"/>
          <c:showSerName val="0"/>
          <c:showPercent val="0"/>
          <c:showBubbleSize val="0"/>
        </c:dLbls>
        <c:smooth val="0"/>
        <c:axId val="1044670928"/>
        <c:axId val="1044669488"/>
      </c:lineChart>
      <c:catAx>
        <c:axId val="10446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69488"/>
        <c:crosses val="autoZero"/>
        <c:auto val="1"/>
        <c:lblAlgn val="ctr"/>
        <c:lblOffset val="100"/>
        <c:noMultiLvlLbl val="0"/>
      </c:catAx>
      <c:valAx>
        <c:axId val="1044669488"/>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67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[day5_excel_challenge.xlsx]Analyst Performance!PivotTable4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'Analyst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5E-449E-8077-087C5B42DB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5E-449E-8077-087C5B42DB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5E-449E-8077-087C5B42DB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5E-449E-8077-087C5B42DB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5E-449E-8077-087C5B42DB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5E-449E-8077-087C5B42DB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5E-449E-8077-087C5B42DBF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B5E-449E-8077-087C5B42DBF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B5E-449E-8077-087C5B42DBF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B5E-449E-8077-087C5B42DB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'Analyst Performance'!$A$4:$A$14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'Analyst Performance'!$B$4:$B$14</c:f>
              <c:numCache>
                <c:formatCode>[$-F400]h:mm:ss\ AM/PM</c:formatCode>
                <c:ptCount val="10"/>
                <c:pt idx="0">
                  <c:v>46.389930555555551</c:v>
                </c:pt>
                <c:pt idx="1">
                  <c:v>82.225592592592605</c:v>
                </c:pt>
                <c:pt idx="2">
                  <c:v>72.610359477124177</c:v>
                </c:pt>
                <c:pt idx="3">
                  <c:v>50.214640522875818</c:v>
                </c:pt>
                <c:pt idx="4">
                  <c:v>35.375320512820515</c:v>
                </c:pt>
                <c:pt idx="5">
                  <c:v>64.433263888888888</c:v>
                </c:pt>
                <c:pt idx="6">
                  <c:v>33.45392857142857</c:v>
                </c:pt>
                <c:pt idx="7">
                  <c:v>66.843559027777786</c:v>
                </c:pt>
                <c:pt idx="8">
                  <c:v>47.042602880658428</c:v>
                </c:pt>
                <c:pt idx="9">
                  <c:v>27.262321428571425</c:v>
                </c:pt>
              </c:numCache>
            </c:numRef>
          </c:val>
          <c:extLst>
            <c:ext xmlns:c16="http://schemas.microsoft.com/office/drawing/2014/chart" uri="{C3380CC4-5D6E-409C-BE32-E72D297353CC}">
              <c16:uniqueId val="{00000014-DB5E-449E-8077-087C5B42DB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0</xdr:row>
      <xdr:rowOff>167640</xdr:rowOff>
    </xdr:from>
    <xdr:to>
      <xdr:col>10</xdr:col>
      <xdr:colOff>15240</xdr:colOff>
      <xdr:row>14</xdr:row>
      <xdr:rowOff>22860</xdr:rowOff>
    </xdr:to>
    <xdr:graphicFrame macro="">
      <xdr:nvGraphicFramePr>
        <xdr:cNvPr id="2" name="Chart 1">
          <a:extLst>
            <a:ext uri="{FF2B5EF4-FFF2-40B4-BE49-F238E27FC236}">
              <a16:creationId xmlns:a16="http://schemas.microsoft.com/office/drawing/2014/main" id="{A3869789-D483-7677-5847-E31815FB0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15</xdr:row>
      <xdr:rowOff>167640</xdr:rowOff>
    </xdr:from>
    <xdr:to>
      <xdr:col>10</xdr:col>
      <xdr:colOff>22860</xdr:colOff>
      <xdr:row>30</xdr:row>
      <xdr:rowOff>129540</xdr:rowOff>
    </xdr:to>
    <xdr:graphicFrame macro="">
      <xdr:nvGraphicFramePr>
        <xdr:cNvPr id="3" name="Chart 2">
          <a:extLst>
            <a:ext uri="{FF2B5EF4-FFF2-40B4-BE49-F238E27FC236}">
              <a16:creationId xmlns:a16="http://schemas.microsoft.com/office/drawing/2014/main" id="{90B549ED-0493-A000-96B4-F75C476C9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601980</xdr:colOff>
      <xdr:row>37</xdr:row>
      <xdr:rowOff>175260</xdr:rowOff>
    </xdr:from>
    <xdr:to>
      <xdr:col>11</xdr:col>
      <xdr:colOff>137160</xdr:colOff>
      <xdr:row>56</xdr:row>
      <xdr:rowOff>53340</xdr:rowOff>
    </xdr:to>
    <xdr:graphicFrame macro="">
      <xdr:nvGraphicFramePr>
        <xdr:cNvPr id="4" name="Chart 3">
          <a:extLst>
            <a:ext uri="{FF2B5EF4-FFF2-40B4-BE49-F238E27FC236}">
              <a16:creationId xmlns:a16="http://schemas.microsoft.com/office/drawing/2014/main" id="{5EFAC6C0-425F-1047-0D91-9EE462DFD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1</xdr:row>
      <xdr:rowOff>152400</xdr:rowOff>
    </xdr:from>
    <xdr:to>
      <xdr:col>10</xdr:col>
      <xdr:colOff>297180</xdr:colOff>
      <xdr:row>16</xdr:row>
      <xdr:rowOff>152400</xdr:rowOff>
    </xdr:to>
    <xdr:graphicFrame macro="">
      <xdr:nvGraphicFramePr>
        <xdr:cNvPr id="2" name="Chart 1">
          <a:extLst>
            <a:ext uri="{FF2B5EF4-FFF2-40B4-BE49-F238E27FC236}">
              <a16:creationId xmlns:a16="http://schemas.microsoft.com/office/drawing/2014/main" id="{841673C6-397E-74E6-90CD-11D8C1E72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6</xdr:row>
      <xdr:rowOff>15240</xdr:rowOff>
    </xdr:from>
    <xdr:to>
      <xdr:col>11</xdr:col>
      <xdr:colOff>106680</xdr:colOff>
      <xdr:row>23</xdr:row>
      <xdr:rowOff>30480</xdr:rowOff>
    </xdr:to>
    <xdr:graphicFrame macro="">
      <xdr:nvGraphicFramePr>
        <xdr:cNvPr id="2" name="Chart 1">
          <a:extLst>
            <a:ext uri="{FF2B5EF4-FFF2-40B4-BE49-F238E27FC236}">
              <a16:creationId xmlns:a16="http://schemas.microsoft.com/office/drawing/2014/main" id="{EDD61B2A-C504-A6E5-1EC6-21C1701E2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365760</xdr:colOff>
      <xdr:row>0</xdr:row>
      <xdr:rowOff>45720</xdr:rowOff>
    </xdr:from>
    <xdr:to>
      <xdr:col>15</xdr:col>
      <xdr:colOff>510540</xdr:colOff>
      <xdr:row>48</xdr:row>
      <xdr:rowOff>0</xdr:rowOff>
    </xdr:to>
    <xdr:sp macro="" textlink="">
      <xdr:nvSpPr>
        <xdr:cNvPr id="2" name="Rectangle 1">
          <a:extLst>
            <a:ext uri="{FF2B5EF4-FFF2-40B4-BE49-F238E27FC236}">
              <a16:creationId xmlns:a16="http://schemas.microsoft.com/office/drawing/2014/main" id="{B30D426E-920A-A8BA-1410-2D7A45ED6E15}"/>
            </a:ext>
          </a:extLst>
        </xdr:cNvPr>
        <xdr:cNvSpPr/>
      </xdr:nvSpPr>
      <xdr:spPr>
        <a:xfrm>
          <a:off x="365760" y="45720"/>
          <a:ext cx="9288780" cy="8732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0</xdr:row>
      <xdr:rowOff>137160</xdr:rowOff>
    </xdr:from>
    <xdr:to>
      <xdr:col>14</xdr:col>
      <xdr:colOff>289560</xdr:colOff>
      <xdr:row>4</xdr:row>
      <xdr:rowOff>152400</xdr:rowOff>
    </xdr:to>
    <xdr:sp macro="" textlink="">
      <xdr:nvSpPr>
        <xdr:cNvPr id="3" name="Rectangle 2">
          <a:extLst>
            <a:ext uri="{FF2B5EF4-FFF2-40B4-BE49-F238E27FC236}">
              <a16:creationId xmlns:a16="http://schemas.microsoft.com/office/drawing/2014/main" id="{945E5906-4FF8-4131-E43D-1C40EA9EDE9B}"/>
            </a:ext>
          </a:extLst>
        </xdr:cNvPr>
        <xdr:cNvSpPr/>
      </xdr:nvSpPr>
      <xdr:spPr>
        <a:xfrm>
          <a:off x="1828800" y="137160"/>
          <a:ext cx="6995160" cy="746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144780</xdr:colOff>
      <xdr:row>0</xdr:row>
      <xdr:rowOff>114300</xdr:rowOff>
    </xdr:from>
    <xdr:to>
      <xdr:col>13</xdr:col>
      <xdr:colOff>267232</xdr:colOff>
      <xdr:row>5</xdr:row>
      <xdr:rowOff>114299</xdr:rowOff>
    </xdr:to>
    <xdr:pic>
      <xdr:nvPicPr>
        <xdr:cNvPr id="4" name="Picture 3">
          <a:extLst>
            <a:ext uri="{FF2B5EF4-FFF2-40B4-BE49-F238E27FC236}">
              <a16:creationId xmlns:a16="http://schemas.microsoft.com/office/drawing/2014/main" id="{43BE6EB0-96C3-FA94-D06C-A6141807E813}"/>
            </a:ext>
          </a:extLst>
        </xdr:cNvPr>
        <xdr:cNvPicPr>
          <a:picLocks noChangeAspect="1"/>
        </xdr:cNvPicPr>
      </xdr:nvPicPr>
      <xdr:blipFill>
        <a:blip xmlns:r="http://schemas.openxmlformats.org/officeDocument/2006/relationships" r:embed="rId1"/>
        <a:stretch>
          <a:fillRect/>
        </a:stretch>
      </xdr:blipFill>
      <xdr:spPr>
        <a:xfrm>
          <a:off x="1973580" y="114300"/>
          <a:ext cx="6218452" cy="914399"/>
        </a:xfrm>
        <a:prstGeom prst="rect">
          <a:avLst/>
        </a:prstGeom>
      </xdr:spPr>
    </xdr:pic>
    <xdr:clientData/>
  </xdr:twoCellAnchor>
  <xdr:twoCellAnchor editAs="absolute">
    <xdr:from>
      <xdr:col>12</xdr:col>
      <xdr:colOff>495300</xdr:colOff>
      <xdr:row>5</xdr:row>
      <xdr:rowOff>38101</xdr:rowOff>
    </xdr:from>
    <xdr:to>
      <xdr:col>15</xdr:col>
      <xdr:colOff>457200</xdr:colOff>
      <xdr:row>13</xdr:row>
      <xdr:rowOff>60961</xdr:rowOff>
    </xdr:to>
    <mc:AlternateContent xmlns:mc="http://schemas.openxmlformats.org/markup-compatibility/2006">
      <mc:Choice xmlns:sle15="http://schemas.microsoft.com/office/drawing/2012/slicer" Requires="sle15">
        <xdr:graphicFrame macro="">
          <xdr:nvGraphicFramePr>
            <xdr:cNvPr id="5" name="Priority 1">
              <a:extLst>
                <a:ext uri="{FF2B5EF4-FFF2-40B4-BE49-F238E27FC236}">
                  <a16:creationId xmlns:a16="http://schemas.microsoft.com/office/drawing/2014/main" id="{84DA22DC-DCA1-4C6F-87EF-D0E41B953701}"/>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7810500" y="952501"/>
              <a:ext cx="1790700" cy="1485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495300</xdr:colOff>
      <xdr:row>13</xdr:row>
      <xdr:rowOff>152401</xdr:rowOff>
    </xdr:from>
    <xdr:to>
      <xdr:col>15</xdr:col>
      <xdr:colOff>457200</xdr:colOff>
      <xdr:row>25</xdr:row>
      <xdr:rowOff>167640</xdr:rowOff>
    </xdr:to>
    <mc:AlternateContent xmlns:mc="http://schemas.openxmlformats.org/markup-compatibility/2006">
      <mc:Choice xmlns:sle15="http://schemas.microsoft.com/office/drawing/2012/slicer" Requires="sle15">
        <xdr:graphicFrame macro="">
          <xdr:nvGraphicFramePr>
            <xdr:cNvPr id="6" name="Week 1">
              <a:extLst>
                <a:ext uri="{FF2B5EF4-FFF2-40B4-BE49-F238E27FC236}">
                  <a16:creationId xmlns:a16="http://schemas.microsoft.com/office/drawing/2014/main" id="{CAFD471D-16F1-4A49-ADE6-0BFFBAF27532}"/>
                </a:ext>
              </a:extLst>
            </xdr:cNvPr>
            <xdr:cNvGraphicFramePr/>
          </xdr:nvGraphicFramePr>
          <xdr:xfrm>
            <a:off x="0" y="0"/>
            <a:ext cx="0" cy="0"/>
          </xdr:xfrm>
          <a:graphic>
            <a:graphicData uri="http://schemas.microsoft.com/office/drawing/2010/slicer">
              <sle:slicer xmlns:sle="http://schemas.microsoft.com/office/drawing/2010/slicer" name="Week 1"/>
            </a:graphicData>
          </a:graphic>
        </xdr:graphicFrame>
      </mc:Choice>
      <mc:Fallback>
        <xdr:sp macro="" textlink="">
          <xdr:nvSpPr>
            <xdr:cNvPr id="0" name=""/>
            <xdr:cNvSpPr>
              <a:spLocks noTextEdit="1"/>
            </xdr:cNvSpPr>
          </xdr:nvSpPr>
          <xdr:spPr>
            <a:xfrm>
              <a:off x="7810500" y="2529841"/>
              <a:ext cx="1790700" cy="22097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495300</xdr:colOff>
      <xdr:row>26</xdr:row>
      <xdr:rowOff>68580</xdr:rowOff>
    </xdr:from>
    <xdr:to>
      <xdr:col>15</xdr:col>
      <xdr:colOff>449580</xdr:colOff>
      <xdr:row>33</xdr:row>
      <xdr:rowOff>22860</xdr:rowOff>
    </xdr:to>
    <mc:AlternateContent xmlns:mc="http://schemas.openxmlformats.org/markup-compatibility/2006">
      <mc:Choice xmlns:sle15="http://schemas.microsoft.com/office/drawing/2012/slicer" Requires="sle15">
        <xdr:graphicFrame macro="">
          <xdr:nvGraphicFramePr>
            <xdr:cNvPr id="8" name="Month 1">
              <a:extLst>
                <a:ext uri="{FF2B5EF4-FFF2-40B4-BE49-F238E27FC236}">
                  <a16:creationId xmlns:a16="http://schemas.microsoft.com/office/drawing/2014/main" id="{5109A173-2B5F-43D9-AA4E-9771E207D17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810500" y="4823460"/>
              <a:ext cx="1783080" cy="12344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396240</xdr:colOff>
      <xdr:row>5</xdr:row>
      <xdr:rowOff>91440</xdr:rowOff>
    </xdr:from>
    <xdr:to>
      <xdr:col>6</xdr:col>
      <xdr:colOff>541020</xdr:colOff>
      <xdr:row>17</xdr:row>
      <xdr:rowOff>167640</xdr:rowOff>
    </xdr:to>
    <xdr:graphicFrame macro="">
      <xdr:nvGraphicFramePr>
        <xdr:cNvPr id="9" name="Chart 8">
          <a:extLst>
            <a:ext uri="{FF2B5EF4-FFF2-40B4-BE49-F238E27FC236}">
              <a16:creationId xmlns:a16="http://schemas.microsoft.com/office/drawing/2014/main" id="{0E053576-5206-439E-AA0A-8991ED70D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579120</xdr:colOff>
      <xdr:row>5</xdr:row>
      <xdr:rowOff>91440</xdr:rowOff>
    </xdr:from>
    <xdr:to>
      <xdr:col>12</xdr:col>
      <xdr:colOff>464820</xdr:colOff>
      <xdr:row>17</xdr:row>
      <xdr:rowOff>167640</xdr:rowOff>
    </xdr:to>
    <xdr:graphicFrame macro="">
      <xdr:nvGraphicFramePr>
        <xdr:cNvPr id="10" name="Chart 9">
          <a:extLst>
            <a:ext uri="{FF2B5EF4-FFF2-40B4-BE49-F238E27FC236}">
              <a16:creationId xmlns:a16="http://schemas.microsoft.com/office/drawing/2014/main" id="{B893E173-5B81-4DDD-95D7-9B015D427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18</xdr:row>
      <xdr:rowOff>53340</xdr:rowOff>
    </xdr:from>
    <xdr:to>
      <xdr:col>10</xdr:col>
      <xdr:colOff>342900</xdr:colOff>
      <xdr:row>32</xdr:row>
      <xdr:rowOff>152400</xdr:rowOff>
    </xdr:to>
    <xdr:graphicFrame macro="">
      <xdr:nvGraphicFramePr>
        <xdr:cNvPr id="11" name="Chart 10">
          <a:extLst>
            <a:ext uri="{FF2B5EF4-FFF2-40B4-BE49-F238E27FC236}">
              <a16:creationId xmlns:a16="http://schemas.microsoft.com/office/drawing/2014/main" id="{9D9E7C32-1D48-41F8-92C4-6370705CD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33</xdr:row>
      <xdr:rowOff>22860</xdr:rowOff>
    </xdr:from>
    <xdr:to>
      <xdr:col>7</xdr:col>
      <xdr:colOff>449580</xdr:colOff>
      <xdr:row>47</xdr:row>
      <xdr:rowOff>91440</xdr:rowOff>
    </xdr:to>
    <xdr:graphicFrame macro="">
      <xdr:nvGraphicFramePr>
        <xdr:cNvPr id="12" name="Chart 11">
          <a:extLst>
            <a:ext uri="{FF2B5EF4-FFF2-40B4-BE49-F238E27FC236}">
              <a16:creationId xmlns:a16="http://schemas.microsoft.com/office/drawing/2014/main" id="{38B768E1-5B3E-480D-A611-6F54ED58D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510540</xdr:colOff>
      <xdr:row>33</xdr:row>
      <xdr:rowOff>30480</xdr:rowOff>
    </xdr:from>
    <xdr:to>
      <xdr:col>13</xdr:col>
      <xdr:colOff>68580</xdr:colOff>
      <xdr:row>47</xdr:row>
      <xdr:rowOff>99060</xdr:rowOff>
    </xdr:to>
    <xdr:graphicFrame macro="">
      <xdr:nvGraphicFramePr>
        <xdr:cNvPr id="15" name="Chart 14">
          <a:extLst>
            <a:ext uri="{FF2B5EF4-FFF2-40B4-BE49-F238E27FC236}">
              <a16:creationId xmlns:a16="http://schemas.microsoft.com/office/drawing/2014/main" id="{E1E85904-FAAB-4106-8180-119D7970D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nny%20Shruthi\Downloads\help_desk_tickets.xlsx" TargetMode="External"/><Relationship Id="rId1" Type="http://schemas.openxmlformats.org/officeDocument/2006/relationships/externalLinkPath" Target="/Users/Sunny%20Shruthi/Downloads/help_desk_tick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help_desk_tickets"/>
      <sheetName val="Month"/>
      <sheetName val="Hour"/>
      <sheetName val="Week"/>
      <sheetName val="ResolutionTimeAnalysis"/>
      <sheetName val="Analyst performance"/>
      <sheetName val="Recommendations"/>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Shruthi" refreshedDate="46101.753784953704" createdVersion="8" refreshedVersion="8" minRefreshableVersion="3" recordCount="150" xr:uid="{DB995134-567F-4D16-8F1D-4A663CFC967C}">
  <cacheSource type="worksheet">
    <worksheetSource name="Table1"/>
  </cacheSource>
  <cacheFields count="11">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22">
      <sharedItems containsSemiMixedTypes="0" containsNonDate="0" containsDate="1" containsString="0" minDate="2025-06-18T07:42:24" maxDate="2025-09-15T13:02:57"/>
    </cacheField>
    <cacheField name="Resolution_Date" numFmtId="22">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olution Time" numFmtId="164">
      <sharedItems containsSemiMixedTypes="0" containsNonDate="0" containsDate="1" containsString="0" minDate="1899-12-31T12:52:24" maxDate="1900-06-15T14:19:12"/>
    </cacheField>
    <cacheField name="Week" numFmtId="0">
      <sharedItems count="7">
        <s v="Friday"/>
        <s v="Monday"/>
        <s v="Thursday"/>
        <s v="Wednesday"/>
        <s v="Saturday"/>
        <s v="Tuesday"/>
        <s v="Sunday"/>
      </sharedItems>
    </cacheField>
    <cacheField name="Month" numFmtId="0">
      <sharedItems count="4">
        <s v="Jun"/>
        <s v="Sep"/>
        <s v="Jul"/>
        <s v="Aug"/>
      </sharedItems>
    </cacheField>
    <cacheField name="Hour" numFmtId="0">
      <sharedItems containsSemiMixedTypes="0" containsString="0" containsNumber="1" containsInteger="1" minValue="0" maxValue="23" count="24">
        <n v="22"/>
        <n v="19"/>
        <n v="9"/>
        <n v="17"/>
        <n v="21"/>
        <n v="20"/>
        <n v="10"/>
        <n v="7"/>
        <n v="16"/>
        <n v="14"/>
        <n v="13"/>
        <n v="1"/>
        <n v="11"/>
        <n v="23"/>
        <n v="12"/>
        <n v="3"/>
        <n v="5"/>
        <n v="0"/>
        <n v="18"/>
        <n v="8"/>
        <n v="15"/>
        <n v="2"/>
        <n v="6"/>
        <n v="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d v="2025-06-27T22:36:16"/>
    <d v="2025-06-28T03:46:41"/>
    <x v="0"/>
    <x v="0"/>
    <s v="Dream part subject until full. Brother century suddenly above. Six eight benefit animal move best."/>
    <x v="0"/>
    <d v="1900-01-04T04:10:00"/>
    <x v="0"/>
    <x v="0"/>
    <x v="0"/>
  </r>
  <r>
    <x v="1"/>
    <d v="2025-09-01T19:27:59"/>
    <d v="2025-09-03T07:18:06"/>
    <x v="1"/>
    <x v="1"/>
    <s v="Application X is crashing every time I open it. Lead how phone also score player later blue."/>
    <x v="1"/>
    <d v="1900-02-03T20:02:48"/>
    <x v="1"/>
    <x v="1"/>
    <x v="1"/>
  </r>
  <r>
    <x v="2"/>
    <d v="2025-09-04T09:32:03"/>
    <d v="2025-09-05T23:50:37"/>
    <x v="0"/>
    <x v="2"/>
    <s v="Black attack cold would page. Reality she war a chance. Physical hour Mr item red agreement for."/>
    <x v="1"/>
    <d v="1900-02-06T07:25:36"/>
    <x v="2"/>
    <x v="1"/>
    <x v="2"/>
  </r>
  <r>
    <x v="3"/>
    <d v="2025-07-28T17:47:34"/>
    <d v="2025-07-29T01:38:19"/>
    <x v="2"/>
    <x v="3"/>
    <s v="My laptop's keyboard isn't working properly, some keys are stuck. Tree culture above effort more national whether."/>
    <x v="0"/>
    <d v="1900-01-06T20:18:00"/>
    <x v="1"/>
    <x v="2"/>
    <x v="3"/>
  </r>
  <r>
    <x v="4"/>
    <d v="2025-09-03T21:46:09"/>
    <d v="2025-09-04T06:53:07"/>
    <x v="1"/>
    <x v="4"/>
    <s v="Application X is crashing every time I open it. Order wrong fight foreign bad house pick."/>
    <x v="0"/>
    <d v="1900-01-08T02:47:12"/>
    <x v="3"/>
    <x v="1"/>
    <x v="4"/>
  </r>
  <r>
    <x v="5"/>
    <d v="2025-08-04T20:32:40"/>
    <d v="2025-08-10T09:52:42"/>
    <x v="1"/>
    <x v="2"/>
    <s v="Application X is crashing every time I open it. Sport should network realize relate very voice."/>
    <x v="2"/>
    <d v="1900-05-12T08:00:48"/>
    <x v="1"/>
    <x v="3"/>
    <x v="5"/>
  </r>
  <r>
    <x v="6"/>
    <d v="2025-08-22T10:38:16"/>
    <d v="2025-08-23T14:11:49"/>
    <x v="3"/>
    <x v="5"/>
    <s v="I'm locked out of my account and can't reset my password. If rather year suffer wrong."/>
    <x v="2"/>
    <d v="1900-01-26T13:25:12"/>
    <x v="0"/>
    <x v="3"/>
    <x v="6"/>
  </r>
  <r>
    <x v="7"/>
    <d v="2025-07-05T07:43:28"/>
    <d v="2025-07-09T20:26:19"/>
    <x v="1"/>
    <x v="6"/>
    <s v="Application X is crashing every time I open it. Here bill leg region training. Grow new may."/>
    <x v="2"/>
    <d v="1900-04-17T17:08:24"/>
    <x v="4"/>
    <x v="2"/>
    <x v="7"/>
  </r>
  <r>
    <x v="8"/>
    <d v="2025-07-07T16:41:14"/>
    <d v="2025-07-08T10:04:28"/>
    <x v="2"/>
    <x v="6"/>
    <s v="My laptop's keyboard isn't working properly, some keys are stuck. Common maintain theory involve ok detail."/>
    <x v="1"/>
    <d v="1900-01-16T09:17:36"/>
    <x v="1"/>
    <x v="2"/>
    <x v="8"/>
  </r>
  <r>
    <x v="9"/>
    <d v="2025-09-10T14:49:33"/>
    <d v="2025-09-11T19:58:37"/>
    <x v="1"/>
    <x v="2"/>
    <s v="Application X is crashing every time I open it. Responsibility again recently traditional word."/>
    <x v="1"/>
    <d v="1900-01-28T03:37:36"/>
    <x v="3"/>
    <x v="1"/>
    <x v="9"/>
  </r>
  <r>
    <x v="10"/>
    <d v="2025-08-27T13:20:02"/>
    <d v="2025-09-02T16:28:31"/>
    <x v="1"/>
    <x v="7"/>
    <s v="Application X is crashing every time I open it. Structure this woman born."/>
    <x v="2"/>
    <d v="1900-05-26T03:23:36"/>
    <x v="3"/>
    <x v="3"/>
    <x v="10"/>
  </r>
  <r>
    <x v="11"/>
    <d v="2025-06-24T01:56:19"/>
    <d v="2025-06-24T05:46:33"/>
    <x v="4"/>
    <x v="8"/>
    <s v="Can't connect to the Wi-Fi. It's showing 'No internet access'. Maintain without college strong few not week."/>
    <x v="0"/>
    <d v="1900-01-02T20:05:36"/>
    <x v="5"/>
    <x v="0"/>
    <x v="11"/>
  </r>
  <r>
    <x v="12"/>
    <d v="2025-06-28T09:51:47"/>
    <d v="2025-06-29T02:58:41"/>
    <x v="4"/>
    <x v="0"/>
    <s v="Can't connect to the Wi-Fi. It's showing 'No internet access'. Official human task door century energy Mr."/>
    <x v="1"/>
    <d v="1900-01-16T02:45:36"/>
    <x v="4"/>
    <x v="0"/>
    <x v="2"/>
  </r>
  <r>
    <x v="13"/>
    <d v="2025-07-22T09:08:54"/>
    <d v="2025-07-26T15:54:44"/>
    <x v="1"/>
    <x v="6"/>
    <s v="Application X is crashing every time I open it. Spring operation performance glass choice kind."/>
    <x v="2"/>
    <d v="1900-04-11T18:20:00"/>
    <x v="5"/>
    <x v="2"/>
    <x v="2"/>
  </r>
  <r>
    <x v="14"/>
    <d v="2025-07-09T22:32:58"/>
    <d v="2025-07-10T01:11:32"/>
    <x v="1"/>
    <x v="1"/>
    <s v="Application X is crashing every time I open it. Summer yard maintain fire ask eight."/>
    <x v="0"/>
    <d v="1900-01-01T15:25:36"/>
    <x v="3"/>
    <x v="2"/>
    <x v="0"/>
  </r>
  <r>
    <x v="15"/>
    <d v="2025-07-23T22:34:11"/>
    <d v="2025-07-24T01:20:01"/>
    <x v="1"/>
    <x v="9"/>
    <s v="Application X is crashing every time I open it. Least check between event. Can brother two form."/>
    <x v="0"/>
    <d v="1900-01-01T18:20:00"/>
    <x v="3"/>
    <x v="2"/>
    <x v="0"/>
  </r>
  <r>
    <x v="16"/>
    <d v="2025-08-06T11:52:05"/>
    <d v="2025-08-11T08:18:53"/>
    <x v="1"/>
    <x v="6"/>
    <s v="Application X is crashing every time I open it. Resource in affect charge customer accept dream."/>
    <x v="2"/>
    <d v="1900-04-25T10:43:12"/>
    <x v="3"/>
    <x v="3"/>
    <x v="12"/>
  </r>
  <r>
    <x v="17"/>
    <d v="2025-06-30T16:42:14"/>
    <d v="2025-07-02T20:37:19"/>
    <x v="5"/>
    <x v="0"/>
    <s v="Thought national word picture each deep."/>
    <x v="2"/>
    <d v="1900-02-19T22:02:00"/>
    <x v="1"/>
    <x v="0"/>
    <x v="8"/>
  </r>
  <r>
    <x v="18"/>
    <d v="2025-06-30T23:03:04"/>
    <d v="2025-07-04T11:48:25"/>
    <x v="4"/>
    <x v="3"/>
    <s v="Can't connect to the Wi-Fi. It's showing 'No internet access'. Card series research else cup though artist."/>
    <x v="2"/>
    <d v="1900-03-24T18:08:24"/>
    <x v="1"/>
    <x v="0"/>
    <x v="13"/>
  </r>
  <r>
    <x v="19"/>
    <d v="2025-07-03T07:27:15"/>
    <d v="2025-07-04T23:58:39"/>
    <x v="2"/>
    <x v="3"/>
    <s v="My laptop's keyboard isn't working properly, some keys are stuck. Young up grow after offer east region would."/>
    <x v="1"/>
    <d v="1900-02-08T12:33:36"/>
    <x v="2"/>
    <x v="2"/>
    <x v="7"/>
  </r>
  <r>
    <x v="20"/>
    <d v="2025-06-23T22:49:38"/>
    <d v="2025-06-25T11:06:40"/>
    <x v="1"/>
    <x v="1"/>
    <s v="Application X is crashing every time I open it. Nice then management."/>
    <x v="1"/>
    <d v="1900-02-04T06:48:48"/>
    <x v="1"/>
    <x v="0"/>
    <x v="0"/>
  </r>
  <r>
    <x v="21"/>
    <d v="2025-07-08T11:34:57"/>
    <d v="2025-07-10T09:25:12"/>
    <x v="1"/>
    <x v="0"/>
    <s v="Application X is crashing every time I open it. Water act involve follow hot."/>
    <x v="1"/>
    <d v="1900-02-13T20:06:00"/>
    <x v="5"/>
    <x v="2"/>
    <x v="12"/>
  </r>
  <r>
    <x v="22"/>
    <d v="2025-06-22T23:29:46"/>
    <d v="2025-06-23T16:34:14"/>
    <x v="1"/>
    <x v="7"/>
    <s v="Application X is crashing every time I open it. Another such apply table let."/>
    <x v="1"/>
    <d v="1900-01-16T01:47:12"/>
    <x v="6"/>
    <x v="0"/>
    <x v="13"/>
  </r>
  <r>
    <x v="23"/>
    <d v="2025-08-29T12:27:53"/>
    <d v="2025-08-31T04:23:45"/>
    <x v="1"/>
    <x v="4"/>
    <s v="Application X is crashing every time I open it. Senior per draw day mention sea quickly."/>
    <x v="1"/>
    <d v="1900-02-07T22:20:48"/>
    <x v="0"/>
    <x v="3"/>
    <x v="14"/>
  </r>
  <r>
    <x v="24"/>
    <d v="2025-07-12T03:37:37"/>
    <d v="2025-07-16T09:42:35"/>
    <x v="4"/>
    <x v="3"/>
    <s v="Can't connect to the Wi-Fi. It's showing 'No internet access'. Race Republican expect east might collection."/>
    <x v="2"/>
    <d v="1900-04-11T01:59:12"/>
    <x v="4"/>
    <x v="2"/>
    <x v="15"/>
  </r>
  <r>
    <x v="25"/>
    <d v="2025-07-13T05:42:50"/>
    <d v="2025-07-14T19:35:59"/>
    <x v="1"/>
    <x v="1"/>
    <s v="Application X is crashing every time I open it. Total maintain service writer."/>
    <x v="1"/>
    <d v="1900-02-05T21:15:36"/>
    <x v="6"/>
    <x v="2"/>
    <x v="16"/>
  </r>
  <r>
    <x v="26"/>
    <d v="2025-06-24T00:26:51"/>
    <d v="2025-06-24T12:14:52"/>
    <x v="4"/>
    <x v="4"/>
    <s v="Can't connect to the Wi-Fi. It's showing 'No internet access'. Individual herself decide generation."/>
    <x v="0"/>
    <d v="1900-01-10T19:12:24"/>
    <x v="5"/>
    <x v="0"/>
    <x v="17"/>
  </r>
  <r>
    <x v="27"/>
    <d v="2025-07-03T19:29:05"/>
    <d v="2025-07-05T17:15:14"/>
    <x v="6"/>
    <x v="1"/>
    <s v="Yourself floor foot character choose. Brother prepare but film key name."/>
    <x v="1"/>
    <d v="1900-02-13T18:27:36"/>
    <x v="2"/>
    <x v="2"/>
    <x v="1"/>
  </r>
  <r>
    <x v="28"/>
    <d v="2025-09-15T13:02:57"/>
    <d v="2025-09-17T07:57:18"/>
    <x v="0"/>
    <x v="0"/>
    <s v="Successful radio play network yet. Fill director direction ready white."/>
    <x v="2"/>
    <d v="1900-02-10T21:44:24"/>
    <x v="1"/>
    <x v="1"/>
    <x v="10"/>
  </r>
  <r>
    <x v="29"/>
    <d v="2025-08-27T21:57:13"/>
    <d v="2025-08-29T06:38:57"/>
    <x v="1"/>
    <x v="2"/>
    <s v="Application X is crashing every time I open it. Southern beat general first much hotel agency."/>
    <x v="1"/>
    <d v="1900-01-31T16:41:36"/>
    <x v="3"/>
    <x v="3"/>
    <x v="4"/>
  </r>
  <r>
    <x v="30"/>
    <d v="2025-08-30T20:17:04"/>
    <d v="2025-09-06T02:38:11"/>
    <x v="4"/>
    <x v="2"/>
    <s v="Can't connect to the Wi-Fi. It's showing 'No internet access'. Cup government by life reduce each customer."/>
    <x v="2"/>
    <d v="1900-05-29T08:26:48"/>
    <x v="4"/>
    <x v="3"/>
    <x v="5"/>
  </r>
  <r>
    <x v="31"/>
    <d v="2025-08-24T23:58:58"/>
    <d v="2025-08-25T07:35:19"/>
    <x v="1"/>
    <x v="1"/>
    <s v="Application X is crashing every time I open it. Market growth film."/>
    <x v="0"/>
    <d v="1900-01-06T14:32:24"/>
    <x v="6"/>
    <x v="3"/>
    <x v="13"/>
  </r>
  <r>
    <x v="32"/>
    <d v="2025-07-11T18:10:39"/>
    <d v="2025-07-17T06:40:38"/>
    <x v="4"/>
    <x v="6"/>
    <s v="Can't connect to the Wi-Fi. It's showing 'No internet access'. Could north state feel others participant."/>
    <x v="2"/>
    <d v="1900-05-11T11:59:36"/>
    <x v="0"/>
    <x v="2"/>
    <x v="18"/>
  </r>
  <r>
    <x v="33"/>
    <d v="2025-09-04T19:33:03"/>
    <d v="2025-09-10T05:28:47"/>
    <x v="6"/>
    <x v="5"/>
    <s v="Follow chair add finally these plan staff. Across shoulder school free."/>
    <x v="2"/>
    <d v="1900-05-08T22:17:36"/>
    <x v="2"/>
    <x v="1"/>
    <x v="1"/>
  </r>
  <r>
    <x v="34"/>
    <d v="2025-08-24T17:06:08"/>
    <d v="2025-08-30T19:43:21"/>
    <x v="1"/>
    <x v="4"/>
    <s v="Application X is crashing every time I open it. Bag half join treat water by affect."/>
    <x v="2"/>
    <d v="1900-05-25T14:53:12"/>
    <x v="6"/>
    <x v="3"/>
    <x v="3"/>
  </r>
  <r>
    <x v="35"/>
    <d v="2025-06-30T17:48:03"/>
    <d v="2025-07-01T19:36:47"/>
    <x v="2"/>
    <x v="1"/>
    <s v="My laptop's keyboard isn't working properly, some keys are stuck. Science bad news pressure anything probably save."/>
    <x v="2"/>
    <d v="1900-01-24T19:29:36"/>
    <x v="1"/>
    <x v="0"/>
    <x v="3"/>
  </r>
  <r>
    <x v="36"/>
    <d v="2025-09-09T08:46:26"/>
    <d v="2025-09-13T06:18:49"/>
    <x v="1"/>
    <x v="8"/>
    <s v="Application X is crashing every time I open it. Fund project find law identify close worker."/>
    <x v="2"/>
    <d v="1900-04-02T12:57:12"/>
    <x v="5"/>
    <x v="1"/>
    <x v="19"/>
  </r>
  <r>
    <x v="37"/>
    <d v="2025-08-11T10:56:36"/>
    <d v="2025-08-17T16:07:19"/>
    <x v="0"/>
    <x v="7"/>
    <s v="Rate play media air. Trade thank hundred choice reduce remember possible us."/>
    <x v="2"/>
    <d v="1900-05-28T04:17:12"/>
    <x v="1"/>
    <x v="3"/>
    <x v="6"/>
  </r>
  <r>
    <x v="38"/>
    <d v="2025-09-01T16:20:12"/>
    <d v="2025-09-02T02:43:04"/>
    <x v="1"/>
    <x v="5"/>
    <s v="Application X is crashing every time I open it. Effort avoid door shoulder cut."/>
    <x v="1"/>
    <d v="1900-01-09T09:08:48"/>
    <x v="1"/>
    <x v="1"/>
    <x v="8"/>
  </r>
  <r>
    <x v="39"/>
    <d v="2025-08-14T20:30:07"/>
    <d v="2025-08-15T08:44:19"/>
    <x v="3"/>
    <x v="6"/>
    <s v="I'm locked out of my account and can't reset my password. Point fine stop radio chair tree career scene."/>
    <x v="1"/>
    <d v="1900-01-11T05:40:48"/>
    <x v="2"/>
    <x v="3"/>
    <x v="5"/>
  </r>
  <r>
    <x v="40"/>
    <d v="2025-09-05T05:49:39"/>
    <d v="2025-09-06T22:59:27"/>
    <x v="4"/>
    <x v="0"/>
    <s v="Can't connect to the Wi-Fi. It's showing 'No internet access'. Simple practice operation move put."/>
    <x v="1"/>
    <d v="1900-02-09T03:55:12"/>
    <x v="0"/>
    <x v="1"/>
    <x v="16"/>
  </r>
  <r>
    <x v="41"/>
    <d v="2025-09-13T18:26:30"/>
    <d v="2025-09-14T19:22:39"/>
    <x v="2"/>
    <x v="1"/>
    <s v="My laptop's keyboard isn't working properly, some keys are stuck. Firm discuss audience say amount."/>
    <x v="2"/>
    <d v="1900-01-23T22:27:36"/>
    <x v="4"/>
    <x v="1"/>
    <x v="18"/>
  </r>
  <r>
    <x v="42"/>
    <d v="2025-07-28T00:42:24"/>
    <d v="2025-08-03T11:00:27"/>
    <x v="6"/>
    <x v="9"/>
    <s v="Physical business information._x000a_Activity else house another. Still protect admit answer."/>
    <x v="2"/>
    <d v="1900-06-02T07:13:12"/>
    <x v="1"/>
    <x v="2"/>
    <x v="17"/>
  </r>
  <r>
    <x v="43"/>
    <d v="2025-07-30T21:37:33"/>
    <d v="2025-07-30T23:09:44"/>
    <x v="1"/>
    <x v="6"/>
    <s v="Application X is crashing every time I open it. Anything despite not."/>
    <x v="3"/>
    <d v="1899-12-31T12:52:24"/>
    <x v="3"/>
    <x v="2"/>
    <x v="4"/>
  </r>
  <r>
    <x v="44"/>
    <d v="2025-08-03T03:02:33"/>
    <d v="2025-08-03T07:10:24"/>
    <x v="2"/>
    <x v="5"/>
    <s v="My laptop's keyboard isn't working properly, some keys are stuck. Film answer tax different carry represent."/>
    <x v="0"/>
    <d v="1900-01-03T03:08:24"/>
    <x v="6"/>
    <x v="3"/>
    <x v="15"/>
  </r>
  <r>
    <x v="45"/>
    <d v="2025-07-05T09:41:54"/>
    <d v="2025-07-05T21:04:57"/>
    <x v="1"/>
    <x v="1"/>
    <s v="Application X is crashing every time I open it. American computer let go event."/>
    <x v="0"/>
    <d v="1900-01-10T09:13:12"/>
    <x v="4"/>
    <x v="2"/>
    <x v="2"/>
  </r>
  <r>
    <x v="46"/>
    <d v="2025-08-30T13:43:06"/>
    <d v="2025-09-01T11:41:59"/>
    <x v="4"/>
    <x v="4"/>
    <s v="Can't connect to the Wi-Fi. It's showing 'No internet access'. Build oil wait community less happen."/>
    <x v="1"/>
    <d v="1900-02-13T23:33:12"/>
    <x v="4"/>
    <x v="3"/>
    <x v="10"/>
  </r>
  <r>
    <x v="47"/>
    <d v="2025-06-22T15:23:41"/>
    <d v="2025-06-27T12:57:19"/>
    <x v="3"/>
    <x v="1"/>
    <s v="I'm locked out of my account and can't reset my password. Decide stuff agree national politics current son."/>
    <x v="2"/>
    <d v="1900-04-26T13:27:12"/>
    <x v="6"/>
    <x v="0"/>
    <x v="20"/>
  </r>
  <r>
    <x v="48"/>
    <d v="2025-07-03T03:12:43"/>
    <d v="2025-07-03T15:39:54"/>
    <x v="4"/>
    <x v="1"/>
    <s v="Can't connect to the Wi-Fi. It's showing 'No internet access'. Phone interview worker could."/>
    <x v="1"/>
    <d v="1900-01-11T10:52:24"/>
    <x v="2"/>
    <x v="2"/>
    <x v="15"/>
  </r>
  <r>
    <x v="49"/>
    <d v="2025-08-09T17:51:19"/>
    <d v="2025-08-10T20:32:46"/>
    <x v="4"/>
    <x v="1"/>
    <s v="Can't connect to the Wi-Fi. It's showing 'No internet access'. Together life least mission."/>
    <x v="1"/>
    <d v="1900-01-25T16:34:48"/>
    <x v="4"/>
    <x v="3"/>
    <x v="3"/>
  </r>
  <r>
    <x v="50"/>
    <d v="2025-07-23T08:22:42"/>
    <d v="2025-07-27T23:09:54"/>
    <x v="0"/>
    <x v="3"/>
    <s v="If forget newspaper behavior note put. Almost affect entire. Trial set capital real."/>
    <x v="2"/>
    <d v="1900-04-19T18:52:48"/>
    <x v="3"/>
    <x v="2"/>
    <x v="19"/>
  </r>
  <r>
    <x v="51"/>
    <d v="2025-07-31T19:51:43"/>
    <d v="2025-08-07T01:25:06"/>
    <x v="1"/>
    <x v="1"/>
    <s v="Application X is crashing every time I open it. My sound short."/>
    <x v="2"/>
    <d v="1900-05-28T13:21:12"/>
    <x v="2"/>
    <x v="2"/>
    <x v="1"/>
  </r>
  <r>
    <x v="52"/>
    <d v="2025-06-29T02:21:50"/>
    <d v="2025-06-29T17:27:46"/>
    <x v="1"/>
    <x v="3"/>
    <s v="Application X is crashing every time I open it. Where culture site value set."/>
    <x v="1"/>
    <d v="1900-01-14T02:22:24"/>
    <x v="6"/>
    <x v="0"/>
    <x v="21"/>
  </r>
  <r>
    <x v="53"/>
    <d v="2025-08-15T20:41:48"/>
    <d v="2025-08-16T09:53:39"/>
    <x v="1"/>
    <x v="1"/>
    <s v="Application X is crashing every time I open it. Go claim billion small experience old."/>
    <x v="1"/>
    <d v="1900-01-12T04:44:24"/>
    <x v="0"/>
    <x v="3"/>
    <x v="5"/>
  </r>
  <r>
    <x v="54"/>
    <d v="2025-07-15T09:00:06"/>
    <d v="2025-07-15T19:03:10"/>
    <x v="4"/>
    <x v="2"/>
    <s v="Can't connect to the Wi-Fi. It's showing 'No internet access'. Option name including."/>
    <x v="0"/>
    <d v="1900-01-09T01:13:36"/>
    <x v="5"/>
    <x v="2"/>
    <x v="2"/>
  </r>
  <r>
    <x v="55"/>
    <d v="2025-06-21T01:06:48"/>
    <d v="2025-06-22T17:47:48"/>
    <x v="3"/>
    <x v="1"/>
    <s v="I'm locked out of my account and can't reset my password. Idea enter expert decision something."/>
    <x v="1"/>
    <d v="1900-02-08T16:24:00"/>
    <x v="4"/>
    <x v="0"/>
    <x v="11"/>
  </r>
  <r>
    <x v="56"/>
    <d v="2025-08-02T07:52:13"/>
    <d v="2025-08-03T14:28:34"/>
    <x v="0"/>
    <x v="3"/>
    <s v="Through culture similar finally. Oil world money about fine street small."/>
    <x v="1"/>
    <d v="1900-01-29T14:32:24"/>
    <x v="4"/>
    <x v="3"/>
    <x v="7"/>
  </r>
  <r>
    <x v="57"/>
    <d v="2025-07-22T08:29:35"/>
    <d v="2025-07-29T06:48:58"/>
    <x v="5"/>
    <x v="6"/>
    <s v="Weight go sort sign law response since. Sister other actually Mrs fight everything get."/>
    <x v="2"/>
    <d v="1900-06-14T07:45:12"/>
    <x v="5"/>
    <x v="2"/>
    <x v="19"/>
  </r>
  <r>
    <x v="58"/>
    <d v="2025-08-06T13:42:51"/>
    <d v="2025-08-08T07:16:37"/>
    <x v="0"/>
    <x v="6"/>
    <s v="Particular ask company nearly exist exactly friend."/>
    <x v="1"/>
    <d v="1900-02-09T13:30:24"/>
    <x v="3"/>
    <x v="3"/>
    <x v="10"/>
  </r>
  <r>
    <x v="59"/>
    <d v="2025-06-19T06:37:43"/>
    <d v="2025-06-20T14:17:59"/>
    <x v="1"/>
    <x v="5"/>
    <s v="Application X is crashing every time I open it. Skin subject purpose baby training."/>
    <x v="1"/>
    <d v="1900-01-30T16:06:24"/>
    <x v="2"/>
    <x v="0"/>
    <x v="22"/>
  </r>
  <r>
    <x v="60"/>
    <d v="2025-08-27T11:05:38"/>
    <d v="2025-08-28T11:49:50"/>
    <x v="2"/>
    <x v="3"/>
    <s v="My laptop's keyboard isn't working properly, some keys are stuck. Than none office improve."/>
    <x v="1"/>
    <d v="1900-01-23T17:40:48"/>
    <x v="3"/>
    <x v="3"/>
    <x v="12"/>
  </r>
  <r>
    <x v="61"/>
    <d v="2025-09-10T20:19:38"/>
    <d v="2025-09-12T10:03:29"/>
    <x v="1"/>
    <x v="0"/>
    <s v="Application X is crashing every time I open it. With because article scene father black."/>
    <x v="1"/>
    <d v="1900-02-05T17:32:24"/>
    <x v="3"/>
    <x v="1"/>
    <x v="5"/>
  </r>
  <r>
    <x v="62"/>
    <d v="2025-07-01T16:39:40"/>
    <d v="2025-07-02T16:21:43"/>
    <x v="1"/>
    <x v="7"/>
    <s v="Application X is crashing every time I open it. Food pass energy fund need read anything."/>
    <x v="1"/>
    <d v="1900-01-22T16:49:12"/>
    <x v="5"/>
    <x v="2"/>
    <x v="8"/>
  </r>
  <r>
    <x v="63"/>
    <d v="2025-08-02T07:57:09"/>
    <d v="2025-08-02T15:55:37"/>
    <x v="3"/>
    <x v="7"/>
    <s v="I'm locked out of my account and can't reset my password. Agreement news significant cultural agree."/>
    <x v="0"/>
    <d v="1900-01-06T23:23:12"/>
    <x v="4"/>
    <x v="3"/>
    <x v="7"/>
  </r>
  <r>
    <x v="64"/>
    <d v="2025-09-10T05:58:12"/>
    <d v="2025-09-10T14:01:55"/>
    <x v="3"/>
    <x v="4"/>
    <s v="I'm locked out of my account and can't reset my password. Especially under always tend teacher build."/>
    <x v="1"/>
    <d v="1900-01-07T01:29:12"/>
    <x v="3"/>
    <x v="1"/>
    <x v="16"/>
  </r>
  <r>
    <x v="65"/>
    <d v="2025-08-17T19:11:16"/>
    <d v="2025-08-18T09:55:36"/>
    <x v="4"/>
    <x v="0"/>
    <s v="Can't connect to the Wi-Fi. It's showing 'No internet access'. Child as debate economy."/>
    <x v="1"/>
    <d v="1900-01-13T17:44:00"/>
    <x v="6"/>
    <x v="3"/>
    <x v="1"/>
  </r>
  <r>
    <x v="66"/>
    <d v="2025-07-18T06:21:58"/>
    <d v="2025-07-23T20:05:28"/>
    <x v="2"/>
    <x v="2"/>
    <s v="My laptop's keyboard isn't working properly, some keys are stuck. Someone poor mission fill free."/>
    <x v="2"/>
    <d v="1900-05-12T17:24:00"/>
    <x v="0"/>
    <x v="2"/>
    <x v="22"/>
  </r>
  <r>
    <x v="67"/>
    <d v="2025-07-06T02:18:19"/>
    <d v="2025-07-07T13:03:00"/>
    <x v="4"/>
    <x v="7"/>
    <s v="Can't connect to the Wi-Fi. It's showing 'No internet access'. Represent safe scene wall dog."/>
    <x v="1"/>
    <d v="1900-02-02T17:52:24"/>
    <x v="6"/>
    <x v="2"/>
    <x v="21"/>
  </r>
  <r>
    <x v="68"/>
    <d v="2025-08-25T22:46:50"/>
    <d v="2025-08-29T05:16:59"/>
    <x v="1"/>
    <x v="5"/>
    <s v="Application X is crashing every time I open it. Claim success those baby."/>
    <x v="2"/>
    <d v="1900-03-18T12:03:36"/>
    <x v="1"/>
    <x v="3"/>
    <x v="0"/>
  </r>
  <r>
    <x v="69"/>
    <d v="2025-09-07T00:30:29"/>
    <d v="2025-09-08T00:37:01"/>
    <x v="1"/>
    <x v="4"/>
    <s v="Application X is crashing every time I open it. Term lot their. Dark itself deal race Democrat."/>
    <x v="1"/>
    <d v="1900-01-23T02:36:48"/>
    <x v="6"/>
    <x v="1"/>
    <x v="17"/>
  </r>
  <r>
    <x v="70"/>
    <d v="2025-07-21T21:58:21"/>
    <d v="2025-07-22T01:11:24"/>
    <x v="2"/>
    <x v="7"/>
    <s v="My laptop's keyboard isn't working properly, some keys are stuck. Bad past glass strategy. Above skin station."/>
    <x v="3"/>
    <d v="1900-01-02T05:13:12"/>
    <x v="1"/>
    <x v="2"/>
    <x v="4"/>
  </r>
  <r>
    <x v="71"/>
    <d v="2025-07-24T12:55:27"/>
    <d v="2025-07-25T08:58:26"/>
    <x v="1"/>
    <x v="2"/>
    <s v="Application X is crashing every time I open it. Tv control generation away public remain."/>
    <x v="1"/>
    <d v="1900-01-19T01:11:36"/>
    <x v="2"/>
    <x v="2"/>
    <x v="14"/>
  </r>
  <r>
    <x v="72"/>
    <d v="2025-06-18T07:42:24"/>
    <d v="2025-06-19T21:32:31"/>
    <x v="4"/>
    <x v="7"/>
    <s v="Can't connect to the Wi-Fi. It's showing 'No internet access'. Alone skill foot benefit."/>
    <x v="1"/>
    <d v="1900-02-05T20:02:48"/>
    <x v="3"/>
    <x v="0"/>
    <x v="7"/>
  </r>
  <r>
    <x v="73"/>
    <d v="2025-09-03T02:34:13"/>
    <d v="2025-09-03T10:40:49"/>
    <x v="0"/>
    <x v="8"/>
    <s v="Media respond them indicate. Up movie television stop. Garden ten city already close."/>
    <x v="0"/>
    <d v="1900-01-07T02:38:24"/>
    <x v="3"/>
    <x v="1"/>
    <x v="21"/>
  </r>
  <r>
    <x v="74"/>
    <d v="2025-08-08T23:17:56"/>
    <d v="2025-08-14T23:19:46"/>
    <x v="5"/>
    <x v="1"/>
    <s v="Lay support mouth control understand could. Husband for evening upon involve."/>
    <x v="2"/>
    <d v="1900-05-23T00:44:00"/>
    <x v="0"/>
    <x v="3"/>
    <x v="13"/>
  </r>
  <r>
    <x v="75"/>
    <d v="2025-08-28T01:48:14"/>
    <d v="2025-08-28T09:40:58"/>
    <x v="0"/>
    <x v="7"/>
    <s v="Company month civil season include. Onto life for both little."/>
    <x v="0"/>
    <d v="1900-01-06T21:05:36"/>
    <x v="2"/>
    <x v="3"/>
    <x v="11"/>
  </r>
  <r>
    <x v="76"/>
    <d v="2025-07-20T10:31:23"/>
    <d v="2025-07-20T14:11:12"/>
    <x v="1"/>
    <x v="1"/>
    <s v="Application X is crashing every time I open it. Candidate push mind exactly feel."/>
    <x v="0"/>
    <d v="1900-01-02T15:55:36"/>
    <x v="6"/>
    <x v="2"/>
    <x v="6"/>
  </r>
  <r>
    <x v="77"/>
    <d v="2025-07-17T15:42:38"/>
    <d v="2025-07-17T22:40:18"/>
    <x v="5"/>
    <x v="5"/>
    <s v="Writer city suffer within important recently difference. Wait only relationship free."/>
    <x v="0"/>
    <d v="1900-01-05T23:04:00"/>
    <x v="2"/>
    <x v="2"/>
    <x v="20"/>
  </r>
  <r>
    <x v="78"/>
    <d v="2025-07-23T19:59:04"/>
    <d v="2025-07-26T11:29:43"/>
    <x v="1"/>
    <x v="1"/>
    <s v="Application X is crashing every time I open it. Form customer bill interest remember which."/>
    <x v="2"/>
    <d v="1900-03-03T12:15:36"/>
    <x v="3"/>
    <x v="2"/>
    <x v="1"/>
  </r>
  <r>
    <x v="79"/>
    <d v="2025-06-27T20:58:34"/>
    <d v="2025-07-01T20:08:25"/>
    <x v="4"/>
    <x v="1"/>
    <s v="Can't connect to the Wi-Fi. It's showing 'No internet access'. Agree begin guess ask choice low themselves born."/>
    <x v="2"/>
    <d v="1900-04-04T03:56:24"/>
    <x v="0"/>
    <x v="0"/>
    <x v="5"/>
  </r>
  <r>
    <x v="80"/>
    <d v="2025-06-19T16:43:35"/>
    <d v="2025-06-25T22:32:38"/>
    <x v="1"/>
    <x v="6"/>
    <s v="Application X is crashing every time I open it. Center worry nor whole."/>
    <x v="2"/>
    <d v="1900-05-28T19:37:12"/>
    <x v="2"/>
    <x v="0"/>
    <x v="8"/>
  </r>
  <r>
    <x v="81"/>
    <d v="2025-06-27T00:50:45"/>
    <d v="2025-07-01T10:00:38"/>
    <x v="3"/>
    <x v="3"/>
    <s v="I'm locked out of my account and can't reset my password. Miss son responsibility hour."/>
    <x v="2"/>
    <d v="1900-04-14T03:57:12"/>
    <x v="0"/>
    <x v="0"/>
    <x v="17"/>
  </r>
  <r>
    <x v="82"/>
    <d v="2025-08-10T11:17:27"/>
    <d v="2025-08-12T08:21:18"/>
    <x v="1"/>
    <x v="1"/>
    <s v="Application X is crashing every time I open it. Develop course foreign no either."/>
    <x v="1"/>
    <d v="1900-02-13T01:32:24"/>
    <x v="6"/>
    <x v="3"/>
    <x v="12"/>
  </r>
  <r>
    <x v="83"/>
    <d v="2025-07-29T01:49:12"/>
    <d v="2025-07-31T13:26:15"/>
    <x v="6"/>
    <x v="4"/>
    <s v="Public husband return country service very. Be exactly time firm yard price bad."/>
    <x v="2"/>
    <d v="1900-02-27T14:49:12"/>
    <x v="5"/>
    <x v="2"/>
    <x v="11"/>
  </r>
  <r>
    <x v="84"/>
    <d v="2025-07-06T10:09:04"/>
    <d v="2025-07-11T00:20:43"/>
    <x v="2"/>
    <x v="9"/>
    <s v="My laptop's keyboard isn't working properly, some keys are stuck. Perform author more owner girl message."/>
    <x v="2"/>
    <d v="1900-04-19T04:39:36"/>
    <x v="6"/>
    <x v="2"/>
    <x v="6"/>
  </r>
  <r>
    <x v="85"/>
    <d v="2025-07-30T04:23:34"/>
    <d v="2025-07-30T13:08:10"/>
    <x v="3"/>
    <x v="5"/>
    <s v="I'm locked out of my account and can't reset my password. Church stop environment."/>
    <x v="0"/>
    <d v="1900-01-07T17:50:24"/>
    <x v="3"/>
    <x v="2"/>
    <x v="23"/>
  </r>
  <r>
    <x v="86"/>
    <d v="2025-08-23T05:18:39"/>
    <d v="2025-08-24T16:37:11"/>
    <x v="1"/>
    <x v="7"/>
    <s v="Application X is crashing every time I open it. Everyone body modern feeling shake loss."/>
    <x v="1"/>
    <d v="1900-02-03T07:24:48"/>
    <x v="4"/>
    <x v="3"/>
    <x v="16"/>
  </r>
  <r>
    <x v="87"/>
    <d v="2025-07-10T03:11:23"/>
    <d v="2025-07-10T23:12:02"/>
    <x v="2"/>
    <x v="2"/>
    <s v="My laptop's keyboard isn't working properly, some keys are stuck. Whole material thus despite firm more."/>
    <x v="1"/>
    <d v="1900-01-19T00:15:36"/>
    <x v="2"/>
    <x v="2"/>
    <x v="15"/>
  </r>
  <r>
    <x v="88"/>
    <d v="2025-09-12T18:58:40"/>
    <d v="2025-09-14T02:31:59"/>
    <x v="1"/>
    <x v="5"/>
    <s v="Application X is crashing every time I open it. Until statement century seat vote never."/>
    <x v="1"/>
    <d v="1900-01-30T13:19:36"/>
    <x v="0"/>
    <x v="1"/>
    <x v="18"/>
  </r>
  <r>
    <x v="89"/>
    <d v="2025-09-02T15:20:46"/>
    <d v="2025-09-08T16:21:32"/>
    <x v="1"/>
    <x v="5"/>
    <s v="Application X is crashing every time I open it. Big season the."/>
    <x v="2"/>
    <d v="1900-05-24T00:18:24"/>
    <x v="5"/>
    <x v="1"/>
    <x v="20"/>
  </r>
  <r>
    <x v="90"/>
    <d v="2025-07-12T12:04:37"/>
    <d v="2025-07-13T06:22:20"/>
    <x v="1"/>
    <x v="0"/>
    <s v="Application X is crashing every time I open it. Usually career attention realize."/>
    <x v="1"/>
    <d v="1900-01-17T07:05:12"/>
    <x v="4"/>
    <x v="2"/>
    <x v="14"/>
  </r>
  <r>
    <x v="91"/>
    <d v="2025-08-06T04:36:43"/>
    <d v="2025-08-12T11:09:01"/>
    <x v="1"/>
    <x v="5"/>
    <s v="Application X is crashing every time I open it. Firm tonight statement feel Mrs music."/>
    <x v="2"/>
    <d v="1900-05-29T12:55:12"/>
    <x v="3"/>
    <x v="3"/>
    <x v="23"/>
  </r>
  <r>
    <x v="92"/>
    <d v="2025-06-24T12:26:10"/>
    <d v="2025-06-26T10:49:37"/>
    <x v="4"/>
    <x v="3"/>
    <s v="Can't connect to the Wi-Fi. It's showing 'No internet access'. Life change act. Through imagine again whole."/>
    <x v="1"/>
    <d v="1900-02-14T09:22:48"/>
    <x v="5"/>
    <x v="0"/>
    <x v="14"/>
  </r>
  <r>
    <x v="93"/>
    <d v="2025-06-25T21:27:43"/>
    <d v="2025-06-29T07:08:52"/>
    <x v="0"/>
    <x v="3"/>
    <s v="Including development attack wide. Concern his environment attack program rest team."/>
    <x v="2"/>
    <d v="1900-03-21T16:27:36"/>
    <x v="3"/>
    <x v="0"/>
    <x v="4"/>
  </r>
  <r>
    <x v="94"/>
    <d v="2025-07-25T15:06:41"/>
    <d v="2025-07-30T00:43:14"/>
    <x v="3"/>
    <x v="7"/>
    <s v="I'm locked out of my account and can't reset my password. Another collection another many."/>
    <x v="2"/>
    <d v="1900-04-14T14:37:12"/>
    <x v="0"/>
    <x v="2"/>
    <x v="20"/>
  </r>
  <r>
    <x v="95"/>
    <d v="2025-07-25T17:47:29"/>
    <d v="2025-07-26T21:49:20"/>
    <x v="0"/>
    <x v="0"/>
    <s v="Compare or at environmental. Six what them fall. Husband certain institution phone resource blood."/>
    <x v="1"/>
    <d v="1900-01-27T00:44:24"/>
    <x v="0"/>
    <x v="2"/>
    <x v="3"/>
  </r>
  <r>
    <x v="96"/>
    <d v="2025-08-12T17:49:45"/>
    <d v="2025-08-14T13:34:20"/>
    <x v="3"/>
    <x v="4"/>
    <s v="I'm locked out of my account and can't reset my password. Medical let door front. Law end always."/>
    <x v="2"/>
    <d v="1900-02-11T17:50:00"/>
    <x v="5"/>
    <x v="3"/>
    <x v="3"/>
  </r>
  <r>
    <x v="97"/>
    <d v="2025-07-25T21:16:19"/>
    <d v="2025-08-01T13:28:59"/>
    <x v="2"/>
    <x v="5"/>
    <s v="My laptop's keyboard isn't working properly, some keys are stuck. Rich fire power city. Water career next relate."/>
    <x v="2"/>
    <d v="1900-06-08T05:04:00"/>
    <x v="0"/>
    <x v="2"/>
    <x v="4"/>
  </r>
  <r>
    <x v="98"/>
    <d v="2025-09-14T19:22:48"/>
    <d v="2025-09-14T22:26:30"/>
    <x v="1"/>
    <x v="1"/>
    <s v="Application X is crashing every time I open it. Result happy song want finish stuff."/>
    <x v="0"/>
    <d v="1900-01-02T01:28:48"/>
    <x v="6"/>
    <x v="1"/>
    <x v="1"/>
  </r>
  <r>
    <x v="99"/>
    <d v="2025-07-31T00:15:23"/>
    <d v="2025-07-31T09:04:04"/>
    <x v="2"/>
    <x v="4"/>
    <s v="My laptop's keyboard isn't working properly, some keys are stuck. Themselves big matter happy small."/>
    <x v="1"/>
    <d v="1900-01-07T19:28:24"/>
    <x v="2"/>
    <x v="2"/>
    <x v="17"/>
  </r>
  <r>
    <x v="100"/>
    <d v="2025-08-17T13:13:44"/>
    <d v="2025-08-17T15:17:50"/>
    <x v="1"/>
    <x v="5"/>
    <s v="Application X is crashing every time I open it. Agent will respond help."/>
    <x v="3"/>
    <d v="1900-01-01T01:38:24"/>
    <x v="6"/>
    <x v="3"/>
    <x v="10"/>
  </r>
  <r>
    <x v="101"/>
    <d v="2025-09-11T12:55:11"/>
    <d v="2025-09-13T06:31:30"/>
    <x v="1"/>
    <x v="7"/>
    <s v="Application X is crashing every time I open it. Short commercial everybody difficult change."/>
    <x v="1"/>
    <d v="1900-02-09T14:31:36"/>
    <x v="2"/>
    <x v="1"/>
    <x v="14"/>
  </r>
  <r>
    <x v="102"/>
    <d v="2025-07-01T08:49:20"/>
    <d v="2025-07-02T11:20:43"/>
    <x v="0"/>
    <x v="5"/>
    <s v="Any today within none hot again green. Remember attack event view father."/>
    <x v="2"/>
    <d v="1900-01-25T12:33:12"/>
    <x v="5"/>
    <x v="2"/>
    <x v="19"/>
  </r>
  <r>
    <x v="103"/>
    <d v="2025-06-25T22:36:03"/>
    <d v="2025-06-26T09:59:45"/>
    <x v="1"/>
    <x v="9"/>
    <s v="Application X is crashing every time I open it. Represent senior his finish include nothing."/>
    <x v="1"/>
    <d v="1900-01-10T09:28:48"/>
    <x v="3"/>
    <x v="0"/>
    <x v="0"/>
  </r>
  <r>
    <x v="104"/>
    <d v="2025-09-06T06:19:01"/>
    <d v="2025-09-06T10:36:27"/>
    <x v="6"/>
    <x v="9"/>
    <s v="She certain boy build. Test bag country president environment."/>
    <x v="0"/>
    <d v="1900-01-03T06:58:24"/>
    <x v="4"/>
    <x v="1"/>
    <x v="22"/>
  </r>
  <r>
    <x v="105"/>
    <d v="2025-08-03T06:45:06"/>
    <d v="2025-08-05T16:41:24"/>
    <x v="4"/>
    <x v="8"/>
    <s v="Can't connect to the Wi-Fi. It's showing 'No internet access'. Hair job save son."/>
    <x v="2"/>
    <d v="1900-02-25T22:31:12"/>
    <x v="6"/>
    <x v="3"/>
    <x v="22"/>
  </r>
  <r>
    <x v="106"/>
    <d v="2025-08-17T12:18:02"/>
    <d v="2025-08-18T18:29:37"/>
    <x v="6"/>
    <x v="2"/>
    <s v="Growth middle establish public."/>
    <x v="1"/>
    <d v="1900-01-29T04:38:00"/>
    <x v="6"/>
    <x v="3"/>
    <x v="14"/>
  </r>
  <r>
    <x v="107"/>
    <d v="2025-07-28T14:54:12"/>
    <d v="2025-07-31T08:11:11"/>
    <x v="2"/>
    <x v="1"/>
    <s v="My laptop's keyboard isn't working properly, some keys are stuck. Produce require line letter listen often."/>
    <x v="2"/>
    <d v="1900-03-05T06:47:36"/>
    <x v="1"/>
    <x v="2"/>
    <x v="9"/>
  </r>
  <r>
    <x v="108"/>
    <d v="2025-07-12T06:57:35"/>
    <d v="2025-07-12T11:56:19"/>
    <x v="2"/>
    <x v="2"/>
    <s v="My laptop's keyboard isn't working properly, some keys are stuck. At bag continue."/>
    <x v="0"/>
    <d v="1900-01-03T23:29:36"/>
    <x v="4"/>
    <x v="2"/>
    <x v="22"/>
  </r>
  <r>
    <x v="109"/>
    <d v="2025-07-13T00:24:13"/>
    <d v="2025-07-19T22:24:35"/>
    <x v="1"/>
    <x v="2"/>
    <s v="Application X is crashing every time I open it. Without pass book tend."/>
    <x v="2"/>
    <d v="1900-06-14T00:08:48"/>
    <x v="6"/>
    <x v="2"/>
    <x v="17"/>
  </r>
  <r>
    <x v="110"/>
    <d v="2025-07-14T05:56:24"/>
    <d v="2025-07-14T12:35:51"/>
    <x v="3"/>
    <x v="7"/>
    <s v="I'm locked out of my account and can't reset my password. Right where add."/>
    <x v="0"/>
    <d v="1900-01-05T15:46:48"/>
    <x v="1"/>
    <x v="2"/>
    <x v="16"/>
  </r>
  <r>
    <x v="111"/>
    <d v="2025-08-28T11:29:55"/>
    <d v="2025-09-04T10:40:12"/>
    <x v="1"/>
    <x v="2"/>
    <s v="Application X is crashing every time I open it. Argue team senior low training."/>
    <x v="2"/>
    <d v="1900-06-15T04:06:48"/>
    <x v="2"/>
    <x v="3"/>
    <x v="12"/>
  </r>
  <r>
    <x v="112"/>
    <d v="2025-08-28T08:02:11"/>
    <d v="2025-09-02T04:40:56"/>
    <x v="5"/>
    <x v="1"/>
    <s v="Plant attack should. Drive international today. Pretty statement her upon nation."/>
    <x v="2"/>
    <d v="1900-04-25T15:30:00"/>
    <x v="2"/>
    <x v="3"/>
    <x v="19"/>
  </r>
  <r>
    <x v="113"/>
    <d v="2025-08-20T11:19:48"/>
    <d v="2025-08-20T13:31:35"/>
    <x v="2"/>
    <x v="3"/>
    <s v="My laptop's keyboard isn't working properly, some keys are stuck. Chance place build body population."/>
    <x v="0"/>
    <d v="1900-01-01T04:42:48"/>
    <x v="3"/>
    <x v="3"/>
    <x v="12"/>
  </r>
  <r>
    <x v="114"/>
    <d v="2025-06-26T06:39:15"/>
    <d v="2025-06-26T21:07:28"/>
    <x v="0"/>
    <x v="4"/>
    <s v="Something million activity. Interview under cover career under. Can address show public."/>
    <x v="1"/>
    <d v="1900-01-13T11:17:12"/>
    <x v="2"/>
    <x v="0"/>
    <x v="22"/>
  </r>
  <r>
    <x v="115"/>
    <d v="2025-09-04T00:02:17"/>
    <d v="2025-09-08T17:50:48"/>
    <x v="3"/>
    <x v="9"/>
    <s v="I'm locked out of my account and can't reset my password. Receive nature option oil read trouble."/>
    <x v="2"/>
    <d v="1900-04-22T19:24:24"/>
    <x v="2"/>
    <x v="1"/>
    <x v="17"/>
  </r>
  <r>
    <x v="116"/>
    <d v="2025-07-14T03:29:18"/>
    <d v="2025-07-15T11:50:20"/>
    <x v="1"/>
    <x v="2"/>
    <s v="Application X is crashing every time I open it. Toward ago director condition food share meet."/>
    <x v="1"/>
    <d v="1900-01-31T08:24:48"/>
    <x v="1"/>
    <x v="2"/>
    <x v="15"/>
  </r>
  <r>
    <x v="117"/>
    <d v="2025-07-24T06:40:03"/>
    <d v="2025-07-26T02:18:46"/>
    <x v="3"/>
    <x v="8"/>
    <s v="I'm locked out of my account and can't reset my password. For we when drive. Start identify now throw."/>
    <x v="1"/>
    <d v="1900-02-11T15:29:12"/>
    <x v="2"/>
    <x v="2"/>
    <x v="22"/>
  </r>
  <r>
    <x v="118"/>
    <d v="2025-08-03T22:42:23"/>
    <d v="2025-08-10T12:59:57"/>
    <x v="6"/>
    <x v="5"/>
    <s v="Even focus animal civil quality lay skill. Need maybe former return."/>
    <x v="2"/>
    <d v="1900-06-06T07:01:36"/>
    <x v="6"/>
    <x v="3"/>
    <x v="0"/>
  </r>
  <r>
    <x v="119"/>
    <d v="2025-07-12T00:15:34"/>
    <d v="2025-07-12T19:05:17"/>
    <x v="2"/>
    <x v="1"/>
    <s v="My laptop's keyboard isn't working properly, some keys are stuck. Cup money work certainly color."/>
    <x v="1"/>
    <d v="1900-01-17T19:53:12"/>
    <x v="4"/>
    <x v="2"/>
    <x v="17"/>
  </r>
  <r>
    <x v="120"/>
    <d v="2025-07-19T13:02:22"/>
    <d v="2025-07-20T07:25:23"/>
    <x v="0"/>
    <x v="4"/>
    <s v="Clear late win beat. Those arm say year him science door."/>
    <x v="1"/>
    <d v="1900-01-17T09:12:24"/>
    <x v="4"/>
    <x v="2"/>
    <x v="10"/>
  </r>
  <r>
    <x v="121"/>
    <d v="2025-06-29T20:08:30"/>
    <d v="2025-06-30T10:31:43"/>
    <x v="3"/>
    <x v="7"/>
    <s v="I'm locked out of my account and can't reset my password. Purpose almost nature create authority company."/>
    <x v="1"/>
    <d v="1900-01-13T09:17:12"/>
    <x v="6"/>
    <x v="0"/>
    <x v="5"/>
  </r>
  <r>
    <x v="122"/>
    <d v="2025-07-29T14:50:17"/>
    <d v="2025-07-30T09:24:48"/>
    <x v="1"/>
    <x v="0"/>
    <s v="Application X is crashing every time I open it. Garden better chance impact where how member."/>
    <x v="1"/>
    <d v="1900-01-17T13:48:24"/>
    <x v="5"/>
    <x v="2"/>
    <x v="9"/>
  </r>
  <r>
    <x v="123"/>
    <d v="2025-08-19T01:11:31"/>
    <d v="2025-08-20T19:06:33"/>
    <x v="4"/>
    <x v="1"/>
    <s v="Can't connect to the Wi-Fi. It's showing 'No internet access'. Bag without else red. Able year decision others."/>
    <x v="1"/>
    <d v="1900-02-09T22:00:48"/>
    <x v="5"/>
    <x v="3"/>
    <x v="11"/>
  </r>
  <r>
    <x v="124"/>
    <d v="2025-06-25T06:03:59"/>
    <d v="2025-06-25T18:46:33"/>
    <x v="6"/>
    <x v="9"/>
    <s v="Police machine star. Computer lead control across blue eye force. Parent set professor sit couple."/>
    <x v="1"/>
    <d v="1900-01-11T17:01:36"/>
    <x v="3"/>
    <x v="0"/>
    <x v="22"/>
  </r>
  <r>
    <x v="125"/>
    <d v="2025-08-02T18:27:58"/>
    <d v="2025-08-03T12:11:22"/>
    <x v="6"/>
    <x v="3"/>
    <s v="Group resource dinner knowledge scientist Mr. Police simply enter training too."/>
    <x v="1"/>
    <d v="1900-01-16T17:21:36"/>
    <x v="4"/>
    <x v="3"/>
    <x v="18"/>
  </r>
  <r>
    <x v="126"/>
    <d v="2025-08-26T00:22:43"/>
    <d v="2025-08-29T23:04:42"/>
    <x v="2"/>
    <x v="5"/>
    <s v="My laptop's keyboard isn't working properly, some keys are stuck. Go wear understand relate."/>
    <x v="2"/>
    <d v="1900-04-03T16:47:36"/>
    <x v="5"/>
    <x v="3"/>
    <x v="17"/>
  </r>
  <r>
    <x v="127"/>
    <d v="2025-07-17T15:23:19"/>
    <d v="2025-07-22T01:23:32"/>
    <x v="1"/>
    <x v="9"/>
    <s v="Application X is crashing every time I open it. Gas mother rate wind fight success medical."/>
    <x v="2"/>
    <d v="1900-04-15T00:05:12"/>
    <x v="2"/>
    <x v="2"/>
    <x v="20"/>
  </r>
  <r>
    <x v="128"/>
    <d v="2025-09-09T17:02:08"/>
    <d v="2025-09-10T01:18:37"/>
    <x v="4"/>
    <x v="2"/>
    <s v="Can't connect to the Wi-Fi. It's showing 'No internet access'. These entire million eat play sit."/>
    <x v="0"/>
    <d v="1900-01-07T06:35:36"/>
    <x v="5"/>
    <x v="1"/>
    <x v="3"/>
  </r>
  <r>
    <x v="129"/>
    <d v="2025-09-06T17:30:19"/>
    <d v="2025-09-08T16:09:05"/>
    <x v="0"/>
    <x v="1"/>
    <s v="Draw once season talk forward. Decision partner north realize finish one question."/>
    <x v="1"/>
    <d v="1900-02-14T15:30:24"/>
    <x v="4"/>
    <x v="1"/>
    <x v="3"/>
  </r>
  <r>
    <x v="130"/>
    <d v="2025-09-10T20:54:16"/>
    <d v="2025-09-12T16:37:10"/>
    <x v="6"/>
    <x v="6"/>
    <s v="Catch travel form bar pretty himself team. Light suffer evidence land ok may guy."/>
    <x v="2"/>
    <d v="1900-02-11T17:09:36"/>
    <x v="3"/>
    <x v="1"/>
    <x v="5"/>
  </r>
  <r>
    <x v="131"/>
    <d v="2025-08-10T12:29:53"/>
    <d v="2025-08-14T09:20:30"/>
    <x v="6"/>
    <x v="2"/>
    <s v="Act believe heavy watch best game part. Too language mean. Cut age personal resource."/>
    <x v="2"/>
    <d v="1900-04-01T20:14:48"/>
    <x v="6"/>
    <x v="3"/>
    <x v="14"/>
  </r>
  <r>
    <x v="132"/>
    <d v="2025-09-07T02:38:17"/>
    <d v="2025-09-10T14:05:49"/>
    <x v="0"/>
    <x v="7"/>
    <s v="Year name message voice data. Protect word up today. Break drop already life."/>
    <x v="2"/>
    <d v="1900-03-23T11:00:48"/>
    <x v="6"/>
    <x v="1"/>
    <x v="21"/>
  </r>
  <r>
    <x v="133"/>
    <d v="2025-07-21T07:07:14"/>
    <d v="2025-07-21T17:05:13"/>
    <x v="3"/>
    <x v="3"/>
    <s v="I'm locked out of my account and can't reset my password. Maintain tree story research hair why."/>
    <x v="0"/>
    <d v="1900-01-08T23:11:36"/>
    <x v="1"/>
    <x v="2"/>
    <x v="7"/>
  </r>
  <r>
    <x v="134"/>
    <d v="2025-08-15T01:02:50"/>
    <d v="2025-08-22T00:38:38"/>
    <x v="0"/>
    <x v="5"/>
    <s v="Memory process group arm attack indicate mother. View three prepare by."/>
    <x v="2"/>
    <d v="1900-06-15T14:19:12"/>
    <x v="0"/>
    <x v="3"/>
    <x v="11"/>
  </r>
  <r>
    <x v="135"/>
    <d v="2025-06-24T05:57:14"/>
    <d v="2025-06-29T00:46:12"/>
    <x v="5"/>
    <x v="6"/>
    <s v="Foreign sign be money cup raise keep. Right scene market."/>
    <x v="2"/>
    <d v="1900-04-23T19:35:12"/>
    <x v="5"/>
    <x v="0"/>
    <x v="16"/>
  </r>
  <r>
    <x v="136"/>
    <d v="2025-09-14T17:50:13"/>
    <d v="2025-09-17T23:47:19"/>
    <x v="2"/>
    <x v="6"/>
    <s v="My laptop's keyboard isn't working properly, some keys are stuck. Certain six among before."/>
    <x v="2"/>
    <d v="1900-03-17T22:50:24"/>
    <x v="6"/>
    <x v="1"/>
    <x v="3"/>
  </r>
  <r>
    <x v="137"/>
    <d v="2025-06-29T09:14:35"/>
    <d v="2025-06-30T23:16:51"/>
    <x v="2"/>
    <x v="1"/>
    <s v="My laptop's keyboard isn't working properly, some keys are stuck. Ago his against point garden drug."/>
    <x v="2"/>
    <d v="1900-02-06T00:54:24"/>
    <x v="6"/>
    <x v="0"/>
    <x v="2"/>
  </r>
  <r>
    <x v="138"/>
    <d v="2025-08-19T13:22:46"/>
    <d v="2025-08-20T12:41:10"/>
    <x v="1"/>
    <x v="0"/>
    <s v="Application X is crashing every time I open it. Any state food citizen."/>
    <x v="1"/>
    <d v="1900-01-22T07:21:36"/>
    <x v="5"/>
    <x v="3"/>
    <x v="10"/>
  </r>
  <r>
    <x v="139"/>
    <d v="2025-08-21T14:38:53"/>
    <d v="2025-08-27T10:24:43"/>
    <x v="4"/>
    <x v="6"/>
    <s v="Can't connect to the Wi-Fi. It's showing 'No internet access'. He particularly begin save area finally word."/>
    <x v="2"/>
    <d v="1900-05-18T18:20:00"/>
    <x v="2"/>
    <x v="3"/>
    <x v="9"/>
  </r>
  <r>
    <x v="140"/>
    <d v="2025-08-05T10:58:02"/>
    <d v="2025-08-06T01:50:41"/>
    <x v="2"/>
    <x v="8"/>
    <s v="My laptop's keyboard isn't working properly, some keys are stuck. Serious simply mind cost movie actually."/>
    <x v="1"/>
    <d v="1900-01-13T21:03:36"/>
    <x v="5"/>
    <x v="3"/>
    <x v="6"/>
  </r>
  <r>
    <x v="141"/>
    <d v="2025-08-18T10:22:03"/>
    <d v="2025-08-18T23:14:10"/>
    <x v="2"/>
    <x v="0"/>
    <s v="My laptop's keyboard isn't working properly, some keys are stuck. Social approach mother white."/>
    <x v="1"/>
    <d v="1900-01-11T20:50:48"/>
    <x v="1"/>
    <x v="3"/>
    <x v="6"/>
  </r>
  <r>
    <x v="142"/>
    <d v="2025-09-13T16:20:39"/>
    <d v="2025-09-14T21:34:39"/>
    <x v="4"/>
    <x v="4"/>
    <s v="Can't connect to the Wi-Fi. It's showing 'No internet access'. Enter room up sound nature."/>
    <x v="1"/>
    <d v="1900-01-28T05:36:00"/>
    <x v="4"/>
    <x v="1"/>
    <x v="8"/>
  </r>
  <r>
    <x v="143"/>
    <d v="2025-08-03T06:49:31"/>
    <d v="2025-08-06T22:49:37"/>
    <x v="2"/>
    <x v="3"/>
    <s v="My laptop's keyboard isn't working properly, some keys are stuck. Effort to since question."/>
    <x v="2"/>
    <d v="1900-03-28T00:02:24"/>
    <x v="6"/>
    <x v="3"/>
    <x v="22"/>
  </r>
  <r>
    <x v="144"/>
    <d v="2025-06-27T03:04:20"/>
    <d v="2025-06-27T15:18:06"/>
    <x v="1"/>
    <x v="8"/>
    <s v="Application X is crashing every time I open it. These drive president building."/>
    <x v="1"/>
    <d v="1900-01-11T05:30:24"/>
    <x v="0"/>
    <x v="0"/>
    <x v="15"/>
  </r>
  <r>
    <x v="145"/>
    <d v="2025-08-31T15:49:39"/>
    <d v="2025-08-31T17:50:14"/>
    <x v="6"/>
    <x v="3"/>
    <s v="Suddenly effort she without without."/>
    <x v="3"/>
    <d v="1900-01-01T00:14:00"/>
    <x v="6"/>
    <x v="3"/>
    <x v="20"/>
  </r>
  <r>
    <x v="146"/>
    <d v="2025-06-24T11:03:22"/>
    <d v="2025-06-24T18:54:19"/>
    <x v="4"/>
    <x v="6"/>
    <s v="Can't connect to the Wi-Fi. It's showing 'No internet access'. Should that nation can difficult nice."/>
    <x v="0"/>
    <d v="1900-01-06T20:22:48"/>
    <x v="5"/>
    <x v="0"/>
    <x v="12"/>
  </r>
  <r>
    <x v="147"/>
    <d v="2025-09-02T16:56:42"/>
    <d v="2025-09-06T05:01:09"/>
    <x v="5"/>
    <x v="3"/>
    <s v="Look scene real owner agent whose specific. Along they yourself character year or behind."/>
    <x v="2"/>
    <d v="1900-03-24T01:46:48"/>
    <x v="5"/>
    <x v="1"/>
    <x v="8"/>
  </r>
  <r>
    <x v="148"/>
    <d v="2025-07-16T14:22:14"/>
    <d v="2025-07-17T16:50:12"/>
    <x v="0"/>
    <x v="7"/>
    <s v="You reflect radio. Especially speech wish interesting wife."/>
    <x v="1"/>
    <d v="1900-01-25T11:11:12"/>
    <x v="3"/>
    <x v="2"/>
    <x v="9"/>
  </r>
  <r>
    <x v="149"/>
    <d v="2025-07-31T04:12:39"/>
    <d v="2025-08-01T04:13:25"/>
    <x v="2"/>
    <x v="0"/>
    <s v="My laptop's keyboard isn't working properly, some keys are stuck. Event pattern factor deep manager work."/>
    <x v="1"/>
    <d v="1900-01-23T00:18:24"/>
    <x v="2"/>
    <x v="2"/>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763F6-51A5-44F1-8515-AC723528F1A0}"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Week">
  <location ref="A34:B59" firstHeaderRow="1"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pivotField numFmtId="22" showAll="0"/>
    <pivotField showAll="0"/>
    <pivotField showAll="0"/>
    <pivotField showAll="0"/>
    <pivotField showAll="0"/>
    <pivotField numFmtId="164" showAll="0"/>
    <pivotField showAll="0">
      <items count="8">
        <item x="1"/>
        <item x="5"/>
        <item x="3"/>
        <item x="2"/>
        <item x="0"/>
        <item x="4"/>
        <item x="6"/>
        <item t="default"/>
      </items>
    </pivotField>
    <pivotField showAll="0"/>
    <pivotField axis="axisRow" showAll="0">
      <items count="25">
        <item x="17"/>
        <item x="11"/>
        <item x="21"/>
        <item x="15"/>
        <item x="23"/>
        <item x="16"/>
        <item x="22"/>
        <item x="7"/>
        <item x="19"/>
        <item x="2"/>
        <item x="6"/>
        <item x="12"/>
        <item x="14"/>
        <item x="10"/>
        <item x="9"/>
        <item x="20"/>
        <item x="8"/>
        <item x="3"/>
        <item x="18"/>
        <item x="1"/>
        <item x="5"/>
        <item x="4"/>
        <item x="0"/>
        <item x="13"/>
        <item t="default"/>
      </items>
    </pivotField>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Ticket_id" fld="0" subtotal="count" baseField="0" baseItem="0"/>
  </dataFields>
  <chartFormats count="3">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0D8B3-82AC-4CC4-80CB-217313C9C93D}"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Week">
  <location ref="A19:B24" firstHeaderRow="1"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pivotField numFmtId="22" showAll="0"/>
    <pivotField showAll="0"/>
    <pivotField showAll="0"/>
    <pivotField showAll="0"/>
    <pivotField showAll="0"/>
    <pivotField numFmtId="164" showAll="0"/>
    <pivotField showAll="0">
      <items count="8">
        <item x="1"/>
        <item x="5"/>
        <item x="3"/>
        <item x="2"/>
        <item x="0"/>
        <item x="4"/>
        <item x="6"/>
        <item t="default"/>
      </items>
    </pivotField>
    <pivotField axis="axisRow" showAll="0">
      <items count="5">
        <item x="0"/>
        <item x="2"/>
        <item x="3"/>
        <item x="1"/>
        <item t="default"/>
      </items>
    </pivotField>
    <pivotField showAll="0"/>
  </pivotFields>
  <rowFields count="1">
    <field x="9"/>
  </rowFields>
  <rowItems count="5">
    <i>
      <x/>
    </i>
    <i>
      <x v="1"/>
    </i>
    <i>
      <x v="2"/>
    </i>
    <i>
      <x v="3"/>
    </i>
    <i t="grand">
      <x/>
    </i>
  </rowItems>
  <colItems count="1">
    <i/>
  </colItems>
  <dataFields count="1">
    <dataField name="Count of Ticket_id" fld="0" subtotal="count"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364BC-9C29-4EA2-BBFE-E2BD97103032}"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
  <location ref="A4:B12" firstHeaderRow="1"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pivotField numFmtId="22" showAll="0"/>
    <pivotField showAll="0"/>
    <pivotField showAll="0"/>
    <pivotField showAll="0"/>
    <pivotField showAll="0"/>
    <pivotField numFmtId="164" showAll="0"/>
    <pivotField axis="axisRow" showAll="0">
      <items count="8">
        <item x="1"/>
        <item x="5"/>
        <item x="3"/>
        <item x="2"/>
        <item x="0"/>
        <item x="4"/>
        <item x="6"/>
        <item t="default"/>
      </items>
    </pivotField>
    <pivotField showAll="0"/>
    <pivotField showAll="0"/>
  </pivotFields>
  <rowFields count="1">
    <field x="8"/>
  </rowFields>
  <rowItems count="8">
    <i>
      <x/>
    </i>
    <i>
      <x v="1"/>
    </i>
    <i>
      <x v="2"/>
    </i>
    <i>
      <x v="3"/>
    </i>
    <i>
      <x v="4"/>
    </i>
    <i>
      <x v="5"/>
    </i>
    <i>
      <x v="6"/>
    </i>
    <i t="grand">
      <x/>
    </i>
  </rowItems>
  <colItems count="1">
    <i/>
  </colItems>
  <dataFields count="1">
    <dataField name="Count of Ticket_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45859-2DC3-4C5C-B445-5234F9071D4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1">
    <pivotField showAll="0"/>
    <pivotField numFmtId="22" showAll="0"/>
    <pivotField numFmtId="22" showAll="0"/>
    <pivotField showAll="0"/>
    <pivotField axis="axisRow" showAll="0">
      <items count="11">
        <item x="7"/>
        <item x="6"/>
        <item x="5"/>
        <item x="3"/>
        <item x="4"/>
        <item x="9"/>
        <item x="8"/>
        <item x="2"/>
        <item x="1"/>
        <item x="0"/>
        <item t="default"/>
      </items>
    </pivotField>
    <pivotField showAll="0"/>
    <pivotField showAll="0"/>
    <pivotField dataField="1" numFmtId="164"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Average of Resolution Time" fld="7" subtotal="average" baseField="4" baseItem="4" numFmtId="164"/>
  </dataFields>
  <chartFormats count="2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7"/>
          </reference>
        </references>
      </pivotArea>
    </chartFormat>
    <chartFormat chart="2" format="10">
      <pivotArea type="data" outline="0" fieldPosition="0">
        <references count="2">
          <reference field="4294967294" count="1" selected="0">
            <x v="0"/>
          </reference>
          <reference field="4" count="1" selected="0">
            <x v="8"/>
          </reference>
        </references>
      </pivotArea>
    </chartFormat>
    <chartFormat chart="2" format="11">
      <pivotArea type="data" outline="0" fieldPosition="0">
        <references count="2">
          <reference field="4294967294" count="1" selected="0">
            <x v="0"/>
          </reference>
          <reference field="4" count="1" selected="0">
            <x v="9"/>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 chart="4" format="18">
      <pivotArea type="data" outline="0" fieldPosition="0">
        <references count="2">
          <reference field="4294967294" count="1" selected="0">
            <x v="0"/>
          </reference>
          <reference field="4" count="1" selected="0">
            <x v="5"/>
          </reference>
        </references>
      </pivotArea>
    </chartFormat>
    <chartFormat chart="4" format="19">
      <pivotArea type="data" outline="0" fieldPosition="0">
        <references count="2">
          <reference field="4294967294" count="1" selected="0">
            <x v="0"/>
          </reference>
          <reference field="4" count="1" selected="0">
            <x v="6"/>
          </reference>
        </references>
      </pivotArea>
    </chartFormat>
    <chartFormat chart="4" format="20">
      <pivotArea type="data" outline="0" fieldPosition="0">
        <references count="2">
          <reference field="4294967294" count="1" selected="0">
            <x v="0"/>
          </reference>
          <reference field="4" count="1" selected="0">
            <x v="7"/>
          </reference>
        </references>
      </pivotArea>
    </chartFormat>
    <chartFormat chart="4" format="21">
      <pivotArea type="data" outline="0" fieldPosition="0">
        <references count="2">
          <reference field="4294967294" count="1" selected="0">
            <x v="0"/>
          </reference>
          <reference field="4" count="1" selected="0">
            <x v="8"/>
          </reference>
        </references>
      </pivotArea>
    </chartFormat>
    <chartFormat chart="4"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6D46A-15ED-4767-830B-561D1E850CF4}"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31" firstHeaderRow="1" firstDataRow="1" firstDataCol="1"/>
  <pivotFields count="11">
    <pivotField showAll="0"/>
    <pivotField numFmtId="22" showAll="0"/>
    <pivotField numFmtId="22" showAll="0"/>
    <pivotField axis="axisRow" showAll="0">
      <items count="8">
        <item x="3"/>
        <item x="6"/>
        <item x="2"/>
        <item x="4"/>
        <item x="0"/>
        <item x="5"/>
        <item x="1"/>
        <item t="default"/>
      </items>
    </pivotField>
    <pivotField showAll="0"/>
    <pivotField showAll="0"/>
    <pivotField axis="axisRow" showAll="0">
      <items count="5">
        <item x="3"/>
        <item x="0"/>
        <item x="2"/>
        <item x="1"/>
        <item t="default"/>
      </items>
    </pivotField>
    <pivotField dataField="1" numFmtId="164" showAll="0"/>
    <pivotField showAll="0"/>
    <pivotField showAll="0"/>
    <pivotField showAll="0"/>
  </pivotFields>
  <rowFields count="2">
    <field x="6"/>
    <field x="3"/>
  </rowFields>
  <rowItems count="28">
    <i>
      <x/>
    </i>
    <i r="1">
      <x v="1"/>
    </i>
    <i r="1">
      <x v="2"/>
    </i>
    <i r="1">
      <x v="6"/>
    </i>
    <i>
      <x v="1"/>
    </i>
    <i r="1">
      <x/>
    </i>
    <i r="1">
      <x v="1"/>
    </i>
    <i r="1">
      <x v="2"/>
    </i>
    <i r="1">
      <x v="3"/>
    </i>
    <i r="1">
      <x v="4"/>
    </i>
    <i r="1">
      <x v="5"/>
    </i>
    <i r="1">
      <x v="6"/>
    </i>
    <i>
      <x v="2"/>
    </i>
    <i r="1">
      <x/>
    </i>
    <i r="1">
      <x v="1"/>
    </i>
    <i r="1">
      <x v="2"/>
    </i>
    <i r="1">
      <x v="3"/>
    </i>
    <i r="1">
      <x v="4"/>
    </i>
    <i r="1">
      <x v="5"/>
    </i>
    <i r="1">
      <x v="6"/>
    </i>
    <i>
      <x v="3"/>
    </i>
    <i r="1">
      <x/>
    </i>
    <i r="1">
      <x v="1"/>
    </i>
    <i r="1">
      <x v="2"/>
    </i>
    <i r="1">
      <x v="3"/>
    </i>
    <i r="1">
      <x v="4"/>
    </i>
    <i r="1">
      <x v="6"/>
    </i>
    <i t="grand">
      <x/>
    </i>
  </rowItems>
  <colItems count="1">
    <i/>
  </colItems>
  <dataFields count="1">
    <dataField name="Average of Resolution Time" fld="7" subtotal="average" baseField="6" baseItem="0" numFmtId="164"/>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26FCFE5-4068-47C6-8B81-82E7379D5255}" sourceName="Priority">
  <extLst>
    <x:ext xmlns:x15="http://schemas.microsoft.com/office/spreadsheetml/2010/11/main" uri="{2F2917AC-EB37-4324-AD4E-5DD8C200BD13}">
      <x15:tableSlicerCache tableId="1"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BD4DABAE-EFA9-4C09-8136-BF1910071052}" sourceName="Week">
  <extLst>
    <x:ext xmlns:x15="http://schemas.microsoft.com/office/spreadsheetml/2010/11/main" uri="{2F2917AC-EB37-4324-AD4E-5DD8C200BD13}">
      <x15:tableSlicerCache tableId="1"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D958C68-9E12-4A0D-9E99-0D7CE570DD65}" sourceName="Month">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1" xr10:uid="{C3AA57ED-0196-4AC5-95D7-30B393556393}" cache="Slicer_Priority" caption="Priority" rowHeight="234950"/>
  <slicer name="Week 1" xr10:uid="{65AD010A-C155-4E54-BAFF-BFD0DAB85F84}" cache="Slicer_Week" caption="Week" rowHeight="234950"/>
  <slicer name="Month 1" xr10:uid="{9748C53C-43A7-4E5A-B8E7-EB9F8141EAC0}"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1910AD-1FBE-4F38-94E4-D254E43BD5AE}" name="Table1" displayName="Table1" ref="A1:K151" totalsRowShown="0" headerRowDxfId="0" headerRowBorderDxfId="13" tableBorderDxfId="14" totalsRowBorderDxfId="12">
  <autoFilter ref="A1:K151" xr:uid="{FD1910AD-1FBE-4F38-94E4-D254E43BD5AE}">
    <filterColumn colId="6">
      <filters>
        <filter val="Low"/>
      </filters>
    </filterColumn>
    <filterColumn colId="8">
      <filters>
        <filter val="Tuesday"/>
      </filters>
    </filterColumn>
  </autoFilter>
  <tableColumns count="11">
    <tableColumn id="1" xr3:uid="{C812CED2-7CD7-4F24-A2C6-0536A9E9487B}" name="Ticket_id" dataDxfId="11"/>
    <tableColumn id="13" xr3:uid="{01A55221-0AFB-47D9-AFDA-35618A5F0119}" name="Submission_Date" dataDxfId="10"/>
    <tableColumn id="12" xr3:uid="{081475D1-E77E-4223-A7BC-5375E8E0E911}" name="Resolution_Date" dataDxfId="9"/>
    <tableColumn id="4" xr3:uid="{6E484FF7-F884-4F94-830A-6959CBB6E3E0}" name="Category" dataDxfId="8"/>
    <tableColumn id="5" xr3:uid="{B0C94A10-F0AD-4EBD-9CFB-0DD7675B5C7C}" name="Assigned_analyst" dataDxfId="7"/>
    <tableColumn id="6" xr3:uid="{68E0D886-C83A-4943-829C-E3C9C02135F1}" name="Description" dataDxfId="6"/>
    <tableColumn id="7" xr3:uid="{944DBF12-9484-4F34-A852-EFF1A1B1C53B}" name="Priority" dataDxfId="5"/>
    <tableColumn id="15" xr3:uid="{87691BBE-69A5-413A-B0DD-002B7E3D4D89}" name="Resolution Time" dataDxfId="4">
      <calculatedColumnFormula>([1]!Table1[[#This Row],[Resolution_Date]]-[1]!Table1[[#This Row],[Submission_Date]])*24</calculatedColumnFormula>
    </tableColumn>
    <tableColumn id="9" xr3:uid="{82275401-069B-4935-88C3-DF2B59941DC2}" name="Week" dataDxfId="3">
      <calculatedColumnFormula>TEXT(Table1[[#This Row],[Submission_Date]],"dddd")</calculatedColumnFormula>
    </tableColumn>
    <tableColumn id="10" xr3:uid="{7B5F7ADC-B727-41B4-8C72-59EFE8C39FD7}" name="Month" dataDxfId="2">
      <calculatedColumnFormula>TEXT(Table1[[#This Row],[Submission_Date]],"mmm")</calculatedColumnFormula>
    </tableColumn>
    <tableColumn id="11" xr3:uid="{D9B3EB36-3243-42B2-9B51-212CBE8A919D}" name="Hour" dataDxfId="1">
      <calculatedColumnFormula>HOUR(Table1[[#This Row],[Submission_Date]])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4B44-5B67-41F6-A8E2-732A0EA8E4A3}">
  <dimension ref="A1:K151"/>
  <sheetViews>
    <sheetView workbookViewId="0">
      <selection activeCell="A2" sqref="A2"/>
    </sheetView>
  </sheetViews>
  <sheetFormatPr defaultRowHeight="14.4" x14ac:dyDescent="0.3"/>
  <cols>
    <col min="1" max="1" width="17.109375" customWidth="1"/>
    <col min="2" max="2" width="27.88671875" customWidth="1"/>
    <col min="3" max="4" width="17.109375" customWidth="1"/>
    <col min="5" max="5" width="17.88671875" customWidth="1"/>
    <col min="6" max="6" width="21" customWidth="1"/>
    <col min="7" max="7" width="17.109375" customWidth="1"/>
    <col min="8" max="8" width="16.5546875" customWidth="1"/>
    <col min="9" max="9" width="17.109375" customWidth="1"/>
    <col min="10" max="10" width="13.5546875" customWidth="1"/>
    <col min="11" max="11" width="11.33203125" customWidth="1"/>
    <col min="12" max="12" width="10.33203125" customWidth="1"/>
  </cols>
  <sheetData>
    <row r="1" spans="1:11" x14ac:dyDescent="0.3">
      <c r="A1" s="1" t="s">
        <v>331</v>
      </c>
      <c r="B1" s="2" t="s">
        <v>325</v>
      </c>
      <c r="C1" s="2" t="s">
        <v>326</v>
      </c>
      <c r="D1" s="2" t="s">
        <v>327</v>
      </c>
      <c r="E1" s="2" t="s">
        <v>328</v>
      </c>
      <c r="F1" s="2" t="s">
        <v>329</v>
      </c>
      <c r="G1" s="2" t="s">
        <v>330</v>
      </c>
      <c r="H1" s="12" t="s">
        <v>324</v>
      </c>
      <c r="I1" s="2" t="s">
        <v>321</v>
      </c>
      <c r="J1" s="2" t="s">
        <v>322</v>
      </c>
      <c r="K1" s="3" t="s">
        <v>323</v>
      </c>
    </row>
    <row r="2" spans="1:11" hidden="1" x14ac:dyDescent="0.3">
      <c r="A2" s="4" t="s">
        <v>0</v>
      </c>
      <c r="B2" s="13">
        <v>45835.941851851851</v>
      </c>
      <c r="C2" s="13">
        <v>45836.157418981478</v>
      </c>
      <c r="D2" s="5" t="s">
        <v>1</v>
      </c>
      <c r="E2" s="5" t="s">
        <v>2</v>
      </c>
      <c r="F2" s="5" t="s">
        <v>3</v>
      </c>
      <c r="G2" s="5" t="s">
        <v>4</v>
      </c>
      <c r="H2" s="15">
        <f>([1]!Table1[[#This Row],[Resolution_Date]]-[1]!Table1[[#This Row],[Submission_Date]])*24</f>
        <v>5.1736111110658385</v>
      </c>
      <c r="I2" s="5" t="str">
        <f>TEXT(Table1[[#This Row],[Submission_Date]],"dddd")</f>
        <v>Friday</v>
      </c>
      <c r="J2" s="5" t="str">
        <f>TEXT(Table1[[#This Row],[Submission_Date]],"mmm")</f>
        <v>Jun</v>
      </c>
      <c r="K2" s="6">
        <f>HOUR(Table1[[#This Row],[Submission_Date]])</f>
        <v>22</v>
      </c>
    </row>
    <row r="3" spans="1:11" hidden="1" x14ac:dyDescent="0.3">
      <c r="A3" s="4" t="s">
        <v>5</v>
      </c>
      <c r="B3" s="13">
        <v>45901.811099537037</v>
      </c>
      <c r="C3" s="13">
        <v>45903.304236111115</v>
      </c>
      <c r="D3" s="5" t="s">
        <v>6</v>
      </c>
      <c r="E3" s="5" t="s">
        <v>7</v>
      </c>
      <c r="F3" s="5" t="s">
        <v>8</v>
      </c>
      <c r="G3" s="5" t="s">
        <v>9</v>
      </c>
      <c r="H3" s="15">
        <f>([1]!Table1[[#This Row],[Resolution_Date]]-[1]!Table1[[#This Row],[Submission_Date]])*24</f>
        <v>35.835277777863666</v>
      </c>
      <c r="I3" s="5" t="str">
        <f>TEXT(Table1[[#This Row],[Submission_Date]],"dddd")</f>
        <v>Monday</v>
      </c>
      <c r="J3" s="5" t="str">
        <f>TEXT(Table1[[#This Row],[Submission_Date]],"mmm")</f>
        <v>Sep</v>
      </c>
      <c r="K3" s="6">
        <f>HOUR(Table1[[#This Row],[Submission_Date]])</f>
        <v>19</v>
      </c>
    </row>
    <row r="4" spans="1:11" hidden="1" x14ac:dyDescent="0.3">
      <c r="A4" s="4" t="s">
        <v>10</v>
      </c>
      <c r="B4" s="13">
        <v>45904.397256944445</v>
      </c>
      <c r="C4" s="13">
        <v>45905.993483796294</v>
      </c>
      <c r="D4" s="5" t="s">
        <v>1</v>
      </c>
      <c r="E4" s="5" t="s">
        <v>11</v>
      </c>
      <c r="F4" s="5" t="s">
        <v>12</v>
      </c>
      <c r="G4" s="5" t="s">
        <v>9</v>
      </c>
      <c r="H4" s="15">
        <f>([1]!Table1[[#This Row],[Resolution_Date]]-[1]!Table1[[#This Row],[Submission_Date]])*24</f>
        <v>38.309444444370456</v>
      </c>
      <c r="I4" s="5" t="str">
        <f>TEXT(Table1[[#This Row],[Submission_Date]],"dddd")</f>
        <v>Thursday</v>
      </c>
      <c r="J4" s="5" t="str">
        <f>TEXT(Table1[[#This Row],[Submission_Date]],"mmm")</f>
        <v>Sep</v>
      </c>
      <c r="K4" s="6">
        <f>HOUR(Table1[[#This Row],[Submission_Date]])</f>
        <v>9</v>
      </c>
    </row>
    <row r="5" spans="1:11" hidden="1" x14ac:dyDescent="0.3">
      <c r="A5" s="4" t="s">
        <v>13</v>
      </c>
      <c r="B5" s="13">
        <v>45866.741365740738</v>
      </c>
      <c r="C5" s="13">
        <v>45867.06827546296</v>
      </c>
      <c r="D5" s="5" t="s">
        <v>14</v>
      </c>
      <c r="E5" s="5" t="s">
        <v>15</v>
      </c>
      <c r="F5" s="5" t="s">
        <v>16</v>
      </c>
      <c r="G5" s="5" t="s">
        <v>4</v>
      </c>
      <c r="H5" s="15">
        <f>([1]!Table1[[#This Row],[Resolution_Date]]-[1]!Table1[[#This Row],[Submission_Date]])*24</f>
        <v>7.8458333333255723</v>
      </c>
      <c r="I5" s="5" t="str">
        <f>TEXT(Table1[[#This Row],[Submission_Date]],"dddd")</f>
        <v>Monday</v>
      </c>
      <c r="J5" s="5" t="str">
        <f>TEXT(Table1[[#This Row],[Submission_Date]],"mmm")</f>
        <v>Jul</v>
      </c>
      <c r="K5" s="6">
        <f>HOUR(Table1[[#This Row],[Submission_Date]])</f>
        <v>17</v>
      </c>
    </row>
    <row r="6" spans="1:11" hidden="1" x14ac:dyDescent="0.3">
      <c r="A6" s="4" t="s">
        <v>17</v>
      </c>
      <c r="B6" s="13">
        <v>45903.907048611109</v>
      </c>
      <c r="C6" s="13">
        <v>45904.286886574075</v>
      </c>
      <c r="D6" s="5" t="s">
        <v>6</v>
      </c>
      <c r="E6" s="5" t="s">
        <v>18</v>
      </c>
      <c r="F6" s="5" t="s">
        <v>19</v>
      </c>
      <c r="G6" s="5" t="s">
        <v>4</v>
      </c>
      <c r="H6" s="15">
        <f>([1]!Table1[[#This Row],[Resolution_Date]]-[1]!Table1[[#This Row],[Submission_Date]])*24</f>
        <v>9.1161111111869104</v>
      </c>
      <c r="I6" s="5" t="str">
        <f>TEXT(Table1[[#This Row],[Submission_Date]],"dddd")</f>
        <v>Wednesday</v>
      </c>
      <c r="J6" s="5" t="str">
        <f>TEXT(Table1[[#This Row],[Submission_Date]],"mmm")</f>
        <v>Sep</v>
      </c>
      <c r="K6" s="6">
        <f>HOUR(Table1[[#This Row],[Submission_Date]])</f>
        <v>21</v>
      </c>
    </row>
    <row r="7" spans="1:11" hidden="1" x14ac:dyDescent="0.3">
      <c r="A7" s="4" t="s">
        <v>20</v>
      </c>
      <c r="B7" s="13">
        <v>45873.85601851852</v>
      </c>
      <c r="C7" s="13">
        <v>45879.411597222221</v>
      </c>
      <c r="D7" s="5" t="s">
        <v>6</v>
      </c>
      <c r="E7" s="5" t="s">
        <v>11</v>
      </c>
      <c r="F7" s="5" t="s">
        <v>21</v>
      </c>
      <c r="G7" s="5" t="s">
        <v>22</v>
      </c>
      <c r="H7" s="15">
        <f>([1]!Table1[[#This Row],[Resolution_Date]]-[1]!Table1[[#This Row],[Submission_Date]])*24</f>
        <v>133.33388888882473</v>
      </c>
      <c r="I7" s="5" t="str">
        <f>TEXT(Table1[[#This Row],[Submission_Date]],"dddd")</f>
        <v>Monday</v>
      </c>
      <c r="J7" s="5" t="str">
        <f>TEXT(Table1[[#This Row],[Submission_Date]],"mmm")</f>
        <v>Aug</v>
      </c>
      <c r="K7" s="6">
        <f>HOUR(Table1[[#This Row],[Submission_Date]])</f>
        <v>20</v>
      </c>
    </row>
    <row r="8" spans="1:11" hidden="1" x14ac:dyDescent="0.3">
      <c r="A8" s="4" t="s">
        <v>23</v>
      </c>
      <c r="B8" s="13">
        <v>45891.443240740744</v>
      </c>
      <c r="C8" s="13">
        <v>45892.591539351852</v>
      </c>
      <c r="D8" s="5" t="s">
        <v>24</v>
      </c>
      <c r="E8" s="5" t="s">
        <v>25</v>
      </c>
      <c r="F8" s="5" t="s">
        <v>26</v>
      </c>
      <c r="G8" s="5" t="s">
        <v>22</v>
      </c>
      <c r="H8" s="15">
        <f>([1]!Table1[[#This Row],[Resolution_Date]]-[1]!Table1[[#This Row],[Submission_Date]])*24</f>
        <v>27.559166666585952</v>
      </c>
      <c r="I8" s="5" t="str">
        <f>TEXT(Table1[[#This Row],[Submission_Date]],"dddd")</f>
        <v>Friday</v>
      </c>
      <c r="J8" s="5" t="str">
        <f>TEXT(Table1[[#This Row],[Submission_Date]],"mmm")</f>
        <v>Aug</v>
      </c>
      <c r="K8" s="6">
        <f>HOUR(Table1[[#This Row],[Submission_Date]])</f>
        <v>10</v>
      </c>
    </row>
    <row r="9" spans="1:11" hidden="1" x14ac:dyDescent="0.3">
      <c r="A9" s="4" t="s">
        <v>27</v>
      </c>
      <c r="B9" s="13">
        <v>45843.321851851855</v>
      </c>
      <c r="C9" s="13">
        <v>45847.8516087963</v>
      </c>
      <c r="D9" s="5" t="s">
        <v>6</v>
      </c>
      <c r="E9" s="5" t="s">
        <v>28</v>
      </c>
      <c r="F9" s="5" t="s">
        <v>29</v>
      </c>
      <c r="G9" s="5" t="s">
        <v>22</v>
      </c>
      <c r="H9" s="15">
        <f>([1]!Table1[[#This Row],[Resolution_Date]]-[1]!Table1[[#This Row],[Submission_Date]])*24</f>
        <v>108.7141666666721</v>
      </c>
      <c r="I9" s="5" t="str">
        <f>TEXT(Table1[[#This Row],[Submission_Date]],"dddd")</f>
        <v>Saturday</v>
      </c>
      <c r="J9" s="5" t="str">
        <f>TEXT(Table1[[#This Row],[Submission_Date]],"mmm")</f>
        <v>Jul</v>
      </c>
      <c r="K9" s="6">
        <f>HOUR(Table1[[#This Row],[Submission_Date]])</f>
        <v>7</v>
      </c>
    </row>
    <row r="10" spans="1:11" hidden="1" x14ac:dyDescent="0.3">
      <c r="A10" s="4" t="s">
        <v>30</v>
      </c>
      <c r="B10" s="13">
        <v>45845.695300925923</v>
      </c>
      <c r="C10" s="13">
        <v>45846.419768518521</v>
      </c>
      <c r="D10" s="5" t="s">
        <v>14</v>
      </c>
      <c r="E10" s="5" t="s">
        <v>28</v>
      </c>
      <c r="F10" s="5" t="s">
        <v>31</v>
      </c>
      <c r="G10" s="5" t="s">
        <v>9</v>
      </c>
      <c r="H10" s="15">
        <f>([1]!Table1[[#This Row],[Resolution_Date]]-[1]!Table1[[#This Row],[Submission_Date]])*24</f>
        <v>17.387222222343553</v>
      </c>
      <c r="I10" s="5" t="str">
        <f>TEXT(Table1[[#This Row],[Submission_Date]],"dddd")</f>
        <v>Monday</v>
      </c>
      <c r="J10" s="5" t="str">
        <f>TEXT(Table1[[#This Row],[Submission_Date]],"mmm")</f>
        <v>Jul</v>
      </c>
      <c r="K10" s="6">
        <f>HOUR(Table1[[#This Row],[Submission_Date]])</f>
        <v>16</v>
      </c>
    </row>
    <row r="11" spans="1:11" hidden="1" x14ac:dyDescent="0.3">
      <c r="A11" s="4" t="s">
        <v>32</v>
      </c>
      <c r="B11" s="13">
        <v>45910.617743055554</v>
      </c>
      <c r="C11" s="13">
        <v>45911.832372685189</v>
      </c>
      <c r="D11" s="5" t="s">
        <v>6</v>
      </c>
      <c r="E11" s="5" t="s">
        <v>11</v>
      </c>
      <c r="F11" s="5" t="s">
        <v>33</v>
      </c>
      <c r="G11" s="5" t="s">
        <v>9</v>
      </c>
      <c r="H11" s="15">
        <f>([1]!Table1[[#This Row],[Resolution_Date]]-[1]!Table1[[#This Row],[Submission_Date]])*24</f>
        <v>29.151111111219507</v>
      </c>
      <c r="I11" s="5" t="str">
        <f>TEXT(Table1[[#This Row],[Submission_Date]],"dddd")</f>
        <v>Wednesday</v>
      </c>
      <c r="J11" s="5" t="str">
        <f>TEXT(Table1[[#This Row],[Submission_Date]],"mmm")</f>
        <v>Sep</v>
      </c>
      <c r="K11" s="6">
        <f>HOUR(Table1[[#This Row],[Submission_Date]])</f>
        <v>14</v>
      </c>
    </row>
    <row r="12" spans="1:11" hidden="1" x14ac:dyDescent="0.3">
      <c r="A12" s="4" t="s">
        <v>34</v>
      </c>
      <c r="B12" s="13">
        <v>45896.555578703701</v>
      </c>
      <c r="C12" s="13">
        <v>45902.686469907407</v>
      </c>
      <c r="D12" s="5" t="s">
        <v>6</v>
      </c>
      <c r="E12" s="5" t="s">
        <v>35</v>
      </c>
      <c r="F12" s="5" t="s">
        <v>36</v>
      </c>
      <c r="G12" s="5" t="s">
        <v>22</v>
      </c>
      <c r="H12" s="15">
        <f>([1]!Table1[[#This Row],[Resolution_Date]]-[1]!Table1[[#This Row],[Submission_Date]])*24</f>
        <v>147.14138888893649</v>
      </c>
      <c r="I12" s="5" t="str">
        <f>TEXT(Table1[[#This Row],[Submission_Date]],"dddd")</f>
        <v>Wednesday</v>
      </c>
      <c r="J12" s="5" t="str">
        <f>TEXT(Table1[[#This Row],[Submission_Date]],"mmm")</f>
        <v>Aug</v>
      </c>
      <c r="K12" s="6">
        <f>HOUR(Table1[[#This Row],[Submission_Date]])</f>
        <v>13</v>
      </c>
    </row>
    <row r="13" spans="1:11" hidden="1" x14ac:dyDescent="0.3">
      <c r="A13" s="4" t="s">
        <v>37</v>
      </c>
      <c r="B13" s="13">
        <v>45832.080775462964</v>
      </c>
      <c r="C13" s="13">
        <v>45832.240659722222</v>
      </c>
      <c r="D13" s="5" t="s">
        <v>38</v>
      </c>
      <c r="E13" s="5" t="s">
        <v>39</v>
      </c>
      <c r="F13" s="5" t="s">
        <v>40</v>
      </c>
      <c r="G13" s="5" t="s">
        <v>4</v>
      </c>
      <c r="H13" s="15">
        <f>([1]!Table1[[#This Row],[Resolution_Date]]-[1]!Table1[[#This Row],[Submission_Date]])*24</f>
        <v>3.8372222221805714</v>
      </c>
      <c r="I13" s="5" t="str">
        <f>TEXT(Table1[[#This Row],[Submission_Date]],"dddd")</f>
        <v>Tuesday</v>
      </c>
      <c r="J13" s="5" t="str">
        <f>TEXT(Table1[[#This Row],[Submission_Date]],"mmm")</f>
        <v>Jun</v>
      </c>
      <c r="K13" s="6">
        <f>HOUR(Table1[[#This Row],[Submission_Date]])</f>
        <v>1</v>
      </c>
    </row>
    <row r="14" spans="1:11" hidden="1" x14ac:dyDescent="0.3">
      <c r="A14" s="4" t="s">
        <v>41</v>
      </c>
      <c r="B14" s="13">
        <v>45836.410960648151</v>
      </c>
      <c r="C14" s="13">
        <v>45837.124085648145</v>
      </c>
      <c r="D14" s="5" t="s">
        <v>38</v>
      </c>
      <c r="E14" s="5" t="s">
        <v>2</v>
      </c>
      <c r="F14" s="5" t="s">
        <v>42</v>
      </c>
      <c r="G14" s="5" t="s">
        <v>9</v>
      </c>
      <c r="H14" s="15">
        <f>([1]!Table1[[#This Row],[Resolution_Date]]-[1]!Table1[[#This Row],[Submission_Date]])*24</f>
        <v>17.114999999874271</v>
      </c>
      <c r="I14" s="5" t="str">
        <f>TEXT(Table1[[#This Row],[Submission_Date]],"dddd")</f>
        <v>Saturday</v>
      </c>
      <c r="J14" s="5" t="str">
        <f>TEXT(Table1[[#This Row],[Submission_Date]],"mmm")</f>
        <v>Jun</v>
      </c>
      <c r="K14" s="6">
        <f>HOUR(Table1[[#This Row],[Submission_Date]])</f>
        <v>9</v>
      </c>
    </row>
    <row r="15" spans="1:11" x14ac:dyDescent="0.3">
      <c r="A15" s="4" t="s">
        <v>43</v>
      </c>
      <c r="B15" s="13">
        <v>45860.381180555552</v>
      </c>
      <c r="C15" s="13">
        <v>45864.66300925926</v>
      </c>
      <c r="D15" s="5" t="s">
        <v>6</v>
      </c>
      <c r="E15" s="5" t="s">
        <v>28</v>
      </c>
      <c r="F15" s="5" t="s">
        <v>44</v>
      </c>
      <c r="G15" s="5" t="s">
        <v>22</v>
      </c>
      <c r="H15" s="15">
        <f>([1]!Table1[[#This Row],[Resolution_Date]]-[1]!Table1[[#This Row],[Submission_Date]])*24</f>
        <v>102.76388888899237</v>
      </c>
      <c r="I15" s="5" t="str">
        <f>TEXT(Table1[[#This Row],[Submission_Date]],"dddd")</f>
        <v>Tuesday</v>
      </c>
      <c r="J15" s="5" t="str">
        <f>TEXT(Table1[[#This Row],[Submission_Date]],"mmm")</f>
        <v>Jul</v>
      </c>
      <c r="K15" s="6">
        <f>HOUR(Table1[[#This Row],[Submission_Date]])</f>
        <v>9</v>
      </c>
    </row>
    <row r="16" spans="1:11" hidden="1" x14ac:dyDescent="0.3">
      <c r="A16" s="4" t="s">
        <v>45</v>
      </c>
      <c r="B16" s="13">
        <v>45847.939560185187</v>
      </c>
      <c r="C16" s="13">
        <v>45848.049675925926</v>
      </c>
      <c r="D16" s="5" t="s">
        <v>6</v>
      </c>
      <c r="E16" s="5" t="s">
        <v>7</v>
      </c>
      <c r="F16" s="5" t="s">
        <v>46</v>
      </c>
      <c r="G16" s="5" t="s">
        <v>4</v>
      </c>
      <c r="H16" s="15">
        <f>([1]!Table1[[#This Row],[Resolution_Date]]-[1]!Table1[[#This Row],[Submission_Date]])*24</f>
        <v>2.6427777777425945</v>
      </c>
      <c r="I16" s="5" t="str">
        <f>TEXT(Table1[[#This Row],[Submission_Date]],"dddd")</f>
        <v>Wednesday</v>
      </c>
      <c r="J16" s="5" t="str">
        <f>TEXT(Table1[[#This Row],[Submission_Date]],"mmm")</f>
        <v>Jul</v>
      </c>
      <c r="K16" s="6">
        <f>HOUR(Table1[[#This Row],[Submission_Date]])</f>
        <v>22</v>
      </c>
    </row>
    <row r="17" spans="1:11" hidden="1" x14ac:dyDescent="0.3">
      <c r="A17" s="4" t="s">
        <v>47</v>
      </c>
      <c r="B17" s="13">
        <v>45861.940405092595</v>
      </c>
      <c r="C17" s="13">
        <v>45862.055567129632</v>
      </c>
      <c r="D17" s="5" t="s">
        <v>6</v>
      </c>
      <c r="E17" s="5" t="s">
        <v>48</v>
      </c>
      <c r="F17" s="5" t="s">
        <v>49</v>
      </c>
      <c r="G17" s="5" t="s">
        <v>4</v>
      </c>
      <c r="H17" s="15">
        <f>([1]!Table1[[#This Row],[Resolution_Date]]-[1]!Table1[[#This Row],[Submission_Date]])*24</f>
        <v>2.7638888888759539</v>
      </c>
      <c r="I17" s="5" t="str">
        <f>TEXT(Table1[[#This Row],[Submission_Date]],"dddd")</f>
        <v>Wednesday</v>
      </c>
      <c r="J17" s="5" t="str">
        <f>TEXT(Table1[[#This Row],[Submission_Date]],"mmm")</f>
        <v>Jul</v>
      </c>
      <c r="K17" s="6">
        <f>HOUR(Table1[[#This Row],[Submission_Date]])</f>
        <v>22</v>
      </c>
    </row>
    <row r="18" spans="1:11" hidden="1" x14ac:dyDescent="0.3">
      <c r="A18" s="4" t="s">
        <v>50</v>
      </c>
      <c r="B18" s="13">
        <v>45875.494502314818</v>
      </c>
      <c r="C18" s="13">
        <v>45880.346446759257</v>
      </c>
      <c r="D18" s="5" t="s">
        <v>6</v>
      </c>
      <c r="E18" s="5" t="s">
        <v>28</v>
      </c>
      <c r="F18" s="5" t="s">
        <v>51</v>
      </c>
      <c r="G18" s="5" t="s">
        <v>22</v>
      </c>
      <c r="H18" s="15">
        <f>([1]!Table1[[#This Row],[Resolution_Date]]-[1]!Table1[[#This Row],[Submission_Date]])*24</f>
        <v>116.44666666653939</v>
      </c>
      <c r="I18" s="5" t="str">
        <f>TEXT(Table1[[#This Row],[Submission_Date]],"dddd")</f>
        <v>Wednesday</v>
      </c>
      <c r="J18" s="5" t="str">
        <f>TEXT(Table1[[#This Row],[Submission_Date]],"mmm")</f>
        <v>Aug</v>
      </c>
      <c r="K18" s="6">
        <f>HOUR(Table1[[#This Row],[Submission_Date]])</f>
        <v>11</v>
      </c>
    </row>
    <row r="19" spans="1:11" hidden="1" x14ac:dyDescent="0.3">
      <c r="A19" s="4" t="s">
        <v>52</v>
      </c>
      <c r="B19" s="13">
        <v>45838.69599537037</v>
      </c>
      <c r="C19" s="13">
        <v>45840.859247685185</v>
      </c>
      <c r="D19" s="5" t="s">
        <v>53</v>
      </c>
      <c r="E19" s="5" t="s">
        <v>2</v>
      </c>
      <c r="F19" s="5" t="s">
        <v>54</v>
      </c>
      <c r="G19" s="5" t="s">
        <v>22</v>
      </c>
      <c r="H19" s="15">
        <f>([1]!Table1[[#This Row],[Resolution_Date]]-[1]!Table1[[#This Row],[Submission_Date]])*24</f>
        <v>51.918055555550382</v>
      </c>
      <c r="I19" s="5" t="str">
        <f>TEXT(Table1[[#This Row],[Submission_Date]],"dddd")</f>
        <v>Monday</v>
      </c>
      <c r="J19" s="5" t="str">
        <f>TEXT(Table1[[#This Row],[Submission_Date]],"mmm")</f>
        <v>Jun</v>
      </c>
      <c r="K19" s="6">
        <f>HOUR(Table1[[#This Row],[Submission_Date]])</f>
        <v>16</v>
      </c>
    </row>
    <row r="20" spans="1:11" hidden="1" x14ac:dyDescent="0.3">
      <c r="A20" s="4" t="s">
        <v>55</v>
      </c>
      <c r="B20" s="13">
        <v>45838.960462962961</v>
      </c>
      <c r="C20" s="13">
        <v>45842.491956018515</v>
      </c>
      <c r="D20" s="5" t="s">
        <v>38</v>
      </c>
      <c r="E20" s="5" t="s">
        <v>15</v>
      </c>
      <c r="F20" s="5" t="s">
        <v>56</v>
      </c>
      <c r="G20" s="5" t="s">
        <v>22</v>
      </c>
      <c r="H20" s="15">
        <f>([1]!Table1[[#This Row],[Resolution_Date]]-[1]!Table1[[#This Row],[Submission_Date]])*24</f>
        <v>84.755833333299961</v>
      </c>
      <c r="I20" s="5" t="str">
        <f>TEXT(Table1[[#This Row],[Submission_Date]],"dddd")</f>
        <v>Monday</v>
      </c>
      <c r="J20" s="5" t="str">
        <f>TEXT(Table1[[#This Row],[Submission_Date]],"mmm")</f>
        <v>Jun</v>
      </c>
      <c r="K20" s="6">
        <f>HOUR(Table1[[#This Row],[Submission_Date]])</f>
        <v>23</v>
      </c>
    </row>
    <row r="21" spans="1:11" hidden="1" x14ac:dyDescent="0.3">
      <c r="A21" s="4" t="s">
        <v>57</v>
      </c>
      <c r="B21" s="13">
        <v>45841.310590277775</v>
      </c>
      <c r="C21" s="13">
        <v>45842.999062499999</v>
      </c>
      <c r="D21" s="5" t="s">
        <v>14</v>
      </c>
      <c r="E21" s="5" t="s">
        <v>15</v>
      </c>
      <c r="F21" s="5" t="s">
        <v>58</v>
      </c>
      <c r="G21" s="5" t="s">
        <v>9</v>
      </c>
      <c r="H21" s="15">
        <f>([1]!Table1[[#This Row],[Resolution_Date]]-[1]!Table1[[#This Row],[Submission_Date]])*24</f>
        <v>40.523333333374467</v>
      </c>
      <c r="I21" s="5" t="str">
        <f>TEXT(Table1[[#This Row],[Submission_Date]],"dddd")</f>
        <v>Thursday</v>
      </c>
      <c r="J21" s="5" t="str">
        <f>TEXT(Table1[[#This Row],[Submission_Date]],"mmm")</f>
        <v>Jul</v>
      </c>
      <c r="K21" s="6">
        <f>HOUR(Table1[[#This Row],[Submission_Date]])</f>
        <v>7</v>
      </c>
    </row>
    <row r="22" spans="1:11" hidden="1" x14ac:dyDescent="0.3">
      <c r="A22" s="4" t="s">
        <v>59</v>
      </c>
      <c r="B22" s="13">
        <v>45831.95113425926</v>
      </c>
      <c r="C22" s="13">
        <v>45833.462962962964</v>
      </c>
      <c r="D22" s="5" t="s">
        <v>6</v>
      </c>
      <c r="E22" s="5" t="s">
        <v>7</v>
      </c>
      <c r="F22" s="5" t="s">
        <v>60</v>
      </c>
      <c r="G22" s="5" t="s">
        <v>9</v>
      </c>
      <c r="H22" s="15">
        <f>([1]!Table1[[#This Row],[Resolution_Date]]-[1]!Table1[[#This Row],[Submission_Date]])*24</f>
        <v>36.28388888889458</v>
      </c>
      <c r="I22" s="5" t="str">
        <f>TEXT(Table1[[#This Row],[Submission_Date]],"dddd")</f>
        <v>Monday</v>
      </c>
      <c r="J22" s="5" t="str">
        <f>TEXT(Table1[[#This Row],[Submission_Date]],"mmm")</f>
        <v>Jun</v>
      </c>
      <c r="K22" s="6">
        <f>HOUR(Table1[[#This Row],[Submission_Date]])</f>
        <v>22</v>
      </c>
    </row>
    <row r="23" spans="1:11" hidden="1" x14ac:dyDescent="0.3">
      <c r="A23" s="4" t="s">
        <v>61</v>
      </c>
      <c r="B23" s="13">
        <v>45846.482604166667</v>
      </c>
      <c r="C23" s="13">
        <v>45848.392500000002</v>
      </c>
      <c r="D23" s="5" t="s">
        <v>6</v>
      </c>
      <c r="E23" s="5" t="s">
        <v>2</v>
      </c>
      <c r="F23" s="5" t="s">
        <v>62</v>
      </c>
      <c r="G23" s="5" t="s">
        <v>9</v>
      </c>
      <c r="H23" s="15">
        <f>([1]!Table1[[#This Row],[Resolution_Date]]-[1]!Table1[[#This Row],[Submission_Date]])*24</f>
        <v>45.837500000023283</v>
      </c>
      <c r="I23" s="5" t="str">
        <f>TEXT(Table1[[#This Row],[Submission_Date]],"dddd")</f>
        <v>Tuesday</v>
      </c>
      <c r="J23" s="5" t="str">
        <f>TEXT(Table1[[#This Row],[Submission_Date]],"mmm")</f>
        <v>Jul</v>
      </c>
      <c r="K23" s="6">
        <f>HOUR(Table1[[#This Row],[Submission_Date]])</f>
        <v>11</v>
      </c>
    </row>
    <row r="24" spans="1:11" hidden="1" x14ac:dyDescent="0.3">
      <c r="A24" s="4" t="s">
        <v>63</v>
      </c>
      <c r="B24" s="13">
        <v>45830.979004629633</v>
      </c>
      <c r="C24" s="13">
        <v>45831.690439814818</v>
      </c>
      <c r="D24" s="5" t="s">
        <v>6</v>
      </c>
      <c r="E24" s="5" t="s">
        <v>35</v>
      </c>
      <c r="F24" s="5" t="s">
        <v>64</v>
      </c>
      <c r="G24" s="5" t="s">
        <v>9</v>
      </c>
      <c r="H24" s="15">
        <f>([1]!Table1[[#This Row],[Resolution_Date]]-[1]!Table1[[#This Row],[Submission_Date]])*24</f>
        <v>17.074444444442634</v>
      </c>
      <c r="I24" s="5" t="str">
        <f>TEXT(Table1[[#This Row],[Submission_Date]],"dddd")</f>
        <v>Sunday</v>
      </c>
      <c r="J24" s="5" t="str">
        <f>TEXT(Table1[[#This Row],[Submission_Date]],"mmm")</f>
        <v>Jun</v>
      </c>
      <c r="K24" s="6">
        <f>HOUR(Table1[[#This Row],[Submission_Date]])</f>
        <v>23</v>
      </c>
    </row>
    <row r="25" spans="1:11" hidden="1" x14ac:dyDescent="0.3">
      <c r="A25" s="4" t="s">
        <v>65</v>
      </c>
      <c r="B25" s="13">
        <v>45898.519363425927</v>
      </c>
      <c r="C25" s="13">
        <v>45900.183159722219</v>
      </c>
      <c r="D25" s="5" t="s">
        <v>6</v>
      </c>
      <c r="E25" s="5" t="s">
        <v>18</v>
      </c>
      <c r="F25" s="5" t="s">
        <v>66</v>
      </c>
      <c r="G25" s="5" t="s">
        <v>9</v>
      </c>
      <c r="H25" s="15">
        <f>([1]!Table1[[#This Row],[Resolution_Date]]-[1]!Table1[[#This Row],[Submission_Date]])*24</f>
        <v>39.931111111014616</v>
      </c>
      <c r="I25" s="5" t="str">
        <f>TEXT(Table1[[#This Row],[Submission_Date]],"dddd")</f>
        <v>Friday</v>
      </c>
      <c r="J25" s="5" t="str">
        <f>TEXT(Table1[[#This Row],[Submission_Date]],"mmm")</f>
        <v>Aug</v>
      </c>
      <c r="K25" s="6">
        <f>HOUR(Table1[[#This Row],[Submission_Date]])</f>
        <v>12</v>
      </c>
    </row>
    <row r="26" spans="1:11" hidden="1" x14ac:dyDescent="0.3">
      <c r="A26" s="4" t="s">
        <v>67</v>
      </c>
      <c r="B26" s="13">
        <v>45850.151122685187</v>
      </c>
      <c r="C26" s="13">
        <v>45854.40457175926</v>
      </c>
      <c r="D26" s="5" t="s">
        <v>38</v>
      </c>
      <c r="E26" s="5" t="s">
        <v>15</v>
      </c>
      <c r="F26" s="5" t="s">
        <v>68</v>
      </c>
      <c r="G26" s="5" t="s">
        <v>22</v>
      </c>
      <c r="H26" s="15">
        <f>([1]!Table1[[#This Row],[Resolution_Date]]-[1]!Table1[[#This Row],[Submission_Date]])*24</f>
        <v>102.08277777774492</v>
      </c>
      <c r="I26" s="5" t="str">
        <f>TEXT(Table1[[#This Row],[Submission_Date]],"dddd")</f>
        <v>Saturday</v>
      </c>
      <c r="J26" s="5" t="str">
        <f>TEXT(Table1[[#This Row],[Submission_Date]],"mmm")</f>
        <v>Jul</v>
      </c>
      <c r="K26" s="6">
        <f>HOUR(Table1[[#This Row],[Submission_Date]])</f>
        <v>3</v>
      </c>
    </row>
    <row r="27" spans="1:11" hidden="1" x14ac:dyDescent="0.3">
      <c r="A27" s="4" t="s">
        <v>69</v>
      </c>
      <c r="B27" s="13">
        <v>45851.238078703704</v>
      </c>
      <c r="C27" s="13">
        <v>45852.816655092596</v>
      </c>
      <c r="D27" s="5" t="s">
        <v>6</v>
      </c>
      <c r="E27" s="5" t="s">
        <v>7</v>
      </c>
      <c r="F27" s="5" t="s">
        <v>70</v>
      </c>
      <c r="G27" s="5" t="s">
        <v>9</v>
      </c>
      <c r="H27" s="15">
        <f>([1]!Table1[[#This Row],[Resolution_Date]]-[1]!Table1[[#This Row],[Submission_Date]])*24</f>
        <v>37.885833333421033</v>
      </c>
      <c r="I27" s="5" t="str">
        <f>TEXT(Table1[[#This Row],[Submission_Date]],"dddd")</f>
        <v>Sunday</v>
      </c>
      <c r="J27" s="5" t="str">
        <f>TEXT(Table1[[#This Row],[Submission_Date]],"mmm")</f>
        <v>Jul</v>
      </c>
      <c r="K27" s="6">
        <f>HOUR(Table1[[#This Row],[Submission_Date]])</f>
        <v>5</v>
      </c>
    </row>
    <row r="28" spans="1:11" hidden="1" x14ac:dyDescent="0.3">
      <c r="A28" s="4" t="s">
        <v>71</v>
      </c>
      <c r="B28" s="13">
        <v>45832.018645833334</v>
      </c>
      <c r="C28" s="13">
        <v>45832.510324074072</v>
      </c>
      <c r="D28" s="5" t="s">
        <v>38</v>
      </c>
      <c r="E28" s="5" t="s">
        <v>18</v>
      </c>
      <c r="F28" s="5" t="s">
        <v>72</v>
      </c>
      <c r="G28" s="5" t="s">
        <v>4</v>
      </c>
      <c r="H28" s="15">
        <f>([1]!Table1[[#This Row],[Resolution_Date]]-[1]!Table1[[#This Row],[Submission_Date]])*24</f>
        <v>11.800277777714655</v>
      </c>
      <c r="I28" s="5" t="str">
        <f>TEXT(Table1[[#This Row],[Submission_Date]],"dddd")</f>
        <v>Tuesday</v>
      </c>
      <c r="J28" s="5" t="str">
        <f>TEXT(Table1[[#This Row],[Submission_Date]],"mmm")</f>
        <v>Jun</v>
      </c>
      <c r="K28" s="6">
        <f>HOUR(Table1[[#This Row],[Submission_Date]])</f>
        <v>0</v>
      </c>
    </row>
    <row r="29" spans="1:11" hidden="1" x14ac:dyDescent="0.3">
      <c r="A29" s="4" t="s">
        <v>73</v>
      </c>
      <c r="B29" s="13">
        <v>45841.811863425923</v>
      </c>
      <c r="C29" s="13">
        <v>45843.718912037039</v>
      </c>
      <c r="D29" s="5" t="s">
        <v>74</v>
      </c>
      <c r="E29" s="5" t="s">
        <v>7</v>
      </c>
      <c r="F29" s="5" t="s">
        <v>75</v>
      </c>
      <c r="G29" s="5" t="s">
        <v>9</v>
      </c>
      <c r="H29" s="15">
        <f>([1]!Table1[[#This Row],[Resolution_Date]]-[1]!Table1[[#This Row],[Submission_Date]])*24</f>
        <v>45.76916666678153</v>
      </c>
      <c r="I29" s="5" t="str">
        <f>TEXT(Table1[[#This Row],[Submission_Date]],"dddd")</f>
        <v>Thursday</v>
      </c>
      <c r="J29" s="5" t="str">
        <f>TEXT(Table1[[#This Row],[Submission_Date]],"mmm")</f>
        <v>Jul</v>
      </c>
      <c r="K29" s="6">
        <f>HOUR(Table1[[#This Row],[Submission_Date]])</f>
        <v>19</v>
      </c>
    </row>
    <row r="30" spans="1:11" hidden="1" x14ac:dyDescent="0.3">
      <c r="A30" s="4" t="s">
        <v>76</v>
      </c>
      <c r="B30" s="13">
        <v>45915.543715277781</v>
      </c>
      <c r="C30" s="13">
        <v>45917.331458333334</v>
      </c>
      <c r="D30" s="5" t="s">
        <v>1</v>
      </c>
      <c r="E30" s="5" t="s">
        <v>2</v>
      </c>
      <c r="F30" s="5" t="s">
        <v>77</v>
      </c>
      <c r="G30" s="5" t="s">
        <v>22</v>
      </c>
      <c r="H30" s="15">
        <f>([1]!Table1[[#This Row],[Resolution_Date]]-[1]!Table1[[#This Row],[Submission_Date]])*24</f>
        <v>42.905833333265036</v>
      </c>
      <c r="I30" s="5" t="str">
        <f>TEXT(Table1[[#This Row],[Submission_Date]],"dddd")</f>
        <v>Monday</v>
      </c>
      <c r="J30" s="5" t="str">
        <f>TEXT(Table1[[#This Row],[Submission_Date]],"mmm")</f>
        <v>Sep</v>
      </c>
      <c r="K30" s="6">
        <f>HOUR(Table1[[#This Row],[Submission_Date]])</f>
        <v>13</v>
      </c>
    </row>
    <row r="31" spans="1:11" hidden="1" x14ac:dyDescent="0.3">
      <c r="A31" s="4" t="s">
        <v>78</v>
      </c>
      <c r="B31" s="13">
        <v>45896.914733796293</v>
      </c>
      <c r="C31" s="13">
        <v>45898.277048611111</v>
      </c>
      <c r="D31" s="5" t="s">
        <v>6</v>
      </c>
      <c r="E31" s="5" t="s">
        <v>11</v>
      </c>
      <c r="F31" s="5" t="s">
        <v>79</v>
      </c>
      <c r="G31" s="5" t="s">
        <v>9</v>
      </c>
      <c r="H31" s="15">
        <f>([1]!Table1[[#This Row],[Resolution_Date]]-[1]!Table1[[#This Row],[Submission_Date]])*24</f>
        <v>32.695555555634201</v>
      </c>
      <c r="I31" s="5" t="str">
        <f>TEXT(Table1[[#This Row],[Submission_Date]],"dddd")</f>
        <v>Wednesday</v>
      </c>
      <c r="J31" s="5" t="str">
        <f>TEXT(Table1[[#This Row],[Submission_Date]],"mmm")</f>
        <v>Aug</v>
      </c>
      <c r="K31" s="6">
        <f>HOUR(Table1[[#This Row],[Submission_Date]])</f>
        <v>21</v>
      </c>
    </row>
    <row r="32" spans="1:11" hidden="1" x14ac:dyDescent="0.3">
      <c r="A32" s="4" t="s">
        <v>80</v>
      </c>
      <c r="B32" s="13">
        <v>45899.845185185186</v>
      </c>
      <c r="C32" s="13">
        <v>45906.109849537039</v>
      </c>
      <c r="D32" s="5" t="s">
        <v>38</v>
      </c>
      <c r="E32" s="5" t="s">
        <v>11</v>
      </c>
      <c r="F32" s="5" t="s">
        <v>81</v>
      </c>
      <c r="G32" s="5" t="s">
        <v>22</v>
      </c>
      <c r="H32" s="15">
        <f>([1]!Table1[[#This Row],[Resolution_Date]]-[1]!Table1[[#This Row],[Submission_Date]])*24</f>
        <v>150.35194444446824</v>
      </c>
      <c r="I32" s="5" t="str">
        <f>TEXT(Table1[[#This Row],[Submission_Date]],"dddd")</f>
        <v>Saturday</v>
      </c>
      <c r="J32" s="5" t="str">
        <f>TEXT(Table1[[#This Row],[Submission_Date]],"mmm")</f>
        <v>Aug</v>
      </c>
      <c r="K32" s="6">
        <f>HOUR(Table1[[#This Row],[Submission_Date]])</f>
        <v>20</v>
      </c>
    </row>
    <row r="33" spans="1:11" hidden="1" x14ac:dyDescent="0.3">
      <c r="A33" s="4" t="s">
        <v>82</v>
      </c>
      <c r="B33" s="13">
        <v>45893.999282407407</v>
      </c>
      <c r="C33" s="13">
        <v>45894.316192129627</v>
      </c>
      <c r="D33" s="5" t="s">
        <v>6</v>
      </c>
      <c r="E33" s="5" t="s">
        <v>7</v>
      </c>
      <c r="F33" s="5" t="s">
        <v>83</v>
      </c>
      <c r="G33" s="5" t="s">
        <v>4</v>
      </c>
      <c r="H33" s="15">
        <f>([1]!Table1[[#This Row],[Resolution_Date]]-[1]!Table1[[#This Row],[Submission_Date]])*24</f>
        <v>7.6058333332766779</v>
      </c>
      <c r="I33" s="5" t="str">
        <f>TEXT(Table1[[#This Row],[Submission_Date]],"dddd")</f>
        <v>Sunday</v>
      </c>
      <c r="J33" s="5" t="str">
        <f>TEXT(Table1[[#This Row],[Submission_Date]],"mmm")</f>
        <v>Aug</v>
      </c>
      <c r="K33" s="6">
        <f>HOUR(Table1[[#This Row],[Submission_Date]])</f>
        <v>23</v>
      </c>
    </row>
    <row r="34" spans="1:11" hidden="1" x14ac:dyDescent="0.3">
      <c r="A34" s="4" t="s">
        <v>84</v>
      </c>
      <c r="B34" s="13">
        <v>45849.757395833331</v>
      </c>
      <c r="C34" s="13">
        <v>45855.278217592589</v>
      </c>
      <c r="D34" s="5" t="s">
        <v>38</v>
      </c>
      <c r="E34" s="5" t="s">
        <v>28</v>
      </c>
      <c r="F34" s="5" t="s">
        <v>85</v>
      </c>
      <c r="G34" s="5" t="s">
        <v>22</v>
      </c>
      <c r="H34" s="15">
        <f>([1]!Table1[[#This Row],[Resolution_Date]]-[1]!Table1[[#This Row],[Submission_Date]])*24</f>
        <v>132.4997222222155</v>
      </c>
      <c r="I34" s="5" t="str">
        <f>TEXT(Table1[[#This Row],[Submission_Date]],"dddd")</f>
        <v>Friday</v>
      </c>
      <c r="J34" s="5" t="str">
        <f>TEXT(Table1[[#This Row],[Submission_Date]],"mmm")</f>
        <v>Jul</v>
      </c>
      <c r="K34" s="6">
        <f>HOUR(Table1[[#This Row],[Submission_Date]])</f>
        <v>18</v>
      </c>
    </row>
    <row r="35" spans="1:11" hidden="1" x14ac:dyDescent="0.3">
      <c r="A35" s="4" t="s">
        <v>86</v>
      </c>
      <c r="B35" s="13">
        <v>45904.814618055556</v>
      </c>
      <c r="C35" s="13">
        <v>45910.228321759256</v>
      </c>
      <c r="D35" s="5" t="s">
        <v>74</v>
      </c>
      <c r="E35" s="5" t="s">
        <v>25</v>
      </c>
      <c r="F35" s="5" t="s">
        <v>87</v>
      </c>
      <c r="G35" s="5" t="s">
        <v>22</v>
      </c>
      <c r="H35" s="15">
        <f>([1]!Table1[[#This Row],[Resolution_Date]]-[1]!Table1[[#This Row],[Submission_Date]])*24</f>
        <v>129.92888888879679</v>
      </c>
      <c r="I35" s="5" t="str">
        <f>TEXT(Table1[[#This Row],[Submission_Date]],"dddd")</f>
        <v>Thursday</v>
      </c>
      <c r="J35" s="5" t="str">
        <f>TEXT(Table1[[#This Row],[Submission_Date]],"mmm")</f>
        <v>Sep</v>
      </c>
      <c r="K35" s="6">
        <f>HOUR(Table1[[#This Row],[Submission_Date]])</f>
        <v>19</v>
      </c>
    </row>
    <row r="36" spans="1:11" hidden="1" x14ac:dyDescent="0.3">
      <c r="A36" s="4" t="s">
        <v>88</v>
      </c>
      <c r="B36" s="13">
        <v>45893.712592592594</v>
      </c>
      <c r="C36" s="13">
        <v>45899.821770833332</v>
      </c>
      <c r="D36" s="5" t="s">
        <v>6</v>
      </c>
      <c r="E36" s="5" t="s">
        <v>18</v>
      </c>
      <c r="F36" s="5" t="s">
        <v>89</v>
      </c>
      <c r="G36" s="5" t="s">
        <v>22</v>
      </c>
      <c r="H36" s="15">
        <f>([1]!Table1[[#This Row],[Resolution_Date]]-[1]!Table1[[#This Row],[Submission_Date]])*24</f>
        <v>146.62027777772164</v>
      </c>
      <c r="I36" s="5" t="str">
        <f>TEXT(Table1[[#This Row],[Submission_Date]],"dddd")</f>
        <v>Sunday</v>
      </c>
      <c r="J36" s="5" t="str">
        <f>TEXT(Table1[[#This Row],[Submission_Date]],"mmm")</f>
        <v>Aug</v>
      </c>
      <c r="K36" s="6">
        <f>HOUR(Table1[[#This Row],[Submission_Date]])</f>
        <v>17</v>
      </c>
    </row>
    <row r="37" spans="1:11" hidden="1" x14ac:dyDescent="0.3">
      <c r="A37" s="4" t="s">
        <v>90</v>
      </c>
      <c r="B37" s="13">
        <v>45838.741701388892</v>
      </c>
      <c r="C37" s="13">
        <v>45839.817210648151</v>
      </c>
      <c r="D37" s="5" t="s">
        <v>14</v>
      </c>
      <c r="E37" s="5" t="s">
        <v>7</v>
      </c>
      <c r="F37" s="5" t="s">
        <v>91</v>
      </c>
      <c r="G37" s="5" t="s">
        <v>22</v>
      </c>
      <c r="H37" s="15">
        <f>([1]!Table1[[#This Row],[Resolution_Date]]-[1]!Table1[[#This Row],[Submission_Date]])*24</f>
        <v>25.812222222215496</v>
      </c>
      <c r="I37" s="5" t="str">
        <f>TEXT(Table1[[#This Row],[Submission_Date]],"dddd")</f>
        <v>Monday</v>
      </c>
      <c r="J37" s="5" t="str">
        <f>TEXT(Table1[[#This Row],[Submission_Date]],"mmm")</f>
        <v>Jun</v>
      </c>
      <c r="K37" s="6">
        <f>HOUR(Table1[[#This Row],[Submission_Date]])</f>
        <v>17</v>
      </c>
    </row>
    <row r="38" spans="1:11" x14ac:dyDescent="0.3">
      <c r="A38" s="4" t="s">
        <v>92</v>
      </c>
      <c r="B38" s="13">
        <v>45909.365578703706</v>
      </c>
      <c r="C38" s="13">
        <v>45913.263067129628</v>
      </c>
      <c r="D38" s="5" t="s">
        <v>6</v>
      </c>
      <c r="E38" s="5" t="s">
        <v>39</v>
      </c>
      <c r="F38" s="5" t="s">
        <v>93</v>
      </c>
      <c r="G38" s="5" t="s">
        <v>22</v>
      </c>
      <c r="H38" s="15">
        <f>([1]!Table1[[#This Row],[Resolution_Date]]-[1]!Table1[[#This Row],[Submission_Date]])*24</f>
        <v>93.539722222136334</v>
      </c>
      <c r="I38" s="5" t="str">
        <f>TEXT(Table1[[#This Row],[Submission_Date]],"dddd")</f>
        <v>Tuesday</v>
      </c>
      <c r="J38" s="5" t="str">
        <f>TEXT(Table1[[#This Row],[Submission_Date]],"mmm")</f>
        <v>Sep</v>
      </c>
      <c r="K38" s="6">
        <f>HOUR(Table1[[#This Row],[Submission_Date]])</f>
        <v>8</v>
      </c>
    </row>
    <row r="39" spans="1:11" hidden="1" x14ac:dyDescent="0.3">
      <c r="A39" s="4" t="s">
        <v>94</v>
      </c>
      <c r="B39" s="13">
        <v>45880.455972222226</v>
      </c>
      <c r="C39" s="13">
        <v>45886.671747685185</v>
      </c>
      <c r="D39" s="5" t="s">
        <v>1</v>
      </c>
      <c r="E39" s="5" t="s">
        <v>35</v>
      </c>
      <c r="F39" s="5" t="s">
        <v>95</v>
      </c>
      <c r="G39" s="5" t="s">
        <v>22</v>
      </c>
      <c r="H39" s="15">
        <f>([1]!Table1[[#This Row],[Resolution_Date]]-[1]!Table1[[#This Row],[Submission_Date]])*24</f>
        <v>149.17861111101229</v>
      </c>
      <c r="I39" s="5" t="str">
        <f>TEXT(Table1[[#This Row],[Submission_Date]],"dddd")</f>
        <v>Monday</v>
      </c>
      <c r="J39" s="5" t="str">
        <f>TEXT(Table1[[#This Row],[Submission_Date]],"mmm")</f>
        <v>Aug</v>
      </c>
      <c r="K39" s="6">
        <f>HOUR(Table1[[#This Row],[Submission_Date]])</f>
        <v>10</v>
      </c>
    </row>
    <row r="40" spans="1:11" hidden="1" x14ac:dyDescent="0.3">
      <c r="A40" s="4" t="s">
        <v>96</v>
      </c>
      <c r="B40" s="13">
        <v>45901.680694444447</v>
      </c>
      <c r="C40" s="13">
        <v>45902.113240740742</v>
      </c>
      <c r="D40" s="5" t="s">
        <v>6</v>
      </c>
      <c r="E40" s="5" t="s">
        <v>25</v>
      </c>
      <c r="F40" s="5" t="s">
        <v>97</v>
      </c>
      <c r="G40" s="5" t="s">
        <v>9</v>
      </c>
      <c r="H40" s="15">
        <f>([1]!Table1[[#This Row],[Resolution_Date]]-[1]!Table1[[#This Row],[Submission_Date]])*24</f>
        <v>10.381111111084465</v>
      </c>
      <c r="I40" s="5" t="str">
        <f>TEXT(Table1[[#This Row],[Submission_Date]],"dddd")</f>
        <v>Monday</v>
      </c>
      <c r="J40" s="5" t="str">
        <f>TEXT(Table1[[#This Row],[Submission_Date]],"mmm")</f>
        <v>Sep</v>
      </c>
      <c r="K40" s="6">
        <f>HOUR(Table1[[#This Row],[Submission_Date]])</f>
        <v>16</v>
      </c>
    </row>
    <row r="41" spans="1:11" hidden="1" x14ac:dyDescent="0.3">
      <c r="A41" s="4" t="s">
        <v>98</v>
      </c>
      <c r="B41" s="13">
        <v>45883.854247685187</v>
      </c>
      <c r="C41" s="13">
        <v>45884.364108796297</v>
      </c>
      <c r="D41" s="5" t="s">
        <v>24</v>
      </c>
      <c r="E41" s="5" t="s">
        <v>28</v>
      </c>
      <c r="F41" s="5" t="s">
        <v>99</v>
      </c>
      <c r="G41" s="5" t="s">
        <v>9</v>
      </c>
      <c r="H41" s="15">
        <f>([1]!Table1[[#This Row],[Resolution_Date]]-[1]!Table1[[#This Row],[Submission_Date]])*24</f>
        <v>12.236666666634846</v>
      </c>
      <c r="I41" s="5" t="str">
        <f>TEXT(Table1[[#This Row],[Submission_Date]],"dddd")</f>
        <v>Thursday</v>
      </c>
      <c r="J41" s="5" t="str">
        <f>TEXT(Table1[[#This Row],[Submission_Date]],"mmm")</f>
        <v>Aug</v>
      </c>
      <c r="K41" s="6">
        <f>HOUR(Table1[[#This Row],[Submission_Date]])</f>
        <v>20</v>
      </c>
    </row>
    <row r="42" spans="1:11" hidden="1" x14ac:dyDescent="0.3">
      <c r="A42" s="4" t="s">
        <v>100</v>
      </c>
      <c r="B42" s="13">
        <v>45905.242812500001</v>
      </c>
      <c r="C42" s="13">
        <v>45906.957951388889</v>
      </c>
      <c r="D42" s="5" t="s">
        <v>38</v>
      </c>
      <c r="E42" s="5" t="s">
        <v>2</v>
      </c>
      <c r="F42" s="5" t="s">
        <v>101</v>
      </c>
      <c r="G42" s="5" t="s">
        <v>9</v>
      </c>
      <c r="H42" s="15">
        <f>([1]!Table1[[#This Row],[Resolution_Date]]-[1]!Table1[[#This Row],[Submission_Date]])*24</f>
        <v>41.163333333330229</v>
      </c>
      <c r="I42" s="5" t="str">
        <f>TEXT(Table1[[#This Row],[Submission_Date]],"dddd")</f>
        <v>Friday</v>
      </c>
      <c r="J42" s="5" t="str">
        <f>TEXT(Table1[[#This Row],[Submission_Date]],"mmm")</f>
        <v>Sep</v>
      </c>
      <c r="K42" s="6">
        <f>HOUR(Table1[[#This Row],[Submission_Date]])</f>
        <v>5</v>
      </c>
    </row>
    <row r="43" spans="1:11" hidden="1" x14ac:dyDescent="0.3">
      <c r="A43" s="4" t="s">
        <v>102</v>
      </c>
      <c r="B43" s="13">
        <v>45913.76840277778</v>
      </c>
      <c r="C43" s="13">
        <v>45914.807395833333</v>
      </c>
      <c r="D43" s="5" t="s">
        <v>14</v>
      </c>
      <c r="E43" s="5" t="s">
        <v>7</v>
      </c>
      <c r="F43" s="5" t="s">
        <v>103</v>
      </c>
      <c r="G43" s="5" t="s">
        <v>22</v>
      </c>
      <c r="H43" s="15">
        <f>([1]!Table1[[#This Row],[Resolution_Date]]-[1]!Table1[[#This Row],[Submission_Date]])*24</f>
        <v>24.935833333292976</v>
      </c>
      <c r="I43" s="5" t="str">
        <f>TEXT(Table1[[#This Row],[Submission_Date]],"dddd")</f>
        <v>Saturday</v>
      </c>
      <c r="J43" s="5" t="str">
        <f>TEXT(Table1[[#This Row],[Submission_Date]],"mmm")</f>
        <v>Sep</v>
      </c>
      <c r="K43" s="6">
        <f>HOUR(Table1[[#This Row],[Submission_Date]])</f>
        <v>18</v>
      </c>
    </row>
    <row r="44" spans="1:11" ht="17.399999999999999" hidden="1" customHeight="1" x14ac:dyDescent="0.3">
      <c r="A44" s="4" t="s">
        <v>104</v>
      </c>
      <c r="B44" s="13">
        <v>45866.029444444444</v>
      </c>
      <c r="C44" s="13">
        <v>45872.458645833336</v>
      </c>
      <c r="D44" s="5" t="s">
        <v>74</v>
      </c>
      <c r="E44" s="5" t="s">
        <v>48</v>
      </c>
      <c r="F44" s="7" t="s">
        <v>105</v>
      </c>
      <c r="G44" s="5" t="s">
        <v>22</v>
      </c>
      <c r="H44" s="15">
        <f>([1]!Table1[[#This Row],[Resolution_Date]]-[1]!Table1[[#This Row],[Submission_Date]])*24</f>
        <v>154.30083333340008</v>
      </c>
      <c r="I44" s="5" t="str">
        <f>TEXT(Table1[[#This Row],[Submission_Date]],"dddd")</f>
        <v>Monday</v>
      </c>
      <c r="J44" s="5" t="str">
        <f>TEXT(Table1[[#This Row],[Submission_Date]],"mmm")</f>
        <v>Jul</v>
      </c>
      <c r="K44" s="6">
        <f>HOUR(Table1[[#This Row],[Submission_Date]])</f>
        <v>0</v>
      </c>
    </row>
    <row r="45" spans="1:11" hidden="1" x14ac:dyDescent="0.3">
      <c r="A45" s="4" t="s">
        <v>106</v>
      </c>
      <c r="B45" s="13">
        <v>45868.901076388887</v>
      </c>
      <c r="C45" s="13">
        <v>45868.965092592596</v>
      </c>
      <c r="D45" s="5" t="s">
        <v>6</v>
      </c>
      <c r="E45" s="5" t="s">
        <v>28</v>
      </c>
      <c r="F45" s="5" t="s">
        <v>107</v>
      </c>
      <c r="G45" s="5" t="s">
        <v>108</v>
      </c>
      <c r="H45" s="15">
        <f>([1]!Table1[[#This Row],[Resolution_Date]]-[1]!Table1[[#This Row],[Submission_Date]])*24</f>
        <v>1.5363888890133239</v>
      </c>
      <c r="I45" s="5" t="str">
        <f>TEXT(Table1[[#This Row],[Submission_Date]],"dddd")</f>
        <v>Wednesday</v>
      </c>
      <c r="J45" s="5" t="str">
        <f>TEXT(Table1[[#This Row],[Submission_Date]],"mmm")</f>
        <v>Jul</v>
      </c>
      <c r="K45" s="6">
        <f>HOUR(Table1[[#This Row],[Submission_Date]])</f>
        <v>21</v>
      </c>
    </row>
    <row r="46" spans="1:11" hidden="1" x14ac:dyDescent="0.3">
      <c r="A46" s="4" t="s">
        <v>109</v>
      </c>
      <c r="B46" s="13">
        <v>45872.126770833333</v>
      </c>
      <c r="C46" s="13">
        <v>45872.298888888887</v>
      </c>
      <c r="D46" s="5" t="s">
        <v>14</v>
      </c>
      <c r="E46" s="5" t="s">
        <v>25</v>
      </c>
      <c r="F46" s="5" t="s">
        <v>110</v>
      </c>
      <c r="G46" s="5" t="s">
        <v>4</v>
      </c>
      <c r="H46" s="15">
        <f>([1]!Table1[[#This Row],[Resolution_Date]]-[1]!Table1[[#This Row],[Submission_Date]])*24</f>
        <v>4.1308333332999609</v>
      </c>
      <c r="I46" s="5" t="str">
        <f>TEXT(Table1[[#This Row],[Submission_Date]],"dddd")</f>
        <v>Sunday</v>
      </c>
      <c r="J46" s="5" t="str">
        <f>TEXT(Table1[[#This Row],[Submission_Date]],"mmm")</f>
        <v>Aug</v>
      </c>
      <c r="K46" s="6">
        <f>HOUR(Table1[[#This Row],[Submission_Date]])</f>
        <v>3</v>
      </c>
    </row>
    <row r="47" spans="1:11" hidden="1" x14ac:dyDescent="0.3">
      <c r="A47" s="4" t="s">
        <v>111</v>
      </c>
      <c r="B47" s="13">
        <v>45843.404097222221</v>
      </c>
      <c r="C47" s="13">
        <v>45843.878437500003</v>
      </c>
      <c r="D47" s="5" t="s">
        <v>6</v>
      </c>
      <c r="E47" s="5" t="s">
        <v>7</v>
      </c>
      <c r="F47" s="5" t="s">
        <v>112</v>
      </c>
      <c r="G47" s="5" t="s">
        <v>4</v>
      </c>
      <c r="H47" s="15">
        <f>([1]!Table1[[#This Row],[Resolution_Date]]-[1]!Table1[[#This Row],[Submission_Date]])*24</f>
        <v>11.384166666772217</v>
      </c>
      <c r="I47" s="5" t="str">
        <f>TEXT(Table1[[#This Row],[Submission_Date]],"dddd")</f>
        <v>Saturday</v>
      </c>
      <c r="J47" s="5" t="str">
        <f>TEXT(Table1[[#This Row],[Submission_Date]],"mmm")</f>
        <v>Jul</v>
      </c>
      <c r="K47" s="6">
        <f>HOUR(Table1[[#This Row],[Submission_Date]])</f>
        <v>9</v>
      </c>
    </row>
    <row r="48" spans="1:11" hidden="1" x14ac:dyDescent="0.3">
      <c r="A48" s="4" t="s">
        <v>113</v>
      </c>
      <c r="B48" s="13">
        <v>45899.571597222224</v>
      </c>
      <c r="C48" s="13">
        <v>45901.487488425926</v>
      </c>
      <c r="D48" s="5" t="s">
        <v>38</v>
      </c>
      <c r="E48" s="5" t="s">
        <v>18</v>
      </c>
      <c r="F48" s="5" t="s">
        <v>114</v>
      </c>
      <c r="G48" s="5" t="s">
        <v>9</v>
      </c>
      <c r="H48" s="15">
        <f>([1]!Table1[[#This Row],[Resolution_Date]]-[1]!Table1[[#This Row],[Submission_Date]])*24</f>
        <v>45.981388888845686</v>
      </c>
      <c r="I48" s="5" t="str">
        <f>TEXT(Table1[[#This Row],[Submission_Date]],"dddd")</f>
        <v>Saturday</v>
      </c>
      <c r="J48" s="5" t="str">
        <f>TEXT(Table1[[#This Row],[Submission_Date]],"mmm")</f>
        <v>Aug</v>
      </c>
      <c r="K48" s="6">
        <f>HOUR(Table1[[#This Row],[Submission_Date]])</f>
        <v>13</v>
      </c>
    </row>
    <row r="49" spans="1:11" hidden="1" x14ac:dyDescent="0.3">
      <c r="A49" s="4" t="s">
        <v>115</v>
      </c>
      <c r="B49" s="13">
        <v>45830.641446759262</v>
      </c>
      <c r="C49" s="13">
        <v>45835.539803240739</v>
      </c>
      <c r="D49" s="5" t="s">
        <v>24</v>
      </c>
      <c r="E49" s="5" t="s">
        <v>7</v>
      </c>
      <c r="F49" s="5" t="s">
        <v>116</v>
      </c>
      <c r="G49" s="5" t="s">
        <v>22</v>
      </c>
      <c r="H49" s="15">
        <f>([1]!Table1[[#This Row],[Resolution_Date]]-[1]!Table1[[#This Row],[Submission_Date]])*24</f>
        <v>117.56055555545026</v>
      </c>
      <c r="I49" s="5" t="str">
        <f>TEXT(Table1[[#This Row],[Submission_Date]],"dddd")</f>
        <v>Sunday</v>
      </c>
      <c r="J49" s="5" t="str">
        <f>TEXT(Table1[[#This Row],[Submission_Date]],"mmm")</f>
        <v>Jun</v>
      </c>
      <c r="K49" s="6">
        <f>HOUR(Table1[[#This Row],[Submission_Date]])</f>
        <v>15</v>
      </c>
    </row>
    <row r="50" spans="1:11" hidden="1" x14ac:dyDescent="0.3">
      <c r="A50" s="4" t="s">
        <v>117</v>
      </c>
      <c r="B50" s="13">
        <v>45841.133831018517</v>
      </c>
      <c r="C50" s="13">
        <v>45841.652708333335</v>
      </c>
      <c r="D50" s="5" t="s">
        <v>38</v>
      </c>
      <c r="E50" s="5" t="s">
        <v>7</v>
      </c>
      <c r="F50" s="5" t="s">
        <v>118</v>
      </c>
      <c r="G50" s="5" t="s">
        <v>9</v>
      </c>
      <c r="H50" s="15">
        <f>([1]!Table1[[#This Row],[Resolution_Date]]-[1]!Table1[[#This Row],[Submission_Date]])*24</f>
        <v>12.453055555641185</v>
      </c>
      <c r="I50" s="5" t="str">
        <f>TEXT(Table1[[#This Row],[Submission_Date]],"dddd")</f>
        <v>Thursday</v>
      </c>
      <c r="J50" s="5" t="str">
        <f>TEXT(Table1[[#This Row],[Submission_Date]],"mmm")</f>
        <v>Jul</v>
      </c>
      <c r="K50" s="6">
        <f>HOUR(Table1[[#This Row],[Submission_Date]])</f>
        <v>3</v>
      </c>
    </row>
    <row r="51" spans="1:11" hidden="1" x14ac:dyDescent="0.3">
      <c r="A51" s="4" t="s">
        <v>119</v>
      </c>
      <c r="B51" s="13">
        <v>45878.743969907409</v>
      </c>
      <c r="C51" s="13">
        <v>45879.856087962966</v>
      </c>
      <c r="D51" s="5" t="s">
        <v>38</v>
      </c>
      <c r="E51" s="5" t="s">
        <v>7</v>
      </c>
      <c r="F51" s="5" t="s">
        <v>120</v>
      </c>
      <c r="G51" s="5" t="s">
        <v>9</v>
      </c>
      <c r="H51" s="15">
        <f>([1]!Table1[[#This Row],[Resolution_Date]]-[1]!Table1[[#This Row],[Submission_Date]])*24</f>
        <v>26.69083333335584</v>
      </c>
      <c r="I51" s="5" t="str">
        <f>TEXT(Table1[[#This Row],[Submission_Date]],"dddd")</f>
        <v>Saturday</v>
      </c>
      <c r="J51" s="5" t="str">
        <f>TEXT(Table1[[#This Row],[Submission_Date]],"mmm")</f>
        <v>Aug</v>
      </c>
      <c r="K51" s="6">
        <f>HOUR(Table1[[#This Row],[Submission_Date]])</f>
        <v>17</v>
      </c>
    </row>
    <row r="52" spans="1:11" hidden="1" x14ac:dyDescent="0.3">
      <c r="A52" s="4" t="s">
        <v>121</v>
      </c>
      <c r="B52" s="13">
        <v>45861.349097222221</v>
      </c>
      <c r="C52" s="13">
        <v>45865.965208333335</v>
      </c>
      <c r="D52" s="5" t="s">
        <v>1</v>
      </c>
      <c r="E52" s="5" t="s">
        <v>15</v>
      </c>
      <c r="F52" s="5" t="s">
        <v>122</v>
      </c>
      <c r="G52" s="5" t="s">
        <v>22</v>
      </c>
      <c r="H52" s="15">
        <f>([1]!Table1[[#This Row],[Resolution_Date]]-[1]!Table1[[#This Row],[Submission_Date]])*24</f>
        <v>110.78666666673962</v>
      </c>
      <c r="I52" s="5" t="str">
        <f>TEXT(Table1[[#This Row],[Submission_Date]],"dddd")</f>
        <v>Wednesday</v>
      </c>
      <c r="J52" s="5" t="str">
        <f>TEXT(Table1[[#This Row],[Submission_Date]],"mmm")</f>
        <v>Jul</v>
      </c>
      <c r="K52" s="6">
        <f>HOUR(Table1[[#This Row],[Submission_Date]])</f>
        <v>8</v>
      </c>
    </row>
    <row r="53" spans="1:11" hidden="1" x14ac:dyDescent="0.3">
      <c r="A53" s="4" t="s">
        <v>123</v>
      </c>
      <c r="B53" s="13">
        <v>45869.827581018515</v>
      </c>
      <c r="C53" s="13">
        <v>45876.05909722222</v>
      </c>
      <c r="D53" s="5" t="s">
        <v>6</v>
      </c>
      <c r="E53" s="5" t="s">
        <v>7</v>
      </c>
      <c r="F53" s="5" t="s">
        <v>124</v>
      </c>
      <c r="G53" s="5" t="s">
        <v>22</v>
      </c>
      <c r="H53" s="15">
        <f>([1]!Table1[[#This Row],[Resolution_Date]]-[1]!Table1[[#This Row],[Submission_Date]])*24</f>
        <v>149.55638888891554</v>
      </c>
      <c r="I53" s="5" t="str">
        <f>TEXT(Table1[[#This Row],[Submission_Date]],"dddd")</f>
        <v>Thursday</v>
      </c>
      <c r="J53" s="5" t="str">
        <f>TEXT(Table1[[#This Row],[Submission_Date]],"mmm")</f>
        <v>Jul</v>
      </c>
      <c r="K53" s="6">
        <f>HOUR(Table1[[#This Row],[Submission_Date]])</f>
        <v>19</v>
      </c>
    </row>
    <row r="54" spans="1:11" hidden="1" x14ac:dyDescent="0.3">
      <c r="A54" s="4" t="s">
        <v>125</v>
      </c>
      <c r="B54" s="13">
        <v>45837.098495370374</v>
      </c>
      <c r="C54" s="13">
        <v>45837.72761574074</v>
      </c>
      <c r="D54" s="5" t="s">
        <v>6</v>
      </c>
      <c r="E54" s="5" t="s">
        <v>15</v>
      </c>
      <c r="F54" s="5" t="s">
        <v>126</v>
      </c>
      <c r="G54" s="5" t="s">
        <v>9</v>
      </c>
      <c r="H54" s="15">
        <f>([1]!Table1[[#This Row],[Resolution_Date]]-[1]!Table1[[#This Row],[Submission_Date]])*24</f>
        <v>15.098888888780493</v>
      </c>
      <c r="I54" s="5" t="str">
        <f>TEXT(Table1[[#This Row],[Submission_Date]],"dddd")</f>
        <v>Sunday</v>
      </c>
      <c r="J54" s="5" t="str">
        <f>TEXT(Table1[[#This Row],[Submission_Date]],"mmm")</f>
        <v>Jun</v>
      </c>
      <c r="K54" s="6">
        <f>HOUR(Table1[[#This Row],[Submission_Date]])</f>
        <v>2</v>
      </c>
    </row>
    <row r="55" spans="1:11" hidden="1" x14ac:dyDescent="0.3">
      <c r="A55" s="4" t="s">
        <v>127</v>
      </c>
      <c r="B55" s="13">
        <v>45884.862361111111</v>
      </c>
      <c r="C55" s="13">
        <v>45885.412256944444</v>
      </c>
      <c r="D55" s="5" t="s">
        <v>6</v>
      </c>
      <c r="E55" s="5" t="s">
        <v>7</v>
      </c>
      <c r="F55" s="5" t="s">
        <v>128</v>
      </c>
      <c r="G55" s="5" t="s">
        <v>9</v>
      </c>
      <c r="H55" s="15">
        <f>([1]!Table1[[#This Row],[Resolution_Date]]-[1]!Table1[[#This Row],[Submission_Date]])*24</f>
        <v>13.197500000009313</v>
      </c>
      <c r="I55" s="5" t="str">
        <f>TEXT(Table1[[#This Row],[Submission_Date]],"dddd")</f>
        <v>Friday</v>
      </c>
      <c r="J55" s="5" t="str">
        <f>TEXT(Table1[[#This Row],[Submission_Date]],"mmm")</f>
        <v>Aug</v>
      </c>
      <c r="K55" s="6">
        <f>HOUR(Table1[[#This Row],[Submission_Date]])</f>
        <v>20</v>
      </c>
    </row>
    <row r="56" spans="1:11" hidden="1" x14ac:dyDescent="0.3">
      <c r="A56" s="4" t="s">
        <v>129</v>
      </c>
      <c r="B56" s="13">
        <v>45853.375069444446</v>
      </c>
      <c r="C56" s="13">
        <v>45853.793865740743</v>
      </c>
      <c r="D56" s="5" t="s">
        <v>38</v>
      </c>
      <c r="E56" s="5" t="s">
        <v>11</v>
      </c>
      <c r="F56" s="5" t="s">
        <v>130</v>
      </c>
      <c r="G56" s="5" t="s">
        <v>4</v>
      </c>
      <c r="H56" s="15">
        <f>([1]!Table1[[#This Row],[Resolution_Date]]-[1]!Table1[[#This Row],[Submission_Date]])*24</f>
        <v>10.051111111126374</v>
      </c>
      <c r="I56" s="5" t="str">
        <f>TEXT(Table1[[#This Row],[Submission_Date]],"dddd")</f>
        <v>Tuesday</v>
      </c>
      <c r="J56" s="5" t="str">
        <f>TEXT(Table1[[#This Row],[Submission_Date]],"mmm")</f>
        <v>Jul</v>
      </c>
      <c r="K56" s="6">
        <f>HOUR(Table1[[#This Row],[Submission_Date]])</f>
        <v>9</v>
      </c>
    </row>
    <row r="57" spans="1:11" hidden="1" x14ac:dyDescent="0.3">
      <c r="A57" s="4" t="s">
        <v>131</v>
      </c>
      <c r="B57" s="13">
        <v>45829.046388888892</v>
      </c>
      <c r="C57" s="13">
        <v>45830.741527777776</v>
      </c>
      <c r="D57" s="5" t="s">
        <v>24</v>
      </c>
      <c r="E57" s="5" t="s">
        <v>7</v>
      </c>
      <c r="F57" s="5" t="s">
        <v>132</v>
      </c>
      <c r="G57" s="5" t="s">
        <v>9</v>
      </c>
      <c r="H57" s="15">
        <f>([1]!Table1[[#This Row],[Resolution_Date]]-[1]!Table1[[#This Row],[Submission_Date]])*24</f>
        <v>40.68333333323244</v>
      </c>
      <c r="I57" s="5" t="str">
        <f>TEXT(Table1[[#This Row],[Submission_Date]],"dddd")</f>
        <v>Saturday</v>
      </c>
      <c r="J57" s="5" t="str">
        <f>TEXT(Table1[[#This Row],[Submission_Date]],"mmm")</f>
        <v>Jun</v>
      </c>
      <c r="K57" s="6">
        <f>HOUR(Table1[[#This Row],[Submission_Date]])</f>
        <v>1</v>
      </c>
    </row>
    <row r="58" spans="1:11" hidden="1" x14ac:dyDescent="0.3">
      <c r="A58" s="4" t="s">
        <v>133</v>
      </c>
      <c r="B58" s="13">
        <v>45871.327928240738</v>
      </c>
      <c r="C58" s="13">
        <v>45872.603171296294</v>
      </c>
      <c r="D58" s="5" t="s">
        <v>1</v>
      </c>
      <c r="E58" s="5" t="s">
        <v>15</v>
      </c>
      <c r="F58" s="5" t="s">
        <v>134</v>
      </c>
      <c r="G58" s="5" t="s">
        <v>9</v>
      </c>
      <c r="H58" s="15">
        <f>([1]!Table1[[#This Row],[Resolution_Date]]-[1]!Table1[[#This Row],[Submission_Date]])*24</f>
        <v>30.605833333334886</v>
      </c>
      <c r="I58" s="5" t="str">
        <f>TEXT(Table1[[#This Row],[Submission_Date]],"dddd")</f>
        <v>Saturday</v>
      </c>
      <c r="J58" s="5" t="str">
        <f>TEXT(Table1[[#This Row],[Submission_Date]],"mmm")</f>
        <v>Aug</v>
      </c>
      <c r="K58" s="6">
        <f>HOUR(Table1[[#This Row],[Submission_Date]])</f>
        <v>7</v>
      </c>
    </row>
    <row r="59" spans="1:11" x14ac:dyDescent="0.3">
      <c r="A59" s="4" t="s">
        <v>135</v>
      </c>
      <c r="B59" s="13">
        <v>45860.353877314818</v>
      </c>
      <c r="C59" s="13">
        <v>45867.284004629626</v>
      </c>
      <c r="D59" s="5" t="s">
        <v>53</v>
      </c>
      <c r="E59" s="5" t="s">
        <v>28</v>
      </c>
      <c r="F59" s="5" t="s">
        <v>136</v>
      </c>
      <c r="G59" s="5" t="s">
        <v>22</v>
      </c>
      <c r="H59" s="15">
        <f>([1]!Table1[[#This Row],[Resolution_Date]]-[1]!Table1[[#This Row],[Submission_Date]])*24</f>
        <v>166.3230555554037</v>
      </c>
      <c r="I59" s="5" t="str">
        <f>TEXT(Table1[[#This Row],[Submission_Date]],"dddd")</f>
        <v>Tuesday</v>
      </c>
      <c r="J59" s="5" t="str">
        <f>TEXT(Table1[[#This Row],[Submission_Date]],"mmm")</f>
        <v>Jul</v>
      </c>
      <c r="K59" s="6">
        <f>HOUR(Table1[[#This Row],[Submission_Date]])</f>
        <v>8</v>
      </c>
    </row>
    <row r="60" spans="1:11" hidden="1" x14ac:dyDescent="0.3">
      <c r="A60" s="4" t="s">
        <v>137</v>
      </c>
      <c r="B60" s="13">
        <v>45875.571423611109</v>
      </c>
      <c r="C60" s="13">
        <v>45877.303206018521</v>
      </c>
      <c r="D60" s="5" t="s">
        <v>1</v>
      </c>
      <c r="E60" s="5" t="s">
        <v>28</v>
      </c>
      <c r="F60" s="5" t="s">
        <v>138</v>
      </c>
      <c r="G60" s="5" t="s">
        <v>9</v>
      </c>
      <c r="H60" s="15">
        <f>([1]!Table1[[#This Row],[Resolution_Date]]-[1]!Table1[[#This Row],[Submission_Date]])*24</f>
        <v>41.562777777900919</v>
      </c>
      <c r="I60" s="5" t="str">
        <f>TEXT(Table1[[#This Row],[Submission_Date]],"dddd")</f>
        <v>Wednesday</v>
      </c>
      <c r="J60" s="5" t="str">
        <f>TEXT(Table1[[#This Row],[Submission_Date]],"mmm")</f>
        <v>Aug</v>
      </c>
      <c r="K60" s="6">
        <f>HOUR(Table1[[#This Row],[Submission_Date]])</f>
        <v>13</v>
      </c>
    </row>
    <row r="61" spans="1:11" hidden="1" x14ac:dyDescent="0.3">
      <c r="A61" s="4" t="s">
        <v>139</v>
      </c>
      <c r="B61" s="13">
        <v>45827.276192129626</v>
      </c>
      <c r="C61" s="13">
        <v>45828.595821759256</v>
      </c>
      <c r="D61" s="5" t="s">
        <v>6</v>
      </c>
      <c r="E61" s="5" t="s">
        <v>25</v>
      </c>
      <c r="F61" s="5" t="s">
        <v>140</v>
      </c>
      <c r="G61" s="5" t="s">
        <v>9</v>
      </c>
      <c r="H61" s="15">
        <f>([1]!Table1[[#This Row],[Resolution_Date]]-[1]!Table1[[#This Row],[Submission_Date]])*24</f>
        <v>31.671111111121718</v>
      </c>
      <c r="I61" s="5" t="str">
        <f>TEXT(Table1[[#This Row],[Submission_Date]],"dddd")</f>
        <v>Thursday</v>
      </c>
      <c r="J61" s="5" t="str">
        <f>TEXT(Table1[[#This Row],[Submission_Date]],"mmm")</f>
        <v>Jun</v>
      </c>
      <c r="K61" s="6">
        <f>HOUR(Table1[[#This Row],[Submission_Date]])</f>
        <v>6</v>
      </c>
    </row>
    <row r="62" spans="1:11" hidden="1" x14ac:dyDescent="0.3">
      <c r="A62" s="4" t="s">
        <v>141</v>
      </c>
      <c r="B62" s="13">
        <v>45896.462245370371</v>
      </c>
      <c r="C62" s="13">
        <v>45897.492939814816</v>
      </c>
      <c r="D62" s="5" t="s">
        <v>14</v>
      </c>
      <c r="E62" s="5" t="s">
        <v>15</v>
      </c>
      <c r="F62" s="5" t="s">
        <v>142</v>
      </c>
      <c r="G62" s="5" t="s">
        <v>9</v>
      </c>
      <c r="H62" s="15">
        <f>([1]!Table1[[#This Row],[Resolution_Date]]-[1]!Table1[[#This Row],[Submission_Date]])*24</f>
        <v>24.736666666693054</v>
      </c>
      <c r="I62" s="5" t="str">
        <f>TEXT(Table1[[#This Row],[Submission_Date]],"dddd")</f>
        <v>Wednesday</v>
      </c>
      <c r="J62" s="5" t="str">
        <f>TEXT(Table1[[#This Row],[Submission_Date]],"mmm")</f>
        <v>Aug</v>
      </c>
      <c r="K62" s="6">
        <f>HOUR(Table1[[#This Row],[Submission_Date]])</f>
        <v>11</v>
      </c>
    </row>
    <row r="63" spans="1:11" hidden="1" x14ac:dyDescent="0.3">
      <c r="A63" s="4" t="s">
        <v>143</v>
      </c>
      <c r="B63" s="13">
        <v>45910.846967592595</v>
      </c>
      <c r="C63" s="13">
        <v>45912.419085648151</v>
      </c>
      <c r="D63" s="5" t="s">
        <v>6</v>
      </c>
      <c r="E63" s="5" t="s">
        <v>2</v>
      </c>
      <c r="F63" s="5" t="s">
        <v>144</v>
      </c>
      <c r="G63" s="5" t="s">
        <v>9</v>
      </c>
      <c r="H63" s="15">
        <f>([1]!Table1[[#This Row],[Resolution_Date]]-[1]!Table1[[#This Row],[Submission_Date]])*24</f>
        <v>37.730833333334886</v>
      </c>
      <c r="I63" s="5" t="str">
        <f>TEXT(Table1[[#This Row],[Submission_Date]],"dddd")</f>
        <v>Wednesday</v>
      </c>
      <c r="J63" s="5" t="str">
        <f>TEXT(Table1[[#This Row],[Submission_Date]],"mmm")</f>
        <v>Sep</v>
      </c>
      <c r="K63" s="6">
        <f>HOUR(Table1[[#This Row],[Submission_Date]])</f>
        <v>20</v>
      </c>
    </row>
    <row r="64" spans="1:11" hidden="1" x14ac:dyDescent="0.3">
      <c r="A64" s="4" t="s">
        <v>145</v>
      </c>
      <c r="B64" s="13">
        <v>45839.694212962961</v>
      </c>
      <c r="C64" s="13">
        <v>45840.681747685187</v>
      </c>
      <c r="D64" s="5" t="s">
        <v>6</v>
      </c>
      <c r="E64" s="5" t="s">
        <v>35</v>
      </c>
      <c r="F64" s="5" t="s">
        <v>146</v>
      </c>
      <c r="G64" s="5" t="s">
        <v>9</v>
      </c>
      <c r="H64" s="15">
        <f>([1]!Table1[[#This Row],[Resolution_Date]]-[1]!Table1[[#This Row],[Submission_Date]])*24</f>
        <v>23.700833333423361</v>
      </c>
      <c r="I64" s="5" t="str">
        <f>TEXT(Table1[[#This Row],[Submission_Date]],"dddd")</f>
        <v>Tuesday</v>
      </c>
      <c r="J64" s="5" t="str">
        <f>TEXT(Table1[[#This Row],[Submission_Date]],"mmm")</f>
        <v>Jul</v>
      </c>
      <c r="K64" s="6">
        <f>HOUR(Table1[[#This Row],[Submission_Date]])</f>
        <v>16</v>
      </c>
    </row>
    <row r="65" spans="1:11" hidden="1" x14ac:dyDescent="0.3">
      <c r="A65" s="4" t="s">
        <v>147</v>
      </c>
      <c r="B65" s="13">
        <v>45871.331354166665</v>
      </c>
      <c r="C65" s="13">
        <v>45871.663622685184</v>
      </c>
      <c r="D65" s="5" t="s">
        <v>24</v>
      </c>
      <c r="E65" s="5" t="s">
        <v>35</v>
      </c>
      <c r="F65" s="5" t="s">
        <v>148</v>
      </c>
      <c r="G65" s="5" t="s">
        <v>4</v>
      </c>
      <c r="H65" s="15">
        <f>([1]!Table1[[#This Row],[Resolution_Date]]-[1]!Table1[[#This Row],[Submission_Date]])*24</f>
        <v>7.9744444444659166</v>
      </c>
      <c r="I65" s="5" t="str">
        <f>TEXT(Table1[[#This Row],[Submission_Date]],"dddd")</f>
        <v>Saturday</v>
      </c>
      <c r="J65" s="5" t="str">
        <f>TEXT(Table1[[#This Row],[Submission_Date]],"mmm")</f>
        <v>Aug</v>
      </c>
      <c r="K65" s="6">
        <f>HOUR(Table1[[#This Row],[Submission_Date]])</f>
        <v>7</v>
      </c>
    </row>
    <row r="66" spans="1:11" hidden="1" x14ac:dyDescent="0.3">
      <c r="A66" s="4" t="s">
        <v>149</v>
      </c>
      <c r="B66" s="13">
        <v>45910.248749999999</v>
      </c>
      <c r="C66" s="13">
        <v>45910.584664351853</v>
      </c>
      <c r="D66" s="5" t="s">
        <v>24</v>
      </c>
      <c r="E66" s="5" t="s">
        <v>18</v>
      </c>
      <c r="F66" s="5" t="s">
        <v>150</v>
      </c>
      <c r="G66" s="5" t="s">
        <v>9</v>
      </c>
      <c r="H66" s="15">
        <f>([1]!Table1[[#This Row],[Resolution_Date]]-[1]!Table1[[#This Row],[Submission_Date]])*24</f>
        <v>8.0619444444891997</v>
      </c>
      <c r="I66" s="5" t="str">
        <f>TEXT(Table1[[#This Row],[Submission_Date]],"dddd")</f>
        <v>Wednesday</v>
      </c>
      <c r="J66" s="5" t="str">
        <f>TEXT(Table1[[#This Row],[Submission_Date]],"mmm")</f>
        <v>Sep</v>
      </c>
      <c r="K66" s="6">
        <f>HOUR(Table1[[#This Row],[Submission_Date]])</f>
        <v>5</v>
      </c>
    </row>
    <row r="67" spans="1:11" hidden="1" x14ac:dyDescent="0.3">
      <c r="A67" s="4" t="s">
        <v>151</v>
      </c>
      <c r="B67" s="13">
        <v>45886.799490740741</v>
      </c>
      <c r="C67" s="13">
        <v>45887.413611111115</v>
      </c>
      <c r="D67" s="5" t="s">
        <v>38</v>
      </c>
      <c r="E67" s="5" t="s">
        <v>2</v>
      </c>
      <c r="F67" s="5" t="s">
        <v>152</v>
      </c>
      <c r="G67" s="5" t="s">
        <v>9</v>
      </c>
      <c r="H67" s="15">
        <f>([1]!Table1[[#This Row],[Resolution_Date]]-[1]!Table1[[#This Row],[Submission_Date]])*24</f>
        <v>14.738888888969086</v>
      </c>
      <c r="I67" s="5" t="str">
        <f>TEXT(Table1[[#This Row],[Submission_Date]],"dddd")</f>
        <v>Sunday</v>
      </c>
      <c r="J67" s="5" t="str">
        <f>TEXT(Table1[[#This Row],[Submission_Date]],"mmm")</f>
        <v>Aug</v>
      </c>
      <c r="K67" s="6">
        <f>HOUR(Table1[[#This Row],[Submission_Date]])</f>
        <v>19</v>
      </c>
    </row>
    <row r="68" spans="1:11" hidden="1" x14ac:dyDescent="0.3">
      <c r="A68" s="4" t="s">
        <v>153</v>
      </c>
      <c r="B68" s="13">
        <v>45856.26525462963</v>
      </c>
      <c r="C68" s="13">
        <v>45861.837129629632</v>
      </c>
      <c r="D68" s="5" t="s">
        <v>14</v>
      </c>
      <c r="E68" s="5" t="s">
        <v>11</v>
      </c>
      <c r="F68" s="5" t="s">
        <v>154</v>
      </c>
      <c r="G68" s="5" t="s">
        <v>22</v>
      </c>
      <c r="H68" s="15">
        <f>([1]!Table1[[#This Row],[Resolution_Date]]-[1]!Table1[[#This Row],[Submission_Date]])*24</f>
        <v>133.72500000003492</v>
      </c>
      <c r="I68" s="5" t="str">
        <f>TEXT(Table1[[#This Row],[Submission_Date]],"dddd")</f>
        <v>Friday</v>
      </c>
      <c r="J68" s="5" t="str">
        <f>TEXT(Table1[[#This Row],[Submission_Date]],"mmm")</f>
        <v>Jul</v>
      </c>
      <c r="K68" s="6">
        <f>HOUR(Table1[[#This Row],[Submission_Date]])</f>
        <v>6</v>
      </c>
    </row>
    <row r="69" spans="1:11" hidden="1" x14ac:dyDescent="0.3">
      <c r="A69" s="4" t="s">
        <v>155</v>
      </c>
      <c r="B69" s="13">
        <v>45844.096053240741</v>
      </c>
      <c r="C69" s="13">
        <v>45845.543749999997</v>
      </c>
      <c r="D69" s="5" t="s">
        <v>38</v>
      </c>
      <c r="E69" s="5" t="s">
        <v>35</v>
      </c>
      <c r="F69" s="5" t="s">
        <v>156</v>
      </c>
      <c r="G69" s="5" t="s">
        <v>9</v>
      </c>
      <c r="H69" s="15">
        <f>([1]!Table1[[#This Row],[Resolution_Date]]-[1]!Table1[[#This Row],[Submission_Date]])*24</f>
        <v>34.744722222152632</v>
      </c>
      <c r="I69" s="5" t="str">
        <f>TEXT(Table1[[#This Row],[Submission_Date]],"dddd")</f>
        <v>Sunday</v>
      </c>
      <c r="J69" s="5" t="str">
        <f>TEXT(Table1[[#This Row],[Submission_Date]],"mmm")</f>
        <v>Jul</v>
      </c>
      <c r="K69" s="6">
        <f>HOUR(Table1[[#This Row],[Submission_Date]])</f>
        <v>2</v>
      </c>
    </row>
    <row r="70" spans="1:11" hidden="1" x14ac:dyDescent="0.3">
      <c r="A70" s="4" t="s">
        <v>157</v>
      </c>
      <c r="B70" s="13">
        <v>45894.949189814812</v>
      </c>
      <c r="C70" s="13">
        <v>45898.220127314817</v>
      </c>
      <c r="D70" s="5" t="s">
        <v>6</v>
      </c>
      <c r="E70" s="5" t="s">
        <v>25</v>
      </c>
      <c r="F70" s="5" t="s">
        <v>158</v>
      </c>
      <c r="G70" s="5" t="s">
        <v>22</v>
      </c>
      <c r="H70" s="15">
        <f>([1]!Table1[[#This Row],[Resolution_Date]]-[1]!Table1[[#This Row],[Submission_Date]])*24</f>
        <v>78.502500000118744</v>
      </c>
      <c r="I70" s="5" t="str">
        <f>TEXT(Table1[[#This Row],[Submission_Date]],"dddd")</f>
        <v>Monday</v>
      </c>
      <c r="J70" s="5" t="str">
        <f>TEXT(Table1[[#This Row],[Submission_Date]],"mmm")</f>
        <v>Aug</v>
      </c>
      <c r="K70" s="6">
        <f>HOUR(Table1[[#This Row],[Submission_Date]])</f>
        <v>22</v>
      </c>
    </row>
    <row r="71" spans="1:11" hidden="1" x14ac:dyDescent="0.3">
      <c r="A71" s="4" t="s">
        <v>159</v>
      </c>
      <c r="B71" s="13">
        <v>45907.021168981482</v>
      </c>
      <c r="C71" s="13">
        <v>45908.025706018518</v>
      </c>
      <c r="D71" s="5" t="s">
        <v>6</v>
      </c>
      <c r="E71" s="5" t="s">
        <v>18</v>
      </c>
      <c r="F71" s="5" t="s">
        <v>160</v>
      </c>
      <c r="G71" s="5" t="s">
        <v>9</v>
      </c>
      <c r="H71" s="15">
        <f>([1]!Table1[[#This Row],[Resolution_Date]]-[1]!Table1[[#This Row],[Submission_Date]])*24</f>
        <v>24.108888888848014</v>
      </c>
      <c r="I71" s="5" t="str">
        <f>TEXT(Table1[[#This Row],[Submission_Date]],"dddd")</f>
        <v>Sunday</v>
      </c>
      <c r="J71" s="5" t="str">
        <f>TEXT(Table1[[#This Row],[Submission_Date]],"mmm")</f>
        <v>Sep</v>
      </c>
      <c r="K71" s="6">
        <f>HOUR(Table1[[#This Row],[Submission_Date]])</f>
        <v>0</v>
      </c>
    </row>
    <row r="72" spans="1:11" hidden="1" x14ac:dyDescent="0.3">
      <c r="A72" s="4" t="s">
        <v>161</v>
      </c>
      <c r="B72" s="13">
        <v>45859.915520833332</v>
      </c>
      <c r="C72" s="13">
        <v>45860.049583333333</v>
      </c>
      <c r="D72" s="5" t="s">
        <v>14</v>
      </c>
      <c r="E72" s="5" t="s">
        <v>35</v>
      </c>
      <c r="F72" s="5" t="s">
        <v>162</v>
      </c>
      <c r="G72" s="5" t="s">
        <v>108</v>
      </c>
      <c r="H72" s="15">
        <f>([1]!Table1[[#This Row],[Resolution_Date]]-[1]!Table1[[#This Row],[Submission_Date]])*24</f>
        <v>3.2175000000279397</v>
      </c>
      <c r="I72" s="5" t="str">
        <f>TEXT(Table1[[#This Row],[Submission_Date]],"dddd")</f>
        <v>Monday</v>
      </c>
      <c r="J72" s="5" t="str">
        <f>TEXT(Table1[[#This Row],[Submission_Date]],"mmm")</f>
        <v>Jul</v>
      </c>
      <c r="K72" s="6">
        <f>HOUR(Table1[[#This Row],[Submission_Date]])</f>
        <v>21</v>
      </c>
    </row>
    <row r="73" spans="1:11" hidden="1" x14ac:dyDescent="0.3">
      <c r="A73" s="4" t="s">
        <v>163</v>
      </c>
      <c r="B73" s="13">
        <v>45862.538506944446</v>
      </c>
      <c r="C73" s="13">
        <v>45863.373912037037</v>
      </c>
      <c r="D73" s="5" t="s">
        <v>6</v>
      </c>
      <c r="E73" s="5" t="s">
        <v>11</v>
      </c>
      <c r="F73" s="5" t="s">
        <v>164</v>
      </c>
      <c r="G73" s="5" t="s">
        <v>9</v>
      </c>
      <c r="H73" s="15">
        <f>([1]!Table1[[#This Row],[Resolution_Date]]-[1]!Table1[[#This Row],[Submission_Date]])*24</f>
        <v>20.049722222203854</v>
      </c>
      <c r="I73" s="5" t="str">
        <f>TEXT(Table1[[#This Row],[Submission_Date]],"dddd")</f>
        <v>Thursday</v>
      </c>
      <c r="J73" s="5" t="str">
        <f>TEXT(Table1[[#This Row],[Submission_Date]],"mmm")</f>
        <v>Jul</v>
      </c>
      <c r="K73" s="6">
        <f>HOUR(Table1[[#This Row],[Submission_Date]])</f>
        <v>12</v>
      </c>
    </row>
    <row r="74" spans="1:11" hidden="1" x14ac:dyDescent="0.3">
      <c r="A74" s="4" t="s">
        <v>165</v>
      </c>
      <c r="B74" s="13">
        <v>45826.321111111109</v>
      </c>
      <c r="C74" s="13">
        <v>45827.897581018522</v>
      </c>
      <c r="D74" s="5" t="s">
        <v>38</v>
      </c>
      <c r="E74" s="5" t="s">
        <v>35</v>
      </c>
      <c r="F74" s="5" t="s">
        <v>166</v>
      </c>
      <c r="G74" s="5" t="s">
        <v>9</v>
      </c>
      <c r="H74" s="15">
        <f>([1]!Table1[[#This Row],[Resolution_Date]]-[1]!Table1[[#This Row],[Submission_Date]])*24</f>
        <v>37.835277777921874</v>
      </c>
      <c r="I74" s="5" t="str">
        <f>TEXT(Table1[[#This Row],[Submission_Date]],"dddd")</f>
        <v>Wednesday</v>
      </c>
      <c r="J74" s="5" t="str">
        <f>TEXT(Table1[[#This Row],[Submission_Date]],"mmm")</f>
        <v>Jun</v>
      </c>
      <c r="K74" s="6">
        <f>HOUR(Table1[[#This Row],[Submission_Date]])</f>
        <v>7</v>
      </c>
    </row>
    <row r="75" spans="1:11" hidden="1" x14ac:dyDescent="0.3">
      <c r="A75" s="4" t="s">
        <v>167</v>
      </c>
      <c r="B75" s="13">
        <v>45903.107094907406</v>
      </c>
      <c r="C75" s="13">
        <v>45903.445011574076</v>
      </c>
      <c r="D75" s="5" t="s">
        <v>1</v>
      </c>
      <c r="E75" s="5" t="s">
        <v>39</v>
      </c>
      <c r="F75" s="5" t="s">
        <v>168</v>
      </c>
      <c r="G75" s="5" t="s">
        <v>4</v>
      </c>
      <c r="H75" s="15">
        <f>([1]!Table1[[#This Row],[Resolution_Date]]-[1]!Table1[[#This Row],[Submission_Date]])*24</f>
        <v>8.1100000001024455</v>
      </c>
      <c r="I75" s="5" t="str">
        <f>TEXT(Table1[[#This Row],[Submission_Date]],"dddd")</f>
        <v>Wednesday</v>
      </c>
      <c r="J75" s="5" t="str">
        <f>TEXT(Table1[[#This Row],[Submission_Date]],"mmm")</f>
        <v>Sep</v>
      </c>
      <c r="K75" s="6">
        <f>HOUR(Table1[[#This Row],[Submission_Date]])</f>
        <v>2</v>
      </c>
    </row>
    <row r="76" spans="1:11" hidden="1" x14ac:dyDescent="0.3">
      <c r="A76" s="4" t="s">
        <v>169</v>
      </c>
      <c r="B76" s="13">
        <v>45877.97078703704</v>
      </c>
      <c r="C76" s="13">
        <v>45883.972060185188</v>
      </c>
      <c r="D76" s="5" t="s">
        <v>53</v>
      </c>
      <c r="E76" s="5" t="s">
        <v>7</v>
      </c>
      <c r="F76" s="5" t="s">
        <v>170</v>
      </c>
      <c r="G76" s="5" t="s">
        <v>22</v>
      </c>
      <c r="H76" s="15">
        <f>([1]!Table1[[#This Row],[Resolution_Date]]-[1]!Table1[[#This Row],[Submission_Date]])*24</f>
        <v>144.03055555553874</v>
      </c>
      <c r="I76" s="5" t="str">
        <f>TEXT(Table1[[#This Row],[Submission_Date]],"dddd")</f>
        <v>Friday</v>
      </c>
      <c r="J76" s="5" t="str">
        <f>TEXT(Table1[[#This Row],[Submission_Date]],"mmm")</f>
        <v>Aug</v>
      </c>
      <c r="K76" s="6">
        <f>HOUR(Table1[[#This Row],[Submission_Date]])</f>
        <v>23</v>
      </c>
    </row>
    <row r="77" spans="1:11" hidden="1" x14ac:dyDescent="0.3">
      <c r="A77" s="4" t="s">
        <v>171</v>
      </c>
      <c r="B77" s="13">
        <v>45897.075162037036</v>
      </c>
      <c r="C77" s="13">
        <v>45897.403449074074</v>
      </c>
      <c r="D77" s="5" t="s">
        <v>1</v>
      </c>
      <c r="E77" s="5" t="s">
        <v>35</v>
      </c>
      <c r="F77" s="5" t="s">
        <v>172</v>
      </c>
      <c r="G77" s="5" t="s">
        <v>4</v>
      </c>
      <c r="H77" s="15">
        <f>([1]!Table1[[#This Row],[Resolution_Date]]-[1]!Table1[[#This Row],[Submission_Date]])*24</f>
        <v>7.8788888889248483</v>
      </c>
      <c r="I77" s="5" t="str">
        <f>TEXT(Table1[[#This Row],[Submission_Date]],"dddd")</f>
        <v>Thursday</v>
      </c>
      <c r="J77" s="5" t="str">
        <f>TEXT(Table1[[#This Row],[Submission_Date]],"mmm")</f>
        <v>Aug</v>
      </c>
      <c r="K77" s="6">
        <f>HOUR(Table1[[#This Row],[Submission_Date]])</f>
        <v>1</v>
      </c>
    </row>
    <row r="78" spans="1:11" hidden="1" x14ac:dyDescent="0.3">
      <c r="A78" s="4" t="s">
        <v>173</v>
      </c>
      <c r="B78" s="13">
        <v>45858.438460648147</v>
      </c>
      <c r="C78" s="13">
        <v>45858.591111111113</v>
      </c>
      <c r="D78" s="5" t="s">
        <v>6</v>
      </c>
      <c r="E78" s="5" t="s">
        <v>7</v>
      </c>
      <c r="F78" s="5" t="s">
        <v>174</v>
      </c>
      <c r="G78" s="5" t="s">
        <v>4</v>
      </c>
      <c r="H78" s="15">
        <f>([1]!Table1[[#This Row],[Resolution_Date]]-[1]!Table1[[#This Row],[Submission_Date]])*24</f>
        <v>3.6636111111729406</v>
      </c>
      <c r="I78" s="5" t="str">
        <f>TEXT(Table1[[#This Row],[Submission_Date]],"dddd")</f>
        <v>Sunday</v>
      </c>
      <c r="J78" s="5" t="str">
        <f>TEXT(Table1[[#This Row],[Submission_Date]],"mmm")</f>
        <v>Jul</v>
      </c>
      <c r="K78" s="6">
        <f>HOUR(Table1[[#This Row],[Submission_Date]])</f>
        <v>10</v>
      </c>
    </row>
    <row r="79" spans="1:11" hidden="1" x14ac:dyDescent="0.3">
      <c r="A79" s="4" t="s">
        <v>175</v>
      </c>
      <c r="B79" s="13">
        <v>45855.654606481483</v>
      </c>
      <c r="C79" s="13">
        <v>45855.944652777776</v>
      </c>
      <c r="D79" s="5" t="s">
        <v>53</v>
      </c>
      <c r="E79" s="5" t="s">
        <v>25</v>
      </c>
      <c r="F79" s="5" t="s">
        <v>176</v>
      </c>
      <c r="G79" s="5" t="s">
        <v>4</v>
      </c>
      <c r="H79" s="15">
        <f>([1]!Table1[[#This Row],[Resolution_Date]]-[1]!Table1[[#This Row],[Submission_Date]])*24</f>
        <v>6.9611111110425554</v>
      </c>
      <c r="I79" s="5" t="str">
        <f>TEXT(Table1[[#This Row],[Submission_Date]],"dddd")</f>
        <v>Thursday</v>
      </c>
      <c r="J79" s="5" t="str">
        <f>TEXT(Table1[[#This Row],[Submission_Date]],"mmm")</f>
        <v>Jul</v>
      </c>
      <c r="K79" s="6">
        <f>HOUR(Table1[[#This Row],[Submission_Date]])</f>
        <v>15</v>
      </c>
    </row>
    <row r="80" spans="1:11" hidden="1" x14ac:dyDescent="0.3">
      <c r="A80" s="4" t="s">
        <v>177</v>
      </c>
      <c r="B80" s="13">
        <v>45861.832685185182</v>
      </c>
      <c r="C80" s="13">
        <v>45864.47896990741</v>
      </c>
      <c r="D80" s="5" t="s">
        <v>6</v>
      </c>
      <c r="E80" s="5" t="s">
        <v>7</v>
      </c>
      <c r="F80" s="5" t="s">
        <v>178</v>
      </c>
      <c r="G80" s="5" t="s">
        <v>22</v>
      </c>
      <c r="H80" s="15">
        <f>([1]!Table1[[#This Row],[Resolution_Date]]-[1]!Table1[[#This Row],[Submission_Date]])*24</f>
        <v>63.510833333479241</v>
      </c>
      <c r="I80" s="5" t="str">
        <f>TEXT(Table1[[#This Row],[Submission_Date]],"dddd")</f>
        <v>Wednesday</v>
      </c>
      <c r="J80" s="5" t="str">
        <f>TEXT(Table1[[#This Row],[Submission_Date]],"mmm")</f>
        <v>Jul</v>
      </c>
      <c r="K80" s="6">
        <f>HOUR(Table1[[#This Row],[Submission_Date]])</f>
        <v>19</v>
      </c>
    </row>
    <row r="81" spans="1:11" hidden="1" x14ac:dyDescent="0.3">
      <c r="A81" s="4" t="s">
        <v>179</v>
      </c>
      <c r="B81" s="13">
        <v>45835.87400462963</v>
      </c>
      <c r="C81" s="13">
        <v>45839.839178240742</v>
      </c>
      <c r="D81" s="5" t="s">
        <v>38</v>
      </c>
      <c r="E81" s="5" t="s">
        <v>7</v>
      </c>
      <c r="F81" s="5" t="s">
        <v>180</v>
      </c>
      <c r="G81" s="5" t="s">
        <v>22</v>
      </c>
      <c r="H81" s="15">
        <f>([1]!Table1[[#This Row],[Resolution_Date]]-[1]!Table1[[#This Row],[Submission_Date]])*24</f>
        <v>95.164166666683741</v>
      </c>
      <c r="I81" s="5" t="str">
        <f>TEXT(Table1[[#This Row],[Submission_Date]],"dddd")</f>
        <v>Friday</v>
      </c>
      <c r="J81" s="5" t="str">
        <f>TEXT(Table1[[#This Row],[Submission_Date]],"mmm")</f>
        <v>Jun</v>
      </c>
      <c r="K81" s="6">
        <f>HOUR(Table1[[#This Row],[Submission_Date]])</f>
        <v>20</v>
      </c>
    </row>
    <row r="82" spans="1:11" hidden="1" x14ac:dyDescent="0.3">
      <c r="A82" s="4" t="s">
        <v>181</v>
      </c>
      <c r="B82" s="13">
        <v>45827.696932870371</v>
      </c>
      <c r="C82" s="13">
        <v>45833.939328703702</v>
      </c>
      <c r="D82" s="5" t="s">
        <v>6</v>
      </c>
      <c r="E82" s="5" t="s">
        <v>28</v>
      </c>
      <c r="F82" s="5" t="s">
        <v>182</v>
      </c>
      <c r="G82" s="5" t="s">
        <v>22</v>
      </c>
      <c r="H82" s="15">
        <f>([1]!Table1[[#This Row],[Resolution_Date]]-[1]!Table1[[#This Row],[Submission_Date]])*24</f>
        <v>149.81749999994645</v>
      </c>
      <c r="I82" s="5" t="str">
        <f>TEXT(Table1[[#This Row],[Submission_Date]],"dddd")</f>
        <v>Thursday</v>
      </c>
      <c r="J82" s="5" t="str">
        <f>TEXT(Table1[[#This Row],[Submission_Date]],"mmm")</f>
        <v>Jun</v>
      </c>
      <c r="K82" s="6">
        <f>HOUR(Table1[[#This Row],[Submission_Date]])</f>
        <v>16</v>
      </c>
    </row>
    <row r="83" spans="1:11" hidden="1" x14ac:dyDescent="0.3">
      <c r="A83" s="4" t="s">
        <v>183</v>
      </c>
      <c r="B83" s="13">
        <v>45835.035243055558</v>
      </c>
      <c r="C83" s="13">
        <v>45839.41710648148</v>
      </c>
      <c r="D83" s="5" t="s">
        <v>24</v>
      </c>
      <c r="E83" s="5" t="s">
        <v>15</v>
      </c>
      <c r="F83" s="5" t="s">
        <v>184</v>
      </c>
      <c r="G83" s="5" t="s">
        <v>22</v>
      </c>
      <c r="H83" s="15">
        <f>([1]!Table1[[#This Row],[Resolution_Date]]-[1]!Table1[[#This Row],[Submission_Date]])*24</f>
        <v>105.16472222213633</v>
      </c>
      <c r="I83" s="5" t="str">
        <f>TEXT(Table1[[#This Row],[Submission_Date]],"dddd")</f>
        <v>Friday</v>
      </c>
      <c r="J83" s="5" t="str">
        <f>TEXT(Table1[[#This Row],[Submission_Date]],"mmm")</f>
        <v>Jun</v>
      </c>
      <c r="K83" s="6">
        <f>HOUR(Table1[[#This Row],[Submission_Date]])</f>
        <v>0</v>
      </c>
    </row>
    <row r="84" spans="1:11" hidden="1" x14ac:dyDescent="0.3">
      <c r="A84" s="4" t="s">
        <v>185</v>
      </c>
      <c r="B84" s="13">
        <v>45879.470451388886</v>
      </c>
      <c r="C84" s="13">
        <v>45881.348124999997</v>
      </c>
      <c r="D84" s="5" t="s">
        <v>6</v>
      </c>
      <c r="E84" s="5" t="s">
        <v>7</v>
      </c>
      <c r="F84" s="5" t="s">
        <v>186</v>
      </c>
      <c r="G84" s="5" t="s">
        <v>9</v>
      </c>
      <c r="H84" s="15">
        <f>([1]!Table1[[#This Row],[Resolution_Date]]-[1]!Table1[[#This Row],[Submission_Date]])*24</f>
        <v>45.064166666648816</v>
      </c>
      <c r="I84" s="5" t="str">
        <f>TEXT(Table1[[#This Row],[Submission_Date]],"dddd")</f>
        <v>Sunday</v>
      </c>
      <c r="J84" s="5" t="str">
        <f>TEXT(Table1[[#This Row],[Submission_Date]],"mmm")</f>
        <v>Aug</v>
      </c>
      <c r="K84" s="6">
        <f>HOUR(Table1[[#This Row],[Submission_Date]])</f>
        <v>11</v>
      </c>
    </row>
    <row r="85" spans="1:11" x14ac:dyDescent="0.3">
      <c r="A85" s="4" t="s">
        <v>187</v>
      </c>
      <c r="B85" s="13">
        <v>45867.075833333336</v>
      </c>
      <c r="C85" s="13">
        <v>45869.559895833336</v>
      </c>
      <c r="D85" s="5" t="s">
        <v>74</v>
      </c>
      <c r="E85" s="5" t="s">
        <v>18</v>
      </c>
      <c r="F85" s="5" t="s">
        <v>188</v>
      </c>
      <c r="G85" s="5" t="s">
        <v>22</v>
      </c>
      <c r="H85" s="15">
        <f>([1]!Table1[[#This Row],[Resolution_Date]]-[1]!Table1[[#This Row],[Submission_Date]])*24</f>
        <v>59.617499999993015</v>
      </c>
      <c r="I85" s="5" t="str">
        <f>TEXT(Table1[[#This Row],[Submission_Date]],"dddd")</f>
        <v>Tuesday</v>
      </c>
      <c r="J85" s="5" t="str">
        <f>TEXT(Table1[[#This Row],[Submission_Date]],"mmm")</f>
        <v>Jul</v>
      </c>
      <c r="K85" s="6">
        <f>HOUR(Table1[[#This Row],[Submission_Date]])</f>
        <v>1</v>
      </c>
    </row>
    <row r="86" spans="1:11" hidden="1" x14ac:dyDescent="0.3">
      <c r="A86" s="4" t="s">
        <v>189</v>
      </c>
      <c r="B86" s="13">
        <v>45844.422962962963</v>
      </c>
      <c r="C86" s="13">
        <v>45849.014386574076</v>
      </c>
      <c r="D86" s="5" t="s">
        <v>14</v>
      </c>
      <c r="E86" s="5" t="s">
        <v>48</v>
      </c>
      <c r="F86" s="5" t="s">
        <v>190</v>
      </c>
      <c r="G86" s="5" t="s">
        <v>22</v>
      </c>
      <c r="H86" s="15">
        <f>([1]!Table1[[#This Row],[Resolution_Date]]-[1]!Table1[[#This Row],[Submission_Date]])*24</f>
        <v>110.19416666671168</v>
      </c>
      <c r="I86" s="5" t="str">
        <f>TEXT(Table1[[#This Row],[Submission_Date]],"dddd")</f>
        <v>Sunday</v>
      </c>
      <c r="J86" s="5" t="str">
        <f>TEXT(Table1[[#This Row],[Submission_Date]],"mmm")</f>
        <v>Jul</v>
      </c>
      <c r="K86" s="6">
        <f>HOUR(Table1[[#This Row],[Submission_Date]])</f>
        <v>10</v>
      </c>
    </row>
    <row r="87" spans="1:11" hidden="1" x14ac:dyDescent="0.3">
      <c r="A87" s="4" t="s">
        <v>191</v>
      </c>
      <c r="B87" s="13">
        <v>45868.183032407411</v>
      </c>
      <c r="C87" s="13">
        <v>45868.547337962962</v>
      </c>
      <c r="D87" s="5" t="s">
        <v>24</v>
      </c>
      <c r="E87" s="5" t="s">
        <v>25</v>
      </c>
      <c r="F87" s="5" t="s">
        <v>192</v>
      </c>
      <c r="G87" s="5" t="s">
        <v>4</v>
      </c>
      <c r="H87" s="15">
        <f>([1]!Table1[[#This Row],[Resolution_Date]]-[1]!Table1[[#This Row],[Submission_Date]])*24</f>
        <v>8.7433333332301117</v>
      </c>
      <c r="I87" s="5" t="str">
        <f>TEXT(Table1[[#This Row],[Submission_Date]],"dddd")</f>
        <v>Wednesday</v>
      </c>
      <c r="J87" s="5" t="str">
        <f>TEXT(Table1[[#This Row],[Submission_Date]],"mmm")</f>
        <v>Jul</v>
      </c>
      <c r="K87" s="6">
        <f>HOUR(Table1[[#This Row],[Submission_Date]])</f>
        <v>4</v>
      </c>
    </row>
    <row r="88" spans="1:11" hidden="1" x14ac:dyDescent="0.3">
      <c r="A88" s="4" t="s">
        <v>193</v>
      </c>
      <c r="B88" s="13">
        <v>45892.221284722225</v>
      </c>
      <c r="C88" s="13">
        <v>45893.692488425928</v>
      </c>
      <c r="D88" s="5" t="s">
        <v>6</v>
      </c>
      <c r="E88" s="5" t="s">
        <v>35</v>
      </c>
      <c r="F88" s="5" t="s">
        <v>194</v>
      </c>
      <c r="G88" s="5" t="s">
        <v>9</v>
      </c>
      <c r="H88" s="15">
        <f>([1]!Table1[[#This Row],[Resolution_Date]]-[1]!Table1[[#This Row],[Submission_Date]])*24</f>
        <v>35.308888888859656</v>
      </c>
      <c r="I88" s="5" t="str">
        <f>TEXT(Table1[[#This Row],[Submission_Date]],"dddd")</f>
        <v>Saturday</v>
      </c>
      <c r="J88" s="5" t="str">
        <f>TEXT(Table1[[#This Row],[Submission_Date]],"mmm")</f>
        <v>Aug</v>
      </c>
      <c r="K88" s="6">
        <f>HOUR(Table1[[#This Row],[Submission_Date]])</f>
        <v>5</v>
      </c>
    </row>
    <row r="89" spans="1:11" hidden="1" x14ac:dyDescent="0.3">
      <c r="A89" s="4" t="s">
        <v>195</v>
      </c>
      <c r="B89" s="13">
        <v>45848.132905092592</v>
      </c>
      <c r="C89" s="13">
        <v>45848.966689814813</v>
      </c>
      <c r="D89" s="5" t="s">
        <v>14</v>
      </c>
      <c r="E89" s="5" t="s">
        <v>11</v>
      </c>
      <c r="F89" s="5" t="s">
        <v>196</v>
      </c>
      <c r="G89" s="5" t="s">
        <v>9</v>
      </c>
      <c r="H89" s="15">
        <f>([1]!Table1[[#This Row],[Resolution_Date]]-[1]!Table1[[#This Row],[Submission_Date]])*24</f>
        <v>20.010833333304618</v>
      </c>
      <c r="I89" s="5" t="str">
        <f>TEXT(Table1[[#This Row],[Submission_Date]],"dddd")</f>
        <v>Thursday</v>
      </c>
      <c r="J89" s="5" t="str">
        <f>TEXT(Table1[[#This Row],[Submission_Date]],"mmm")</f>
        <v>Jul</v>
      </c>
      <c r="K89" s="6">
        <f>HOUR(Table1[[#This Row],[Submission_Date]])</f>
        <v>3</v>
      </c>
    </row>
    <row r="90" spans="1:11" hidden="1" x14ac:dyDescent="0.3">
      <c r="A90" s="4" t="s">
        <v>197</v>
      </c>
      <c r="B90" s="13">
        <v>45912.79074074074</v>
      </c>
      <c r="C90" s="13">
        <v>45914.105543981481</v>
      </c>
      <c r="D90" s="5" t="s">
        <v>6</v>
      </c>
      <c r="E90" s="5" t="s">
        <v>25</v>
      </c>
      <c r="F90" s="5" t="s">
        <v>198</v>
      </c>
      <c r="G90" s="5" t="s">
        <v>9</v>
      </c>
      <c r="H90" s="15">
        <f>([1]!Table1[[#This Row],[Resolution_Date]]-[1]!Table1[[#This Row],[Submission_Date]])*24</f>
        <v>31.555277777777519</v>
      </c>
      <c r="I90" s="5" t="str">
        <f>TEXT(Table1[[#This Row],[Submission_Date]],"dddd")</f>
        <v>Friday</v>
      </c>
      <c r="J90" s="5" t="str">
        <f>TEXT(Table1[[#This Row],[Submission_Date]],"mmm")</f>
        <v>Sep</v>
      </c>
      <c r="K90" s="6">
        <f>HOUR(Table1[[#This Row],[Submission_Date]])</f>
        <v>18</v>
      </c>
    </row>
    <row r="91" spans="1:11" x14ac:dyDescent="0.3">
      <c r="A91" s="4" t="s">
        <v>199</v>
      </c>
      <c r="B91" s="13">
        <v>45902.639421296299</v>
      </c>
      <c r="C91" s="13">
        <v>45908.681620370371</v>
      </c>
      <c r="D91" s="5" t="s">
        <v>6</v>
      </c>
      <c r="E91" s="5" t="s">
        <v>25</v>
      </c>
      <c r="F91" s="5" t="s">
        <v>200</v>
      </c>
      <c r="G91" s="5" t="s">
        <v>22</v>
      </c>
      <c r="H91" s="15">
        <f>([1]!Table1[[#This Row],[Resolution_Date]]-[1]!Table1[[#This Row],[Submission_Date]])*24</f>
        <v>145.01277777773794</v>
      </c>
      <c r="I91" s="5" t="str">
        <f>TEXT(Table1[[#This Row],[Submission_Date]],"dddd")</f>
        <v>Tuesday</v>
      </c>
      <c r="J91" s="5" t="str">
        <f>TEXT(Table1[[#This Row],[Submission_Date]],"mmm")</f>
        <v>Sep</v>
      </c>
      <c r="K91" s="6">
        <f>HOUR(Table1[[#This Row],[Submission_Date]])</f>
        <v>15</v>
      </c>
    </row>
    <row r="92" spans="1:11" hidden="1" x14ac:dyDescent="0.3">
      <c r="A92" s="4" t="s">
        <v>201</v>
      </c>
      <c r="B92" s="13">
        <v>45850.503206018519</v>
      </c>
      <c r="C92" s="13">
        <v>45851.265509259261</v>
      </c>
      <c r="D92" s="5" t="s">
        <v>6</v>
      </c>
      <c r="E92" s="5" t="s">
        <v>2</v>
      </c>
      <c r="F92" s="5" t="s">
        <v>202</v>
      </c>
      <c r="G92" s="5" t="s">
        <v>9</v>
      </c>
      <c r="H92" s="15">
        <f>([1]!Table1[[#This Row],[Resolution_Date]]-[1]!Table1[[#This Row],[Submission_Date]])*24</f>
        <v>18.295277777826414</v>
      </c>
      <c r="I92" s="5" t="str">
        <f>TEXT(Table1[[#This Row],[Submission_Date]],"dddd")</f>
        <v>Saturday</v>
      </c>
      <c r="J92" s="5" t="str">
        <f>TEXT(Table1[[#This Row],[Submission_Date]],"mmm")</f>
        <v>Jul</v>
      </c>
      <c r="K92" s="6">
        <f>HOUR(Table1[[#This Row],[Submission_Date]])</f>
        <v>12</v>
      </c>
    </row>
    <row r="93" spans="1:11" hidden="1" x14ac:dyDescent="0.3">
      <c r="A93" s="4" t="s">
        <v>203</v>
      </c>
      <c r="B93" s="13">
        <v>45875.192164351851</v>
      </c>
      <c r="C93" s="13">
        <v>45881.464594907404</v>
      </c>
      <c r="D93" s="5" t="s">
        <v>6</v>
      </c>
      <c r="E93" s="5" t="s">
        <v>25</v>
      </c>
      <c r="F93" s="5" t="s">
        <v>204</v>
      </c>
      <c r="G93" s="5" t="s">
        <v>22</v>
      </c>
      <c r="H93" s="15">
        <f>([1]!Table1[[#This Row],[Resolution_Date]]-[1]!Table1[[#This Row],[Submission_Date]])*24</f>
        <v>150.53833333327202</v>
      </c>
      <c r="I93" s="5" t="str">
        <f>TEXT(Table1[[#This Row],[Submission_Date]],"dddd")</f>
        <v>Wednesday</v>
      </c>
      <c r="J93" s="5" t="str">
        <f>TEXT(Table1[[#This Row],[Submission_Date]],"mmm")</f>
        <v>Aug</v>
      </c>
      <c r="K93" s="6">
        <f>HOUR(Table1[[#This Row],[Submission_Date]])</f>
        <v>4</v>
      </c>
    </row>
    <row r="94" spans="1:11" hidden="1" x14ac:dyDescent="0.3">
      <c r="A94" s="4" t="s">
        <v>205</v>
      </c>
      <c r="B94" s="13">
        <v>45832.518171296295</v>
      </c>
      <c r="C94" s="13">
        <v>45834.451122685183</v>
      </c>
      <c r="D94" s="5" t="s">
        <v>38</v>
      </c>
      <c r="E94" s="5" t="s">
        <v>15</v>
      </c>
      <c r="F94" s="5" t="s">
        <v>206</v>
      </c>
      <c r="G94" s="5" t="s">
        <v>9</v>
      </c>
      <c r="H94" s="15">
        <f>([1]!Table1[[#This Row],[Resolution_Date]]-[1]!Table1[[#This Row],[Submission_Date]])*24</f>
        <v>46.390833333309274</v>
      </c>
      <c r="I94" s="5" t="str">
        <f>TEXT(Table1[[#This Row],[Submission_Date]],"dddd")</f>
        <v>Tuesday</v>
      </c>
      <c r="J94" s="5" t="str">
        <f>TEXT(Table1[[#This Row],[Submission_Date]],"mmm")</f>
        <v>Jun</v>
      </c>
      <c r="K94" s="6">
        <f>HOUR(Table1[[#This Row],[Submission_Date]])</f>
        <v>12</v>
      </c>
    </row>
    <row r="95" spans="1:11" hidden="1" x14ac:dyDescent="0.3">
      <c r="A95" s="4" t="s">
        <v>207</v>
      </c>
      <c r="B95" s="13">
        <v>45833.894247685188</v>
      </c>
      <c r="C95" s="13">
        <v>45837.297824074078</v>
      </c>
      <c r="D95" s="5" t="s">
        <v>1</v>
      </c>
      <c r="E95" s="5" t="s">
        <v>15</v>
      </c>
      <c r="F95" s="5" t="s">
        <v>208</v>
      </c>
      <c r="G95" s="5" t="s">
        <v>22</v>
      </c>
      <c r="H95" s="15">
        <f>([1]!Table1[[#This Row],[Resolution_Date]]-[1]!Table1[[#This Row],[Submission_Date]])*24</f>
        <v>81.685833333351184</v>
      </c>
      <c r="I95" s="5" t="str">
        <f>TEXT(Table1[[#This Row],[Submission_Date]],"dddd")</f>
        <v>Wednesday</v>
      </c>
      <c r="J95" s="5" t="str">
        <f>TEXT(Table1[[#This Row],[Submission_Date]],"mmm")</f>
        <v>Jun</v>
      </c>
      <c r="K95" s="6">
        <f>HOUR(Table1[[#This Row],[Submission_Date]])</f>
        <v>21</v>
      </c>
    </row>
    <row r="96" spans="1:11" hidden="1" x14ac:dyDescent="0.3">
      <c r="A96" s="4" t="s">
        <v>209</v>
      </c>
      <c r="B96" s="13">
        <v>45863.629641203705</v>
      </c>
      <c r="C96" s="13">
        <v>45868.030023148145</v>
      </c>
      <c r="D96" s="5" t="s">
        <v>24</v>
      </c>
      <c r="E96" s="5" t="s">
        <v>35</v>
      </c>
      <c r="F96" s="5" t="s">
        <v>210</v>
      </c>
      <c r="G96" s="5" t="s">
        <v>22</v>
      </c>
      <c r="H96" s="15">
        <f>([1]!Table1[[#This Row],[Resolution_Date]]-[1]!Table1[[#This Row],[Submission_Date]])*24</f>
        <v>105.60916666657431</v>
      </c>
      <c r="I96" s="5" t="str">
        <f>TEXT(Table1[[#This Row],[Submission_Date]],"dddd")</f>
        <v>Friday</v>
      </c>
      <c r="J96" s="5" t="str">
        <f>TEXT(Table1[[#This Row],[Submission_Date]],"mmm")</f>
        <v>Jul</v>
      </c>
      <c r="K96" s="6">
        <f>HOUR(Table1[[#This Row],[Submission_Date]])</f>
        <v>15</v>
      </c>
    </row>
    <row r="97" spans="1:11" hidden="1" x14ac:dyDescent="0.3">
      <c r="A97" s="4" t="s">
        <v>211</v>
      </c>
      <c r="B97" s="13">
        <v>45863.741307870368</v>
      </c>
      <c r="C97" s="13">
        <v>45864.909259259257</v>
      </c>
      <c r="D97" s="5" t="s">
        <v>1</v>
      </c>
      <c r="E97" s="5" t="s">
        <v>2</v>
      </c>
      <c r="F97" s="5" t="s">
        <v>212</v>
      </c>
      <c r="G97" s="5" t="s">
        <v>9</v>
      </c>
      <c r="H97" s="15">
        <f>([1]!Table1[[#This Row],[Resolution_Date]]-[1]!Table1[[#This Row],[Submission_Date]])*24</f>
        <v>28.030833333323244</v>
      </c>
      <c r="I97" s="5" t="str">
        <f>TEXT(Table1[[#This Row],[Submission_Date]],"dddd")</f>
        <v>Friday</v>
      </c>
      <c r="J97" s="5" t="str">
        <f>TEXT(Table1[[#This Row],[Submission_Date]],"mmm")</f>
        <v>Jul</v>
      </c>
      <c r="K97" s="6">
        <f>HOUR(Table1[[#This Row],[Submission_Date]])</f>
        <v>17</v>
      </c>
    </row>
    <row r="98" spans="1:11" x14ac:dyDescent="0.3">
      <c r="A98" s="4" t="s">
        <v>213</v>
      </c>
      <c r="B98" s="13">
        <v>45881.742881944447</v>
      </c>
      <c r="C98" s="13">
        <v>45883.565509259257</v>
      </c>
      <c r="D98" s="5" t="s">
        <v>24</v>
      </c>
      <c r="E98" s="5" t="s">
        <v>18</v>
      </c>
      <c r="F98" s="5" t="s">
        <v>214</v>
      </c>
      <c r="G98" s="5" t="s">
        <v>22</v>
      </c>
      <c r="H98" s="15">
        <f>([1]!Table1[[#This Row],[Resolution_Date]]-[1]!Table1[[#This Row],[Submission_Date]])*24</f>
        <v>43.743055555445608</v>
      </c>
      <c r="I98" s="5" t="str">
        <f>TEXT(Table1[[#This Row],[Submission_Date]],"dddd")</f>
        <v>Tuesday</v>
      </c>
      <c r="J98" s="5" t="str">
        <f>TEXT(Table1[[#This Row],[Submission_Date]],"mmm")</f>
        <v>Aug</v>
      </c>
      <c r="K98" s="6">
        <f>HOUR(Table1[[#This Row],[Submission_Date]])</f>
        <v>17</v>
      </c>
    </row>
    <row r="99" spans="1:11" hidden="1" x14ac:dyDescent="0.3">
      <c r="A99" s="4" t="s">
        <v>215</v>
      </c>
      <c r="B99" s="13">
        <v>45863.886331018519</v>
      </c>
      <c r="C99" s="13">
        <v>45870.561793981484</v>
      </c>
      <c r="D99" s="5" t="s">
        <v>14</v>
      </c>
      <c r="E99" s="5" t="s">
        <v>25</v>
      </c>
      <c r="F99" s="5" t="s">
        <v>216</v>
      </c>
      <c r="G99" s="5" t="s">
        <v>22</v>
      </c>
      <c r="H99" s="15">
        <f>([1]!Table1[[#This Row],[Resolution_Date]]-[1]!Table1[[#This Row],[Submission_Date]])*24</f>
        <v>160.21111111115897</v>
      </c>
      <c r="I99" s="5" t="str">
        <f>TEXT(Table1[[#This Row],[Submission_Date]],"dddd")</f>
        <v>Friday</v>
      </c>
      <c r="J99" s="5" t="str">
        <f>TEXT(Table1[[#This Row],[Submission_Date]],"mmm")</f>
        <v>Jul</v>
      </c>
      <c r="K99" s="6">
        <f>HOUR(Table1[[#This Row],[Submission_Date]])</f>
        <v>21</v>
      </c>
    </row>
    <row r="100" spans="1:11" hidden="1" x14ac:dyDescent="0.3">
      <c r="A100" s="4" t="s">
        <v>217</v>
      </c>
      <c r="B100" s="13">
        <v>45914.807500000003</v>
      </c>
      <c r="C100" s="13">
        <v>45914.935069444444</v>
      </c>
      <c r="D100" s="5" t="s">
        <v>6</v>
      </c>
      <c r="E100" s="5" t="s">
        <v>7</v>
      </c>
      <c r="F100" s="5" t="s">
        <v>218</v>
      </c>
      <c r="G100" s="5" t="s">
        <v>4</v>
      </c>
      <c r="H100" s="15">
        <f>([1]!Table1[[#This Row],[Resolution_Date]]-[1]!Table1[[#This Row],[Submission_Date]])*24</f>
        <v>3.0616666665882803</v>
      </c>
      <c r="I100" s="5" t="str">
        <f>TEXT(Table1[[#This Row],[Submission_Date]],"dddd")</f>
        <v>Sunday</v>
      </c>
      <c r="J100" s="5" t="str">
        <f>TEXT(Table1[[#This Row],[Submission_Date]],"mmm")</f>
        <v>Sep</v>
      </c>
      <c r="K100" s="6">
        <f>HOUR(Table1[[#This Row],[Submission_Date]])</f>
        <v>19</v>
      </c>
    </row>
    <row r="101" spans="1:11" hidden="1" x14ac:dyDescent="0.3">
      <c r="A101" s="4" t="s">
        <v>219</v>
      </c>
      <c r="B101" s="13">
        <v>45869.010682870372</v>
      </c>
      <c r="C101" s="13">
        <v>45869.377824074072</v>
      </c>
      <c r="D101" s="5" t="s">
        <v>14</v>
      </c>
      <c r="E101" s="5" t="s">
        <v>18</v>
      </c>
      <c r="F101" s="5" t="s">
        <v>220</v>
      </c>
      <c r="G101" s="5" t="s">
        <v>9</v>
      </c>
      <c r="H101" s="15">
        <f>([1]!Table1[[#This Row],[Resolution_Date]]-[1]!Table1[[#This Row],[Submission_Date]])*24</f>
        <v>8.8113888888037764</v>
      </c>
      <c r="I101" s="5" t="str">
        <f>TEXT(Table1[[#This Row],[Submission_Date]],"dddd")</f>
        <v>Thursday</v>
      </c>
      <c r="J101" s="5" t="str">
        <f>TEXT(Table1[[#This Row],[Submission_Date]],"mmm")</f>
        <v>Jul</v>
      </c>
      <c r="K101" s="6">
        <f>HOUR(Table1[[#This Row],[Submission_Date]])</f>
        <v>0</v>
      </c>
    </row>
    <row r="102" spans="1:11" hidden="1" x14ac:dyDescent="0.3">
      <c r="A102" s="4" t="s">
        <v>221</v>
      </c>
      <c r="B102" s="13">
        <v>45886.551203703704</v>
      </c>
      <c r="C102" s="13">
        <v>45886.637384259258</v>
      </c>
      <c r="D102" s="5" t="s">
        <v>6</v>
      </c>
      <c r="E102" s="5" t="s">
        <v>25</v>
      </c>
      <c r="F102" s="5" t="s">
        <v>222</v>
      </c>
      <c r="G102" s="5" t="s">
        <v>108</v>
      </c>
      <c r="H102" s="15">
        <f>([1]!Table1[[#This Row],[Resolution_Date]]-[1]!Table1[[#This Row],[Submission_Date]])*24</f>
        <v>2.0683333332999609</v>
      </c>
      <c r="I102" s="5" t="str">
        <f>TEXT(Table1[[#This Row],[Submission_Date]],"dddd")</f>
        <v>Sunday</v>
      </c>
      <c r="J102" s="5" t="str">
        <f>TEXT(Table1[[#This Row],[Submission_Date]],"mmm")</f>
        <v>Aug</v>
      </c>
      <c r="K102" s="6">
        <f>HOUR(Table1[[#This Row],[Submission_Date]])</f>
        <v>13</v>
      </c>
    </row>
    <row r="103" spans="1:11" hidden="1" x14ac:dyDescent="0.3">
      <c r="A103" s="4" t="s">
        <v>223</v>
      </c>
      <c r="B103" s="13">
        <v>45911.538321759261</v>
      </c>
      <c r="C103" s="13">
        <v>45913.271874999999</v>
      </c>
      <c r="D103" s="5" t="s">
        <v>6</v>
      </c>
      <c r="E103" s="5" t="s">
        <v>35</v>
      </c>
      <c r="F103" s="5" t="s">
        <v>224</v>
      </c>
      <c r="G103" s="5" t="s">
        <v>9</v>
      </c>
      <c r="H103" s="15">
        <f>([1]!Table1[[#This Row],[Resolution_Date]]-[1]!Table1[[#This Row],[Submission_Date]])*24</f>
        <v>41.60527777770767</v>
      </c>
      <c r="I103" s="5" t="str">
        <f>TEXT(Table1[[#This Row],[Submission_Date]],"dddd")</f>
        <v>Thursday</v>
      </c>
      <c r="J103" s="5" t="str">
        <f>TEXT(Table1[[#This Row],[Submission_Date]],"mmm")</f>
        <v>Sep</v>
      </c>
      <c r="K103" s="6">
        <f>HOUR(Table1[[#This Row],[Submission_Date]])</f>
        <v>12</v>
      </c>
    </row>
    <row r="104" spans="1:11" x14ac:dyDescent="0.3">
      <c r="A104" s="4" t="s">
        <v>225</v>
      </c>
      <c r="B104" s="13">
        <v>45839.367592592593</v>
      </c>
      <c r="C104" s="13">
        <v>45840.472719907404</v>
      </c>
      <c r="D104" s="5" t="s">
        <v>1</v>
      </c>
      <c r="E104" s="5" t="s">
        <v>25</v>
      </c>
      <c r="F104" s="5" t="s">
        <v>226</v>
      </c>
      <c r="G104" s="5" t="s">
        <v>22</v>
      </c>
      <c r="H104" s="15">
        <f>([1]!Table1[[#This Row],[Resolution_Date]]-[1]!Table1[[#This Row],[Submission_Date]])*24</f>
        <v>26.523055555473547</v>
      </c>
      <c r="I104" s="5" t="str">
        <f>TEXT(Table1[[#This Row],[Submission_Date]],"dddd")</f>
        <v>Tuesday</v>
      </c>
      <c r="J104" s="5" t="str">
        <f>TEXT(Table1[[#This Row],[Submission_Date]],"mmm")</f>
        <v>Jul</v>
      </c>
      <c r="K104" s="6">
        <f>HOUR(Table1[[#This Row],[Submission_Date]])</f>
        <v>8</v>
      </c>
    </row>
    <row r="105" spans="1:11" hidden="1" x14ac:dyDescent="0.3">
      <c r="A105" s="4" t="s">
        <v>227</v>
      </c>
      <c r="B105" s="13">
        <v>45833.941701388889</v>
      </c>
      <c r="C105" s="13">
        <v>45834.416493055556</v>
      </c>
      <c r="D105" s="5" t="s">
        <v>6</v>
      </c>
      <c r="E105" s="5" t="s">
        <v>48</v>
      </c>
      <c r="F105" s="5" t="s">
        <v>228</v>
      </c>
      <c r="G105" s="5" t="s">
        <v>9</v>
      </c>
      <c r="H105" s="15">
        <f>([1]!Table1[[#This Row],[Resolution_Date]]-[1]!Table1[[#This Row],[Submission_Date]])*24</f>
        <v>11.395000000018626</v>
      </c>
      <c r="I105" s="5" t="str">
        <f>TEXT(Table1[[#This Row],[Submission_Date]],"dddd")</f>
        <v>Wednesday</v>
      </c>
      <c r="J105" s="5" t="str">
        <f>TEXT(Table1[[#This Row],[Submission_Date]],"mmm")</f>
        <v>Jun</v>
      </c>
      <c r="K105" s="6">
        <f>HOUR(Table1[[#This Row],[Submission_Date]])</f>
        <v>22</v>
      </c>
    </row>
    <row r="106" spans="1:11" hidden="1" x14ac:dyDescent="0.3">
      <c r="A106" s="4" t="s">
        <v>229</v>
      </c>
      <c r="B106" s="13">
        <v>45906.263206018521</v>
      </c>
      <c r="C106" s="13">
        <v>45906.441979166666</v>
      </c>
      <c r="D106" s="5" t="s">
        <v>74</v>
      </c>
      <c r="E106" s="5" t="s">
        <v>48</v>
      </c>
      <c r="F106" s="5" t="s">
        <v>230</v>
      </c>
      <c r="G106" s="5" t="s">
        <v>4</v>
      </c>
      <c r="H106" s="15">
        <f>([1]!Table1[[#This Row],[Resolution_Date]]-[1]!Table1[[#This Row],[Submission_Date]])*24</f>
        <v>4.2905555554898456</v>
      </c>
      <c r="I106" s="5" t="str">
        <f>TEXT(Table1[[#This Row],[Submission_Date]],"dddd")</f>
        <v>Saturday</v>
      </c>
      <c r="J106" s="5" t="str">
        <f>TEXT(Table1[[#This Row],[Submission_Date]],"mmm")</f>
        <v>Sep</v>
      </c>
      <c r="K106" s="6">
        <f>HOUR(Table1[[#This Row],[Submission_Date]])</f>
        <v>6</v>
      </c>
    </row>
    <row r="107" spans="1:11" hidden="1" x14ac:dyDescent="0.3">
      <c r="A107" s="4" t="s">
        <v>231</v>
      </c>
      <c r="B107" s="13">
        <v>45872.281319444446</v>
      </c>
      <c r="C107" s="13">
        <v>45874.695416666669</v>
      </c>
      <c r="D107" s="5" t="s">
        <v>38</v>
      </c>
      <c r="E107" s="5" t="s">
        <v>39</v>
      </c>
      <c r="F107" s="5" t="s">
        <v>232</v>
      </c>
      <c r="G107" s="5" t="s">
        <v>22</v>
      </c>
      <c r="H107" s="15">
        <f>([1]!Table1[[#This Row],[Resolution_Date]]-[1]!Table1[[#This Row],[Submission_Date]])*24</f>
        <v>57.938333333353512</v>
      </c>
      <c r="I107" s="5" t="str">
        <f>TEXT(Table1[[#This Row],[Submission_Date]],"dddd")</f>
        <v>Sunday</v>
      </c>
      <c r="J107" s="5" t="str">
        <f>TEXT(Table1[[#This Row],[Submission_Date]],"mmm")</f>
        <v>Aug</v>
      </c>
      <c r="K107" s="6">
        <f>HOUR(Table1[[#This Row],[Submission_Date]])</f>
        <v>6</v>
      </c>
    </row>
    <row r="108" spans="1:11" hidden="1" x14ac:dyDescent="0.3">
      <c r="A108" s="4" t="s">
        <v>233</v>
      </c>
      <c r="B108" s="13">
        <v>45886.512523148151</v>
      </c>
      <c r="C108" s="13">
        <v>45887.770567129628</v>
      </c>
      <c r="D108" s="5" t="s">
        <v>74</v>
      </c>
      <c r="E108" s="5" t="s">
        <v>11</v>
      </c>
      <c r="F108" s="5" t="s">
        <v>234</v>
      </c>
      <c r="G108" s="5" t="s">
        <v>9</v>
      </c>
      <c r="H108" s="15">
        <f>([1]!Table1[[#This Row],[Resolution_Date]]-[1]!Table1[[#This Row],[Submission_Date]])*24</f>
        <v>30.193055555457249</v>
      </c>
      <c r="I108" s="5" t="str">
        <f>TEXT(Table1[[#This Row],[Submission_Date]],"dddd")</f>
        <v>Sunday</v>
      </c>
      <c r="J108" s="5" t="str">
        <f>TEXT(Table1[[#This Row],[Submission_Date]],"mmm")</f>
        <v>Aug</v>
      </c>
      <c r="K108" s="6">
        <f>HOUR(Table1[[#This Row],[Submission_Date]])</f>
        <v>12</v>
      </c>
    </row>
    <row r="109" spans="1:11" hidden="1" x14ac:dyDescent="0.3">
      <c r="A109" s="4" t="s">
        <v>235</v>
      </c>
      <c r="B109" s="13">
        <v>45866.620972222219</v>
      </c>
      <c r="C109" s="13">
        <v>45869.341099537036</v>
      </c>
      <c r="D109" s="5" t="s">
        <v>14</v>
      </c>
      <c r="E109" s="5" t="s">
        <v>7</v>
      </c>
      <c r="F109" s="5" t="s">
        <v>236</v>
      </c>
      <c r="G109" s="5" t="s">
        <v>22</v>
      </c>
      <c r="H109" s="15">
        <f>([1]!Table1[[#This Row],[Resolution_Date]]-[1]!Table1[[#This Row],[Submission_Date]])*24</f>
        <v>65.283055555599276</v>
      </c>
      <c r="I109" s="5" t="str">
        <f>TEXT(Table1[[#This Row],[Submission_Date]],"dddd")</f>
        <v>Monday</v>
      </c>
      <c r="J109" s="5" t="str">
        <f>TEXT(Table1[[#This Row],[Submission_Date]],"mmm")</f>
        <v>Jul</v>
      </c>
      <c r="K109" s="6">
        <f>HOUR(Table1[[#This Row],[Submission_Date]])</f>
        <v>14</v>
      </c>
    </row>
    <row r="110" spans="1:11" hidden="1" x14ac:dyDescent="0.3">
      <c r="A110" s="4" t="s">
        <v>237</v>
      </c>
      <c r="B110" s="13">
        <v>45850.289988425924</v>
      </c>
      <c r="C110" s="13">
        <v>45850.497442129628</v>
      </c>
      <c r="D110" s="5" t="s">
        <v>14</v>
      </c>
      <c r="E110" s="5" t="s">
        <v>11</v>
      </c>
      <c r="F110" s="5" t="s">
        <v>238</v>
      </c>
      <c r="G110" s="5" t="s">
        <v>4</v>
      </c>
      <c r="H110" s="15">
        <f>([1]!Table1[[#This Row],[Resolution_Date]]-[1]!Table1[[#This Row],[Submission_Date]])*24</f>
        <v>4.9788888889015652</v>
      </c>
      <c r="I110" s="5" t="str">
        <f>TEXT(Table1[[#This Row],[Submission_Date]],"dddd")</f>
        <v>Saturday</v>
      </c>
      <c r="J110" s="5" t="str">
        <f>TEXT(Table1[[#This Row],[Submission_Date]],"mmm")</f>
        <v>Jul</v>
      </c>
      <c r="K110" s="6">
        <f>HOUR(Table1[[#This Row],[Submission_Date]])</f>
        <v>6</v>
      </c>
    </row>
    <row r="111" spans="1:11" hidden="1" x14ac:dyDescent="0.3">
      <c r="A111" s="4" t="s">
        <v>239</v>
      </c>
      <c r="B111" s="13">
        <v>45851.016817129632</v>
      </c>
      <c r="C111" s="13">
        <v>45857.933738425927</v>
      </c>
      <c r="D111" s="5" t="s">
        <v>6</v>
      </c>
      <c r="E111" s="5" t="s">
        <v>11</v>
      </c>
      <c r="F111" s="5" t="s">
        <v>240</v>
      </c>
      <c r="G111" s="5" t="s">
        <v>22</v>
      </c>
      <c r="H111" s="15">
        <f>([1]!Table1[[#This Row],[Resolution_Date]]-[1]!Table1[[#This Row],[Submission_Date]])*24</f>
        <v>166.00611111108446</v>
      </c>
      <c r="I111" s="5" t="str">
        <f>TEXT(Table1[[#This Row],[Submission_Date]],"dddd")</f>
        <v>Sunday</v>
      </c>
      <c r="J111" s="5" t="str">
        <f>TEXT(Table1[[#This Row],[Submission_Date]],"mmm")</f>
        <v>Jul</v>
      </c>
      <c r="K111" s="6">
        <f>HOUR(Table1[[#This Row],[Submission_Date]])</f>
        <v>0</v>
      </c>
    </row>
    <row r="112" spans="1:11" hidden="1" x14ac:dyDescent="0.3">
      <c r="A112" s="4" t="s">
        <v>241</v>
      </c>
      <c r="B112" s="13">
        <v>45852.247499999998</v>
      </c>
      <c r="C112" s="13">
        <v>45852.524895833332</v>
      </c>
      <c r="D112" s="5" t="s">
        <v>24</v>
      </c>
      <c r="E112" s="5" t="s">
        <v>35</v>
      </c>
      <c r="F112" s="5" t="s">
        <v>242</v>
      </c>
      <c r="G112" s="5" t="s">
        <v>4</v>
      </c>
      <c r="H112" s="15">
        <f>([1]!Table1[[#This Row],[Resolution_Date]]-[1]!Table1[[#This Row],[Submission_Date]])*24</f>
        <v>6.657500000030268</v>
      </c>
      <c r="I112" s="5" t="str">
        <f>TEXT(Table1[[#This Row],[Submission_Date]],"dddd")</f>
        <v>Monday</v>
      </c>
      <c r="J112" s="5" t="str">
        <f>TEXT(Table1[[#This Row],[Submission_Date]],"mmm")</f>
        <v>Jul</v>
      </c>
      <c r="K112" s="6">
        <f>HOUR(Table1[[#This Row],[Submission_Date]])</f>
        <v>5</v>
      </c>
    </row>
    <row r="113" spans="1:11" hidden="1" x14ac:dyDescent="0.3">
      <c r="A113" s="4" t="s">
        <v>243</v>
      </c>
      <c r="B113" s="13">
        <v>45897.479108796295</v>
      </c>
      <c r="C113" s="13">
        <v>45904.44458333333</v>
      </c>
      <c r="D113" s="5" t="s">
        <v>6</v>
      </c>
      <c r="E113" s="5" t="s">
        <v>11</v>
      </c>
      <c r="F113" s="5" t="s">
        <v>244</v>
      </c>
      <c r="G113" s="5" t="s">
        <v>22</v>
      </c>
      <c r="H113" s="15">
        <f>([1]!Table1[[#This Row],[Resolution_Date]]-[1]!Table1[[#This Row],[Submission_Date]])*24</f>
        <v>167.17138888884801</v>
      </c>
      <c r="I113" s="5" t="str">
        <f>TEXT(Table1[[#This Row],[Submission_Date]],"dddd")</f>
        <v>Thursday</v>
      </c>
      <c r="J113" s="5" t="str">
        <f>TEXT(Table1[[#This Row],[Submission_Date]],"mmm")</f>
        <v>Aug</v>
      </c>
      <c r="K113" s="6">
        <f>HOUR(Table1[[#This Row],[Submission_Date]])</f>
        <v>11</v>
      </c>
    </row>
    <row r="114" spans="1:11" hidden="1" x14ac:dyDescent="0.3">
      <c r="A114" s="4" t="s">
        <v>245</v>
      </c>
      <c r="B114" s="13">
        <v>45897.334849537037</v>
      </c>
      <c r="C114" s="13">
        <v>45902.195092592592</v>
      </c>
      <c r="D114" s="5" t="s">
        <v>53</v>
      </c>
      <c r="E114" s="5" t="s">
        <v>7</v>
      </c>
      <c r="F114" s="5" t="s">
        <v>246</v>
      </c>
      <c r="G114" s="5" t="s">
        <v>22</v>
      </c>
      <c r="H114" s="15">
        <f>([1]!Table1[[#This Row],[Resolution_Date]]-[1]!Table1[[#This Row],[Submission_Date]])*24</f>
        <v>116.64583333331393</v>
      </c>
      <c r="I114" s="5" t="str">
        <f>TEXT(Table1[[#This Row],[Submission_Date]],"dddd")</f>
        <v>Thursday</v>
      </c>
      <c r="J114" s="5" t="str">
        <f>TEXT(Table1[[#This Row],[Submission_Date]],"mmm")</f>
        <v>Aug</v>
      </c>
      <c r="K114" s="6">
        <f>HOUR(Table1[[#This Row],[Submission_Date]])</f>
        <v>8</v>
      </c>
    </row>
    <row r="115" spans="1:11" hidden="1" x14ac:dyDescent="0.3">
      <c r="A115" s="4" t="s">
        <v>247</v>
      </c>
      <c r="B115" s="13">
        <v>45889.472083333334</v>
      </c>
      <c r="C115" s="13">
        <v>45889.563599537039</v>
      </c>
      <c r="D115" s="5" t="s">
        <v>14</v>
      </c>
      <c r="E115" s="5" t="s">
        <v>15</v>
      </c>
      <c r="F115" s="5" t="s">
        <v>248</v>
      </c>
      <c r="G115" s="5" t="s">
        <v>4</v>
      </c>
      <c r="H115" s="15">
        <f>([1]!Table1[[#This Row],[Resolution_Date]]-[1]!Table1[[#This Row],[Submission_Date]])*24</f>
        <v>2.1963888889295049</v>
      </c>
      <c r="I115" s="5" t="str">
        <f>TEXT(Table1[[#This Row],[Submission_Date]],"dddd")</f>
        <v>Wednesday</v>
      </c>
      <c r="J115" s="5" t="str">
        <f>TEXT(Table1[[#This Row],[Submission_Date]],"mmm")</f>
        <v>Aug</v>
      </c>
      <c r="K115" s="6">
        <f>HOUR(Table1[[#This Row],[Submission_Date]])</f>
        <v>11</v>
      </c>
    </row>
    <row r="116" spans="1:11" hidden="1" x14ac:dyDescent="0.3">
      <c r="A116" s="4" t="s">
        <v>249</v>
      </c>
      <c r="B116" s="13">
        <v>45834.277256944442</v>
      </c>
      <c r="C116" s="13">
        <v>45834.880185185182</v>
      </c>
      <c r="D116" s="5" t="s">
        <v>1</v>
      </c>
      <c r="E116" s="5" t="s">
        <v>18</v>
      </c>
      <c r="F116" s="5" t="s">
        <v>250</v>
      </c>
      <c r="G116" s="5" t="s">
        <v>9</v>
      </c>
      <c r="H116" s="15">
        <f>([1]!Table1[[#This Row],[Resolution_Date]]-[1]!Table1[[#This Row],[Submission_Date]])*24</f>
        <v>14.470277777756564</v>
      </c>
      <c r="I116" s="5" t="str">
        <f>TEXT(Table1[[#This Row],[Submission_Date]],"dddd")</f>
        <v>Thursday</v>
      </c>
      <c r="J116" s="5" t="str">
        <f>TEXT(Table1[[#This Row],[Submission_Date]],"mmm")</f>
        <v>Jun</v>
      </c>
      <c r="K116" s="6">
        <f>HOUR(Table1[[#This Row],[Submission_Date]])</f>
        <v>6</v>
      </c>
    </row>
    <row r="117" spans="1:11" hidden="1" x14ac:dyDescent="0.3">
      <c r="A117" s="4" t="s">
        <v>251</v>
      </c>
      <c r="B117" s="13">
        <v>45904.001585648148</v>
      </c>
      <c r="C117" s="13">
        <v>45908.743611111109</v>
      </c>
      <c r="D117" s="5" t="s">
        <v>24</v>
      </c>
      <c r="E117" s="5" t="s">
        <v>48</v>
      </c>
      <c r="F117" s="5" t="s">
        <v>252</v>
      </c>
      <c r="G117" s="5" t="s">
        <v>22</v>
      </c>
      <c r="H117" s="15">
        <f>([1]!Table1[[#This Row],[Resolution_Date]]-[1]!Table1[[#This Row],[Submission_Date]])*24</f>
        <v>113.80861111107515</v>
      </c>
      <c r="I117" s="5" t="str">
        <f>TEXT(Table1[[#This Row],[Submission_Date]],"dddd")</f>
        <v>Thursday</v>
      </c>
      <c r="J117" s="5" t="str">
        <f>TEXT(Table1[[#This Row],[Submission_Date]],"mmm")</f>
        <v>Sep</v>
      </c>
      <c r="K117" s="6">
        <f>HOUR(Table1[[#This Row],[Submission_Date]])</f>
        <v>0</v>
      </c>
    </row>
    <row r="118" spans="1:11" hidden="1" x14ac:dyDescent="0.3">
      <c r="A118" s="4" t="s">
        <v>253</v>
      </c>
      <c r="B118" s="13">
        <v>45852.14534722222</v>
      </c>
      <c r="C118" s="13">
        <v>45853.493287037039</v>
      </c>
      <c r="D118" s="5" t="s">
        <v>6</v>
      </c>
      <c r="E118" s="5" t="s">
        <v>11</v>
      </c>
      <c r="F118" s="5" t="s">
        <v>254</v>
      </c>
      <c r="G118" s="5" t="s">
        <v>9</v>
      </c>
      <c r="H118" s="15">
        <f>([1]!Table1[[#This Row],[Resolution_Date]]-[1]!Table1[[#This Row],[Submission_Date]])*24</f>
        <v>32.35055555566214</v>
      </c>
      <c r="I118" s="5" t="str">
        <f>TEXT(Table1[[#This Row],[Submission_Date]],"dddd")</f>
        <v>Monday</v>
      </c>
      <c r="J118" s="5" t="str">
        <f>TEXT(Table1[[#This Row],[Submission_Date]],"mmm")</f>
        <v>Jul</v>
      </c>
      <c r="K118" s="6">
        <f>HOUR(Table1[[#This Row],[Submission_Date]])</f>
        <v>3</v>
      </c>
    </row>
    <row r="119" spans="1:11" hidden="1" x14ac:dyDescent="0.3">
      <c r="A119" s="4" t="s">
        <v>255</v>
      </c>
      <c r="B119" s="13">
        <v>45862.277812499997</v>
      </c>
      <c r="C119" s="13">
        <v>45864.096365740741</v>
      </c>
      <c r="D119" s="5" t="s">
        <v>24</v>
      </c>
      <c r="E119" s="5" t="s">
        <v>39</v>
      </c>
      <c r="F119" s="5" t="s">
        <v>256</v>
      </c>
      <c r="G119" s="5" t="s">
        <v>9</v>
      </c>
      <c r="H119" s="15">
        <f>([1]!Table1[[#This Row],[Resolution_Date]]-[1]!Table1[[#This Row],[Submission_Date]])*24</f>
        <v>43.645277777861338</v>
      </c>
      <c r="I119" s="5" t="str">
        <f>TEXT(Table1[[#This Row],[Submission_Date]],"dddd")</f>
        <v>Thursday</v>
      </c>
      <c r="J119" s="5" t="str">
        <f>TEXT(Table1[[#This Row],[Submission_Date]],"mmm")</f>
        <v>Jul</v>
      </c>
      <c r="K119" s="6">
        <f>HOUR(Table1[[#This Row],[Submission_Date]])</f>
        <v>6</v>
      </c>
    </row>
    <row r="120" spans="1:11" hidden="1" x14ac:dyDescent="0.3">
      <c r="A120" s="4" t="s">
        <v>257</v>
      </c>
      <c r="B120" s="13">
        <v>45872.946099537039</v>
      </c>
      <c r="C120" s="13">
        <v>45879.541631944441</v>
      </c>
      <c r="D120" s="5" t="s">
        <v>74</v>
      </c>
      <c r="E120" s="5" t="s">
        <v>25</v>
      </c>
      <c r="F120" s="5" t="s">
        <v>258</v>
      </c>
      <c r="G120" s="5" t="s">
        <v>22</v>
      </c>
      <c r="H120" s="15">
        <f>([1]!Table1[[#This Row],[Resolution_Date]]-[1]!Table1[[#This Row],[Submission_Date]])*24</f>
        <v>158.29277777764946</v>
      </c>
      <c r="I120" s="5" t="str">
        <f>TEXT(Table1[[#This Row],[Submission_Date]],"dddd")</f>
        <v>Sunday</v>
      </c>
      <c r="J120" s="5" t="str">
        <f>TEXT(Table1[[#This Row],[Submission_Date]],"mmm")</f>
        <v>Aug</v>
      </c>
      <c r="K120" s="6">
        <f>HOUR(Table1[[#This Row],[Submission_Date]])</f>
        <v>22</v>
      </c>
    </row>
    <row r="121" spans="1:11" hidden="1" x14ac:dyDescent="0.3">
      <c r="A121" s="4" t="s">
        <v>259</v>
      </c>
      <c r="B121" s="13">
        <v>45850.010810185187</v>
      </c>
      <c r="C121" s="13">
        <v>45850.795335648145</v>
      </c>
      <c r="D121" s="5" t="s">
        <v>14</v>
      </c>
      <c r="E121" s="5" t="s">
        <v>7</v>
      </c>
      <c r="F121" s="5" t="s">
        <v>260</v>
      </c>
      <c r="G121" s="5" t="s">
        <v>9</v>
      </c>
      <c r="H121" s="15">
        <f>([1]!Table1[[#This Row],[Resolution_Date]]-[1]!Table1[[#This Row],[Submission_Date]])*24</f>
        <v>18.828611110977363</v>
      </c>
      <c r="I121" s="5" t="str">
        <f>TEXT(Table1[[#This Row],[Submission_Date]],"dddd")</f>
        <v>Saturday</v>
      </c>
      <c r="J121" s="5" t="str">
        <f>TEXT(Table1[[#This Row],[Submission_Date]],"mmm")</f>
        <v>Jul</v>
      </c>
      <c r="K121" s="6">
        <f>HOUR(Table1[[#This Row],[Submission_Date]])</f>
        <v>0</v>
      </c>
    </row>
    <row r="122" spans="1:11" hidden="1" x14ac:dyDescent="0.3">
      <c r="A122" s="4" t="s">
        <v>261</v>
      </c>
      <c r="B122" s="13">
        <v>45857.543310185189</v>
      </c>
      <c r="C122" s="13">
        <v>45858.309293981481</v>
      </c>
      <c r="D122" s="5" t="s">
        <v>1</v>
      </c>
      <c r="E122" s="5" t="s">
        <v>18</v>
      </c>
      <c r="F122" s="5" t="s">
        <v>262</v>
      </c>
      <c r="G122" s="5" t="s">
        <v>9</v>
      </c>
      <c r="H122" s="15">
        <f>([1]!Table1[[#This Row],[Resolution_Date]]-[1]!Table1[[#This Row],[Submission_Date]])*24</f>
        <v>18.383611111028586</v>
      </c>
      <c r="I122" s="5" t="str">
        <f>TEXT(Table1[[#This Row],[Submission_Date]],"dddd")</f>
        <v>Saturday</v>
      </c>
      <c r="J122" s="5" t="str">
        <f>TEXT(Table1[[#This Row],[Submission_Date]],"mmm")</f>
        <v>Jul</v>
      </c>
      <c r="K122" s="6">
        <f>HOUR(Table1[[#This Row],[Submission_Date]])</f>
        <v>13</v>
      </c>
    </row>
    <row r="123" spans="1:11" hidden="1" x14ac:dyDescent="0.3">
      <c r="A123" s="4" t="s">
        <v>263</v>
      </c>
      <c r="B123" s="13">
        <v>45837.839236111111</v>
      </c>
      <c r="C123" s="13">
        <v>45838.438692129632</v>
      </c>
      <c r="D123" s="5" t="s">
        <v>24</v>
      </c>
      <c r="E123" s="5" t="s">
        <v>35</v>
      </c>
      <c r="F123" s="5" t="s">
        <v>264</v>
      </c>
      <c r="G123" s="5" t="s">
        <v>9</v>
      </c>
      <c r="H123" s="15">
        <f>([1]!Table1[[#This Row],[Resolution_Date]]-[1]!Table1[[#This Row],[Submission_Date]])*24</f>
        <v>14.386944444500841</v>
      </c>
      <c r="I123" s="5" t="str">
        <f>TEXT(Table1[[#This Row],[Submission_Date]],"dddd")</f>
        <v>Sunday</v>
      </c>
      <c r="J123" s="5" t="str">
        <f>TEXT(Table1[[#This Row],[Submission_Date]],"mmm")</f>
        <v>Jun</v>
      </c>
      <c r="K123" s="6">
        <f>HOUR(Table1[[#This Row],[Submission_Date]])</f>
        <v>20</v>
      </c>
    </row>
    <row r="124" spans="1:11" hidden="1" x14ac:dyDescent="0.3">
      <c r="A124" s="4" t="s">
        <v>265</v>
      </c>
      <c r="B124" s="13">
        <v>45867.618252314816</v>
      </c>
      <c r="C124" s="13">
        <v>45868.392222222225</v>
      </c>
      <c r="D124" s="5" t="s">
        <v>6</v>
      </c>
      <c r="E124" s="5" t="s">
        <v>2</v>
      </c>
      <c r="F124" s="5" t="s">
        <v>266</v>
      </c>
      <c r="G124" s="5" t="s">
        <v>9</v>
      </c>
      <c r="H124" s="15">
        <f>([1]!Table1[[#This Row],[Resolution_Date]]-[1]!Table1[[#This Row],[Submission_Date]])*24</f>
        <v>18.575277777796146</v>
      </c>
      <c r="I124" s="5" t="str">
        <f>TEXT(Table1[[#This Row],[Submission_Date]],"dddd")</f>
        <v>Tuesday</v>
      </c>
      <c r="J124" s="5" t="str">
        <f>TEXT(Table1[[#This Row],[Submission_Date]],"mmm")</f>
        <v>Jul</v>
      </c>
      <c r="K124" s="6">
        <f>HOUR(Table1[[#This Row],[Submission_Date]])</f>
        <v>14</v>
      </c>
    </row>
    <row r="125" spans="1:11" hidden="1" x14ac:dyDescent="0.3">
      <c r="A125" s="4" t="s">
        <v>267</v>
      </c>
      <c r="B125" s="13">
        <v>45888.049664351849</v>
      </c>
      <c r="C125" s="13">
        <v>45889.796215277776</v>
      </c>
      <c r="D125" s="5" t="s">
        <v>38</v>
      </c>
      <c r="E125" s="5" t="s">
        <v>7</v>
      </c>
      <c r="F125" s="5" t="s">
        <v>268</v>
      </c>
      <c r="G125" s="5" t="s">
        <v>9</v>
      </c>
      <c r="H125" s="15">
        <f>([1]!Table1[[#This Row],[Resolution_Date]]-[1]!Table1[[#This Row],[Submission_Date]])*24</f>
        <v>41.917222222255077</v>
      </c>
      <c r="I125" s="5" t="str">
        <f>TEXT(Table1[[#This Row],[Submission_Date]],"dddd")</f>
        <v>Tuesday</v>
      </c>
      <c r="J125" s="5" t="str">
        <f>TEXT(Table1[[#This Row],[Submission_Date]],"mmm")</f>
        <v>Aug</v>
      </c>
      <c r="K125" s="6">
        <f>HOUR(Table1[[#This Row],[Submission_Date]])</f>
        <v>1</v>
      </c>
    </row>
    <row r="126" spans="1:11" hidden="1" x14ac:dyDescent="0.3">
      <c r="A126" s="4" t="s">
        <v>269</v>
      </c>
      <c r="B126" s="13">
        <v>45833.252766203703</v>
      </c>
      <c r="C126" s="13">
        <v>45833.782326388886</v>
      </c>
      <c r="D126" s="5" t="s">
        <v>74</v>
      </c>
      <c r="E126" s="5" t="s">
        <v>48</v>
      </c>
      <c r="F126" s="5" t="s">
        <v>270</v>
      </c>
      <c r="G126" s="5" t="s">
        <v>9</v>
      </c>
      <c r="H126" s="15">
        <f>([1]!Table1[[#This Row],[Resolution_Date]]-[1]!Table1[[#This Row],[Submission_Date]])*24</f>
        <v>12.709444444393739</v>
      </c>
      <c r="I126" s="5" t="str">
        <f>TEXT(Table1[[#This Row],[Submission_Date]],"dddd")</f>
        <v>Wednesday</v>
      </c>
      <c r="J126" s="5" t="str">
        <f>TEXT(Table1[[#This Row],[Submission_Date]],"mmm")</f>
        <v>Jun</v>
      </c>
      <c r="K126" s="6">
        <f>HOUR(Table1[[#This Row],[Submission_Date]])</f>
        <v>6</v>
      </c>
    </row>
    <row r="127" spans="1:11" hidden="1" x14ac:dyDescent="0.3">
      <c r="A127" s="4" t="s">
        <v>271</v>
      </c>
      <c r="B127" s="13">
        <v>45871.769421296296</v>
      </c>
      <c r="C127" s="13">
        <v>45872.507893518516</v>
      </c>
      <c r="D127" s="5" t="s">
        <v>74</v>
      </c>
      <c r="E127" s="5" t="s">
        <v>15</v>
      </c>
      <c r="F127" s="5" t="s">
        <v>272</v>
      </c>
      <c r="G127" s="5" t="s">
        <v>9</v>
      </c>
      <c r="H127" s="15">
        <f>([1]!Table1[[#This Row],[Resolution_Date]]-[1]!Table1[[#This Row],[Submission_Date]])*24</f>
        <v>17.723333333269693</v>
      </c>
      <c r="I127" s="5" t="str">
        <f>TEXT(Table1[[#This Row],[Submission_Date]],"dddd")</f>
        <v>Saturday</v>
      </c>
      <c r="J127" s="5" t="str">
        <f>TEXT(Table1[[#This Row],[Submission_Date]],"mmm")</f>
        <v>Aug</v>
      </c>
      <c r="K127" s="6">
        <f>HOUR(Table1[[#This Row],[Submission_Date]])</f>
        <v>18</v>
      </c>
    </row>
    <row r="128" spans="1:11" x14ac:dyDescent="0.3">
      <c r="A128" s="4" t="s">
        <v>273</v>
      </c>
      <c r="B128" s="13">
        <v>45895.015775462962</v>
      </c>
      <c r="C128" s="13">
        <v>45898.961597222224</v>
      </c>
      <c r="D128" s="5" t="s">
        <v>14</v>
      </c>
      <c r="E128" s="5" t="s">
        <v>25</v>
      </c>
      <c r="F128" s="5" t="s">
        <v>274</v>
      </c>
      <c r="G128" s="5" t="s">
        <v>22</v>
      </c>
      <c r="H128" s="15">
        <f>([1]!Table1[[#This Row],[Resolution_Date]]-[1]!Table1[[#This Row],[Submission_Date]])*24</f>
        <v>94.699722222285345</v>
      </c>
      <c r="I128" s="5" t="str">
        <f>TEXT(Table1[[#This Row],[Submission_Date]],"dddd")</f>
        <v>Tuesday</v>
      </c>
      <c r="J128" s="5" t="str">
        <f>TEXT(Table1[[#This Row],[Submission_Date]],"mmm")</f>
        <v>Aug</v>
      </c>
      <c r="K128" s="6">
        <f>HOUR(Table1[[#This Row],[Submission_Date]])</f>
        <v>0</v>
      </c>
    </row>
    <row r="129" spans="1:11" hidden="1" x14ac:dyDescent="0.3">
      <c r="A129" s="4" t="s">
        <v>275</v>
      </c>
      <c r="B129" s="13">
        <v>45855.641192129631</v>
      </c>
      <c r="C129" s="13">
        <v>45860.058009259257</v>
      </c>
      <c r="D129" s="5" t="s">
        <v>6</v>
      </c>
      <c r="E129" s="5" t="s">
        <v>48</v>
      </c>
      <c r="F129" s="5" t="s">
        <v>276</v>
      </c>
      <c r="G129" s="5" t="s">
        <v>22</v>
      </c>
      <c r="H129" s="15">
        <f>([1]!Table1[[#This Row],[Resolution_Date]]-[1]!Table1[[#This Row],[Submission_Date]])*24</f>
        <v>106.00361111102393</v>
      </c>
      <c r="I129" s="5" t="str">
        <f>TEXT(Table1[[#This Row],[Submission_Date]],"dddd")</f>
        <v>Thursday</v>
      </c>
      <c r="J129" s="5" t="str">
        <f>TEXT(Table1[[#This Row],[Submission_Date]],"mmm")</f>
        <v>Jul</v>
      </c>
      <c r="K129" s="6">
        <f>HOUR(Table1[[#This Row],[Submission_Date]])</f>
        <v>15</v>
      </c>
    </row>
    <row r="130" spans="1:11" hidden="1" x14ac:dyDescent="0.3">
      <c r="A130" s="4" t="s">
        <v>277</v>
      </c>
      <c r="B130" s="13">
        <v>45909.709814814814</v>
      </c>
      <c r="C130" s="13">
        <v>45910.054594907408</v>
      </c>
      <c r="D130" s="5" t="s">
        <v>38</v>
      </c>
      <c r="E130" s="5" t="s">
        <v>11</v>
      </c>
      <c r="F130" s="5" t="s">
        <v>278</v>
      </c>
      <c r="G130" s="5" t="s">
        <v>4</v>
      </c>
      <c r="H130" s="15">
        <f>([1]!Table1[[#This Row],[Resolution_Date]]-[1]!Table1[[#This Row],[Submission_Date]])*24</f>
        <v>8.2747222222387791</v>
      </c>
      <c r="I130" s="5" t="str">
        <f>TEXT(Table1[[#This Row],[Submission_Date]],"dddd")</f>
        <v>Tuesday</v>
      </c>
      <c r="J130" s="5" t="str">
        <f>TEXT(Table1[[#This Row],[Submission_Date]],"mmm")</f>
        <v>Sep</v>
      </c>
      <c r="K130" s="6">
        <f>HOUR(Table1[[#This Row],[Submission_Date]])</f>
        <v>17</v>
      </c>
    </row>
    <row r="131" spans="1:11" hidden="1" x14ac:dyDescent="0.3">
      <c r="A131" s="4" t="s">
        <v>279</v>
      </c>
      <c r="B131" s="13">
        <v>45906.729386574072</v>
      </c>
      <c r="C131" s="13">
        <v>45908.672974537039</v>
      </c>
      <c r="D131" s="5" t="s">
        <v>1</v>
      </c>
      <c r="E131" s="5" t="s">
        <v>7</v>
      </c>
      <c r="F131" s="5" t="s">
        <v>280</v>
      </c>
      <c r="G131" s="5" t="s">
        <v>9</v>
      </c>
      <c r="H131" s="15">
        <f>([1]!Table1[[#This Row],[Resolution_Date]]-[1]!Table1[[#This Row],[Submission_Date]])*24</f>
        <v>46.64611111121485</v>
      </c>
      <c r="I131" s="5" t="str">
        <f>TEXT(Table1[[#This Row],[Submission_Date]],"dddd")</f>
        <v>Saturday</v>
      </c>
      <c r="J131" s="5" t="str">
        <f>TEXT(Table1[[#This Row],[Submission_Date]],"mmm")</f>
        <v>Sep</v>
      </c>
      <c r="K131" s="6">
        <f>HOUR(Table1[[#This Row],[Submission_Date]])</f>
        <v>17</v>
      </c>
    </row>
    <row r="132" spans="1:11" hidden="1" x14ac:dyDescent="0.3">
      <c r="A132" s="4" t="s">
        <v>281</v>
      </c>
      <c r="B132" s="13">
        <v>45910.871018518519</v>
      </c>
      <c r="C132" s="13">
        <v>45912.692476851851</v>
      </c>
      <c r="D132" s="5" t="s">
        <v>74</v>
      </c>
      <c r="E132" s="5" t="s">
        <v>28</v>
      </c>
      <c r="F132" s="5" t="s">
        <v>282</v>
      </c>
      <c r="G132" s="5" t="s">
        <v>22</v>
      </c>
      <c r="H132" s="15">
        <f>([1]!Table1[[#This Row],[Resolution_Date]]-[1]!Table1[[#This Row],[Submission_Date]])*24</f>
        <v>43.714999999967404</v>
      </c>
      <c r="I132" s="5" t="str">
        <f>TEXT(Table1[[#This Row],[Submission_Date]],"dddd")</f>
        <v>Wednesday</v>
      </c>
      <c r="J132" s="5" t="str">
        <f>TEXT(Table1[[#This Row],[Submission_Date]],"mmm")</f>
        <v>Sep</v>
      </c>
      <c r="K132" s="6">
        <f>HOUR(Table1[[#This Row],[Submission_Date]])</f>
        <v>20</v>
      </c>
    </row>
    <row r="133" spans="1:11" hidden="1" x14ac:dyDescent="0.3">
      <c r="A133" s="4" t="s">
        <v>283</v>
      </c>
      <c r="B133" s="13">
        <v>45879.520752314813</v>
      </c>
      <c r="C133" s="13">
        <v>45883.389236111114</v>
      </c>
      <c r="D133" s="5" t="s">
        <v>74</v>
      </c>
      <c r="E133" s="5" t="s">
        <v>11</v>
      </c>
      <c r="F133" s="5" t="s">
        <v>284</v>
      </c>
      <c r="G133" s="5" t="s">
        <v>22</v>
      </c>
      <c r="H133" s="15">
        <f>([1]!Table1[[#This Row],[Resolution_Date]]-[1]!Table1[[#This Row],[Submission_Date]])*24</f>
        <v>92.843611111224163</v>
      </c>
      <c r="I133" s="5" t="str">
        <f>TEXT(Table1[[#This Row],[Submission_Date]],"dddd")</f>
        <v>Sunday</v>
      </c>
      <c r="J133" s="5" t="str">
        <f>TEXT(Table1[[#This Row],[Submission_Date]],"mmm")</f>
        <v>Aug</v>
      </c>
      <c r="K133" s="6">
        <f>HOUR(Table1[[#This Row],[Submission_Date]])</f>
        <v>12</v>
      </c>
    </row>
    <row r="134" spans="1:11" hidden="1" x14ac:dyDescent="0.3">
      <c r="A134" s="4" t="s">
        <v>285</v>
      </c>
      <c r="B134" s="13">
        <v>45907.109918981485</v>
      </c>
      <c r="C134" s="13">
        <v>45910.587372685186</v>
      </c>
      <c r="D134" s="5" t="s">
        <v>1</v>
      </c>
      <c r="E134" s="5" t="s">
        <v>35</v>
      </c>
      <c r="F134" s="5" t="s">
        <v>286</v>
      </c>
      <c r="G134" s="5" t="s">
        <v>22</v>
      </c>
      <c r="H134" s="15">
        <f>([1]!Table1[[#This Row],[Resolution_Date]]-[1]!Table1[[#This Row],[Submission_Date]])*24</f>
        <v>83.458888888824731</v>
      </c>
      <c r="I134" s="5" t="str">
        <f>TEXT(Table1[[#This Row],[Submission_Date]],"dddd")</f>
        <v>Sunday</v>
      </c>
      <c r="J134" s="5" t="str">
        <f>TEXT(Table1[[#This Row],[Submission_Date]],"mmm")</f>
        <v>Sep</v>
      </c>
      <c r="K134" s="6">
        <f>HOUR(Table1[[#This Row],[Submission_Date]])</f>
        <v>2</v>
      </c>
    </row>
    <row r="135" spans="1:11" hidden="1" x14ac:dyDescent="0.3">
      <c r="A135" s="4" t="s">
        <v>287</v>
      </c>
      <c r="B135" s="13">
        <v>45859.296689814815</v>
      </c>
      <c r="C135" s="13">
        <v>45859.711956018517</v>
      </c>
      <c r="D135" s="5" t="s">
        <v>24</v>
      </c>
      <c r="E135" s="5" t="s">
        <v>15</v>
      </c>
      <c r="F135" s="5" t="s">
        <v>288</v>
      </c>
      <c r="G135" s="5" t="s">
        <v>4</v>
      </c>
      <c r="H135" s="15">
        <f>([1]!Table1[[#This Row],[Resolution_Date]]-[1]!Table1[[#This Row],[Submission_Date]])*24</f>
        <v>9.966388888831716</v>
      </c>
      <c r="I135" s="5" t="str">
        <f>TEXT(Table1[[#This Row],[Submission_Date]],"dddd")</f>
        <v>Monday</v>
      </c>
      <c r="J135" s="5" t="str">
        <f>TEXT(Table1[[#This Row],[Submission_Date]],"mmm")</f>
        <v>Jul</v>
      </c>
      <c r="K135" s="6">
        <f>HOUR(Table1[[#This Row],[Submission_Date]])</f>
        <v>7</v>
      </c>
    </row>
    <row r="136" spans="1:11" hidden="1" x14ac:dyDescent="0.3">
      <c r="A136" s="4" t="s">
        <v>289</v>
      </c>
      <c r="B136" s="13">
        <v>45884.043634259258</v>
      </c>
      <c r="C136" s="13">
        <v>45891.026828703703</v>
      </c>
      <c r="D136" s="5" t="s">
        <v>1</v>
      </c>
      <c r="E136" s="5" t="s">
        <v>25</v>
      </c>
      <c r="F136" s="5" t="s">
        <v>290</v>
      </c>
      <c r="G136" s="5" t="s">
        <v>22</v>
      </c>
      <c r="H136" s="15">
        <f>([1]!Table1[[#This Row],[Resolution_Date]]-[1]!Table1[[#This Row],[Submission_Date]])*24</f>
        <v>167.59666666667908</v>
      </c>
      <c r="I136" s="5" t="str">
        <f>TEXT(Table1[[#This Row],[Submission_Date]],"dddd")</f>
        <v>Friday</v>
      </c>
      <c r="J136" s="5" t="str">
        <f>TEXT(Table1[[#This Row],[Submission_Date]],"mmm")</f>
        <v>Aug</v>
      </c>
      <c r="K136" s="6">
        <f>HOUR(Table1[[#This Row],[Submission_Date]])</f>
        <v>1</v>
      </c>
    </row>
    <row r="137" spans="1:11" x14ac:dyDescent="0.3">
      <c r="A137" s="4" t="s">
        <v>291</v>
      </c>
      <c r="B137" s="13">
        <v>45832.248078703706</v>
      </c>
      <c r="C137" s="13">
        <v>45837.032083333332</v>
      </c>
      <c r="D137" s="5" t="s">
        <v>53</v>
      </c>
      <c r="E137" s="5" t="s">
        <v>28</v>
      </c>
      <c r="F137" s="5" t="s">
        <v>292</v>
      </c>
      <c r="G137" s="5" t="s">
        <v>22</v>
      </c>
      <c r="H137" s="15">
        <f>([1]!Table1[[#This Row],[Resolution_Date]]-[1]!Table1[[#This Row],[Submission_Date]])*24</f>
        <v>114.81611111102393</v>
      </c>
      <c r="I137" s="5" t="str">
        <f>TEXT(Table1[[#This Row],[Submission_Date]],"dddd")</f>
        <v>Tuesday</v>
      </c>
      <c r="J137" s="5" t="str">
        <f>TEXT(Table1[[#This Row],[Submission_Date]],"mmm")</f>
        <v>Jun</v>
      </c>
      <c r="K137" s="6">
        <f>HOUR(Table1[[#This Row],[Submission_Date]])</f>
        <v>5</v>
      </c>
    </row>
    <row r="138" spans="1:11" hidden="1" x14ac:dyDescent="0.3">
      <c r="A138" s="4" t="s">
        <v>293</v>
      </c>
      <c r="B138" s="13">
        <v>45914.743206018517</v>
      </c>
      <c r="C138" s="13">
        <v>45917.99119212963</v>
      </c>
      <c r="D138" s="5" t="s">
        <v>14</v>
      </c>
      <c r="E138" s="5" t="s">
        <v>28</v>
      </c>
      <c r="F138" s="5" t="s">
        <v>294</v>
      </c>
      <c r="G138" s="5" t="s">
        <v>22</v>
      </c>
      <c r="H138" s="15">
        <f>([1]!Table1[[#This Row],[Resolution_Date]]-[1]!Table1[[#This Row],[Submission_Date]])*24</f>
        <v>77.951666666718666</v>
      </c>
      <c r="I138" s="5" t="str">
        <f>TEXT(Table1[[#This Row],[Submission_Date]],"dddd")</f>
        <v>Sunday</v>
      </c>
      <c r="J138" s="5" t="str">
        <f>TEXT(Table1[[#This Row],[Submission_Date]],"mmm")</f>
        <v>Sep</v>
      </c>
      <c r="K138" s="6">
        <f>HOUR(Table1[[#This Row],[Submission_Date]])</f>
        <v>17</v>
      </c>
    </row>
    <row r="139" spans="1:11" hidden="1" x14ac:dyDescent="0.3">
      <c r="A139" s="4" t="s">
        <v>295</v>
      </c>
      <c r="B139" s="13">
        <v>45837.385127314818</v>
      </c>
      <c r="C139" s="13">
        <v>45838.970034722224</v>
      </c>
      <c r="D139" s="5" t="s">
        <v>14</v>
      </c>
      <c r="E139" s="5" t="s">
        <v>7</v>
      </c>
      <c r="F139" s="5" t="s">
        <v>296</v>
      </c>
      <c r="G139" s="5" t="s">
        <v>22</v>
      </c>
      <c r="H139" s="15">
        <f>([1]!Table1[[#This Row],[Resolution_Date]]-[1]!Table1[[#This Row],[Submission_Date]])*24</f>
        <v>38.037777777761221</v>
      </c>
      <c r="I139" s="5" t="str">
        <f>TEXT(Table1[[#This Row],[Submission_Date]],"dddd")</f>
        <v>Sunday</v>
      </c>
      <c r="J139" s="5" t="str">
        <f>TEXT(Table1[[#This Row],[Submission_Date]],"mmm")</f>
        <v>Jun</v>
      </c>
      <c r="K139" s="6">
        <f>HOUR(Table1[[#This Row],[Submission_Date]])</f>
        <v>9</v>
      </c>
    </row>
    <row r="140" spans="1:11" hidden="1" x14ac:dyDescent="0.3">
      <c r="A140" s="4" t="s">
        <v>297</v>
      </c>
      <c r="B140" s="13">
        <v>45888.557476851849</v>
      </c>
      <c r="C140" s="13">
        <v>45889.528587962966</v>
      </c>
      <c r="D140" s="5" t="s">
        <v>6</v>
      </c>
      <c r="E140" s="5" t="s">
        <v>2</v>
      </c>
      <c r="F140" s="5" t="s">
        <v>298</v>
      </c>
      <c r="G140" s="5" t="s">
        <v>9</v>
      </c>
      <c r="H140" s="15">
        <f>([1]!Table1[[#This Row],[Resolution_Date]]-[1]!Table1[[#This Row],[Submission_Date]])*24</f>
        <v>23.306666666816454</v>
      </c>
      <c r="I140" s="5" t="str">
        <f>TEXT(Table1[[#This Row],[Submission_Date]],"dddd")</f>
        <v>Tuesday</v>
      </c>
      <c r="J140" s="5" t="str">
        <f>TEXT(Table1[[#This Row],[Submission_Date]],"mmm")</f>
        <v>Aug</v>
      </c>
      <c r="K140" s="6">
        <f>HOUR(Table1[[#This Row],[Submission_Date]])</f>
        <v>13</v>
      </c>
    </row>
    <row r="141" spans="1:11" hidden="1" x14ac:dyDescent="0.3">
      <c r="A141" s="4" t="s">
        <v>299</v>
      </c>
      <c r="B141" s="13">
        <v>45890.610335648147</v>
      </c>
      <c r="C141" s="13">
        <v>45896.433831018519</v>
      </c>
      <c r="D141" s="5" t="s">
        <v>38</v>
      </c>
      <c r="E141" s="5" t="s">
        <v>28</v>
      </c>
      <c r="F141" s="5" t="s">
        <v>300</v>
      </c>
      <c r="G141" s="5" t="s">
        <v>22</v>
      </c>
      <c r="H141" s="15">
        <f>([1]!Table1[[#This Row],[Resolution_Date]]-[1]!Table1[[#This Row],[Submission_Date]])*24</f>
        <v>139.76388888893416</v>
      </c>
      <c r="I141" s="5" t="str">
        <f>TEXT(Table1[[#This Row],[Submission_Date]],"dddd")</f>
        <v>Thursday</v>
      </c>
      <c r="J141" s="5" t="str">
        <f>TEXT(Table1[[#This Row],[Submission_Date]],"mmm")</f>
        <v>Aug</v>
      </c>
      <c r="K141" s="6">
        <f>HOUR(Table1[[#This Row],[Submission_Date]])</f>
        <v>14</v>
      </c>
    </row>
    <row r="142" spans="1:11" hidden="1" x14ac:dyDescent="0.3">
      <c r="A142" s="4" t="s">
        <v>301</v>
      </c>
      <c r="B142" s="13">
        <v>45874.456967592596</v>
      </c>
      <c r="C142" s="13">
        <v>45875.076863425929</v>
      </c>
      <c r="D142" s="5" t="s">
        <v>14</v>
      </c>
      <c r="E142" s="5" t="s">
        <v>39</v>
      </c>
      <c r="F142" s="5" t="s">
        <v>302</v>
      </c>
      <c r="G142" s="5" t="s">
        <v>9</v>
      </c>
      <c r="H142" s="15">
        <f>([1]!Table1[[#This Row],[Resolution_Date]]-[1]!Table1[[#This Row],[Submission_Date]])*24</f>
        <v>14.877500000002328</v>
      </c>
      <c r="I142" s="5" t="str">
        <f>TEXT(Table1[[#This Row],[Submission_Date]],"dddd")</f>
        <v>Tuesday</v>
      </c>
      <c r="J142" s="5" t="str">
        <f>TEXT(Table1[[#This Row],[Submission_Date]],"mmm")</f>
        <v>Aug</v>
      </c>
      <c r="K142" s="6">
        <f>HOUR(Table1[[#This Row],[Submission_Date]])</f>
        <v>10</v>
      </c>
    </row>
    <row r="143" spans="1:11" hidden="1" x14ac:dyDescent="0.3">
      <c r="A143" s="4" t="s">
        <v>303</v>
      </c>
      <c r="B143" s="13">
        <v>45887.431979166664</v>
      </c>
      <c r="C143" s="13">
        <v>45887.968171296299</v>
      </c>
      <c r="D143" s="5" t="s">
        <v>14</v>
      </c>
      <c r="E143" s="5" t="s">
        <v>2</v>
      </c>
      <c r="F143" s="5" t="s">
        <v>304</v>
      </c>
      <c r="G143" s="5" t="s">
        <v>9</v>
      </c>
      <c r="H143" s="15">
        <f>([1]!Table1[[#This Row],[Resolution_Date]]-[1]!Table1[[#This Row],[Submission_Date]])*24</f>
        <v>12.868611111247446</v>
      </c>
      <c r="I143" s="5" t="str">
        <f>TEXT(Table1[[#This Row],[Submission_Date]],"dddd")</f>
        <v>Monday</v>
      </c>
      <c r="J143" s="5" t="str">
        <f>TEXT(Table1[[#This Row],[Submission_Date]],"mmm")</f>
        <v>Aug</v>
      </c>
      <c r="K143" s="6">
        <f>HOUR(Table1[[#This Row],[Submission_Date]])</f>
        <v>10</v>
      </c>
    </row>
    <row r="144" spans="1:11" hidden="1" x14ac:dyDescent="0.3">
      <c r="A144" s="4" t="s">
        <v>305</v>
      </c>
      <c r="B144" s="13">
        <v>45913.681006944447</v>
      </c>
      <c r="C144" s="13">
        <v>45914.899062500001</v>
      </c>
      <c r="D144" s="5" t="s">
        <v>38</v>
      </c>
      <c r="E144" s="5" t="s">
        <v>18</v>
      </c>
      <c r="F144" s="5" t="s">
        <v>306</v>
      </c>
      <c r="G144" s="5" t="s">
        <v>9</v>
      </c>
      <c r="H144" s="15">
        <f>([1]!Table1[[#This Row],[Resolution_Date]]-[1]!Table1[[#This Row],[Submission_Date]])*24</f>
        <v>29.233333333279006</v>
      </c>
      <c r="I144" s="5" t="str">
        <f>TEXT(Table1[[#This Row],[Submission_Date]],"dddd")</f>
        <v>Saturday</v>
      </c>
      <c r="J144" s="5" t="str">
        <f>TEXT(Table1[[#This Row],[Submission_Date]],"mmm")</f>
        <v>Sep</v>
      </c>
      <c r="K144" s="6">
        <f>HOUR(Table1[[#This Row],[Submission_Date]])</f>
        <v>16</v>
      </c>
    </row>
    <row r="145" spans="1:11" hidden="1" x14ac:dyDescent="0.3">
      <c r="A145" s="4" t="s">
        <v>307</v>
      </c>
      <c r="B145" s="13">
        <v>45872.284386574072</v>
      </c>
      <c r="C145" s="13">
        <v>45875.951122685183</v>
      </c>
      <c r="D145" s="5" t="s">
        <v>14</v>
      </c>
      <c r="E145" s="5" t="s">
        <v>15</v>
      </c>
      <c r="F145" s="5" t="s">
        <v>308</v>
      </c>
      <c r="G145" s="5" t="s">
        <v>22</v>
      </c>
      <c r="H145" s="15">
        <f>([1]!Table1[[#This Row],[Resolution_Date]]-[1]!Table1[[#This Row],[Submission_Date]])*24</f>
        <v>88.001666666648816</v>
      </c>
      <c r="I145" s="5" t="str">
        <f>TEXT(Table1[[#This Row],[Submission_Date]],"dddd")</f>
        <v>Sunday</v>
      </c>
      <c r="J145" s="5" t="str">
        <f>TEXT(Table1[[#This Row],[Submission_Date]],"mmm")</f>
        <v>Aug</v>
      </c>
      <c r="K145" s="6">
        <f>HOUR(Table1[[#This Row],[Submission_Date]])</f>
        <v>6</v>
      </c>
    </row>
    <row r="146" spans="1:11" hidden="1" x14ac:dyDescent="0.3">
      <c r="A146" s="4" t="s">
        <v>309</v>
      </c>
      <c r="B146" s="13">
        <v>45835.128009259257</v>
      </c>
      <c r="C146" s="13">
        <v>45835.637569444443</v>
      </c>
      <c r="D146" s="5" t="s">
        <v>6</v>
      </c>
      <c r="E146" s="5" t="s">
        <v>39</v>
      </c>
      <c r="F146" s="5" t="s">
        <v>310</v>
      </c>
      <c r="G146" s="5" t="s">
        <v>9</v>
      </c>
      <c r="H146" s="15">
        <f>([1]!Table1[[#This Row],[Resolution_Date]]-[1]!Table1[[#This Row],[Submission_Date]])*24</f>
        <v>12.229444444470573</v>
      </c>
      <c r="I146" s="5" t="str">
        <f>TEXT(Table1[[#This Row],[Submission_Date]],"dddd")</f>
        <v>Friday</v>
      </c>
      <c r="J146" s="5" t="str">
        <f>TEXT(Table1[[#This Row],[Submission_Date]],"mmm")</f>
        <v>Jun</v>
      </c>
      <c r="K146" s="6">
        <f>HOUR(Table1[[#This Row],[Submission_Date]])</f>
        <v>3</v>
      </c>
    </row>
    <row r="147" spans="1:11" hidden="1" x14ac:dyDescent="0.3">
      <c r="A147" s="4" t="s">
        <v>311</v>
      </c>
      <c r="B147" s="13">
        <v>45900.659479166665</v>
      </c>
      <c r="C147" s="13">
        <v>45900.743217592593</v>
      </c>
      <c r="D147" s="5" t="s">
        <v>74</v>
      </c>
      <c r="E147" s="5" t="s">
        <v>15</v>
      </c>
      <c r="F147" s="5" t="s">
        <v>312</v>
      </c>
      <c r="G147" s="5" t="s">
        <v>108</v>
      </c>
      <c r="H147" s="15">
        <f>([1]!Table1[[#This Row],[Resolution_Date]]-[1]!Table1[[#This Row],[Submission_Date]])*24</f>
        <v>2.0097222222830169</v>
      </c>
      <c r="I147" s="5" t="str">
        <f>TEXT(Table1[[#This Row],[Submission_Date]],"dddd")</f>
        <v>Sunday</v>
      </c>
      <c r="J147" s="5" t="str">
        <f>TEXT(Table1[[#This Row],[Submission_Date]],"mmm")</f>
        <v>Aug</v>
      </c>
      <c r="K147" s="6">
        <f>HOUR(Table1[[#This Row],[Submission_Date]])</f>
        <v>15</v>
      </c>
    </row>
    <row r="148" spans="1:11" hidden="1" x14ac:dyDescent="0.3">
      <c r="A148" s="4" t="s">
        <v>313</v>
      </c>
      <c r="B148" s="13">
        <v>45832.4606712963</v>
      </c>
      <c r="C148" s="13">
        <v>45832.787719907406</v>
      </c>
      <c r="D148" s="5" t="s">
        <v>38</v>
      </c>
      <c r="E148" s="5" t="s">
        <v>28</v>
      </c>
      <c r="F148" s="5" t="s">
        <v>314</v>
      </c>
      <c r="G148" s="5" t="s">
        <v>4</v>
      </c>
      <c r="H148" s="15">
        <f>([1]!Table1[[#This Row],[Resolution_Date]]-[1]!Table1[[#This Row],[Submission_Date]])*24</f>
        <v>7.8491666665649973</v>
      </c>
      <c r="I148" s="5" t="str">
        <f>TEXT(Table1[[#This Row],[Submission_Date]],"dddd")</f>
        <v>Tuesday</v>
      </c>
      <c r="J148" s="5" t="str">
        <f>TEXT(Table1[[#This Row],[Submission_Date]],"mmm")</f>
        <v>Jun</v>
      </c>
      <c r="K148" s="6">
        <f>HOUR(Table1[[#This Row],[Submission_Date]])</f>
        <v>11</v>
      </c>
    </row>
    <row r="149" spans="1:11" x14ac:dyDescent="0.3">
      <c r="A149" s="4" t="s">
        <v>315</v>
      </c>
      <c r="B149" s="13">
        <v>45902.706041666665</v>
      </c>
      <c r="C149" s="13">
        <v>45906.209131944444</v>
      </c>
      <c r="D149" s="5" t="s">
        <v>53</v>
      </c>
      <c r="E149" s="5" t="s">
        <v>15</v>
      </c>
      <c r="F149" s="5" t="s">
        <v>316</v>
      </c>
      <c r="G149" s="5" t="s">
        <v>22</v>
      </c>
      <c r="H149" s="15">
        <f>([1]!Table1[[#This Row],[Resolution_Date]]-[1]!Table1[[#This Row],[Submission_Date]])*24</f>
        <v>84.074166666716337</v>
      </c>
      <c r="I149" s="5" t="str">
        <f>TEXT(Table1[[#This Row],[Submission_Date]],"dddd")</f>
        <v>Tuesday</v>
      </c>
      <c r="J149" s="5" t="str">
        <f>TEXT(Table1[[#This Row],[Submission_Date]],"mmm")</f>
        <v>Sep</v>
      </c>
      <c r="K149" s="6">
        <f>HOUR(Table1[[#This Row],[Submission_Date]])</f>
        <v>16</v>
      </c>
    </row>
    <row r="150" spans="1:11" hidden="1" x14ac:dyDescent="0.3">
      <c r="A150" s="4" t="s">
        <v>317</v>
      </c>
      <c r="B150" s="13">
        <v>45854.598773148151</v>
      </c>
      <c r="C150" s="13">
        <v>45855.701527777775</v>
      </c>
      <c r="D150" s="5" t="s">
        <v>1</v>
      </c>
      <c r="E150" s="5" t="s">
        <v>35</v>
      </c>
      <c r="F150" s="5" t="s">
        <v>318</v>
      </c>
      <c r="G150" s="5" t="s">
        <v>9</v>
      </c>
      <c r="H150" s="15">
        <f>([1]!Table1[[#This Row],[Resolution_Date]]-[1]!Table1[[#This Row],[Submission_Date]])*24</f>
        <v>26.466111110989004</v>
      </c>
      <c r="I150" s="5" t="str">
        <f>TEXT(Table1[[#This Row],[Submission_Date]],"dddd")</f>
        <v>Wednesday</v>
      </c>
      <c r="J150" s="5" t="str">
        <f>TEXT(Table1[[#This Row],[Submission_Date]],"mmm")</f>
        <v>Jul</v>
      </c>
      <c r="K150" s="6">
        <f>HOUR(Table1[[#This Row],[Submission_Date]])</f>
        <v>14</v>
      </c>
    </row>
    <row r="151" spans="1:11" hidden="1" x14ac:dyDescent="0.3">
      <c r="A151" s="8" t="s">
        <v>319</v>
      </c>
      <c r="B151" s="14">
        <v>45869.175451388888</v>
      </c>
      <c r="C151" s="14">
        <v>45870.175983796296</v>
      </c>
      <c r="D151" s="9" t="s">
        <v>14</v>
      </c>
      <c r="E151" s="9" t="s">
        <v>2</v>
      </c>
      <c r="F151" s="9" t="s">
        <v>320</v>
      </c>
      <c r="G151" s="9" t="s">
        <v>9</v>
      </c>
      <c r="H151" s="16">
        <f>([1]!Table1[[#This Row],[Resolution_Date]]-[1]!Table1[[#This Row],[Submission_Date]])*24</f>
        <v>24.012777777796146</v>
      </c>
      <c r="I151" s="9" t="str">
        <f>TEXT(Table1[[#This Row],[Submission_Date]],"dddd")</f>
        <v>Thursday</v>
      </c>
      <c r="J151" s="9" t="str">
        <f>TEXT(Table1[[#This Row],[Submission_Date]],"mmm")</f>
        <v>Jul</v>
      </c>
      <c r="K151" s="10">
        <f>HOUR(Table1[[#This Row],[Submission_Date]])</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A633-BA70-4A4D-9811-336A201AD57A}">
  <dimension ref="A4:B59"/>
  <sheetViews>
    <sheetView workbookViewId="0">
      <selection activeCell="L12" sqref="L12"/>
    </sheetView>
  </sheetViews>
  <sheetFormatPr defaultRowHeight="14.4" x14ac:dyDescent="0.3"/>
  <cols>
    <col min="1" max="1" width="10.77734375" bestFit="1" customWidth="1"/>
    <col min="2" max="2" width="16.44140625" bestFit="1" customWidth="1"/>
  </cols>
  <sheetData>
    <row r="4" spans="1:2" x14ac:dyDescent="0.3">
      <c r="A4" s="17" t="s">
        <v>321</v>
      </c>
      <c r="B4" t="s">
        <v>334</v>
      </c>
    </row>
    <row r="5" spans="1:2" x14ac:dyDescent="0.3">
      <c r="A5" s="18" t="s">
        <v>335</v>
      </c>
      <c r="B5" s="19">
        <v>19</v>
      </c>
    </row>
    <row r="6" spans="1:2" x14ac:dyDescent="0.3">
      <c r="A6" s="18" t="s">
        <v>336</v>
      </c>
      <c r="B6" s="19">
        <v>22</v>
      </c>
    </row>
    <row r="7" spans="1:2" x14ac:dyDescent="0.3">
      <c r="A7" s="18" t="s">
        <v>337</v>
      </c>
      <c r="B7" s="19">
        <v>24</v>
      </c>
    </row>
    <row r="8" spans="1:2" x14ac:dyDescent="0.3">
      <c r="A8" s="18" t="s">
        <v>338</v>
      </c>
      <c r="B8" s="19">
        <v>23</v>
      </c>
    </row>
    <row r="9" spans="1:2" x14ac:dyDescent="0.3">
      <c r="A9" s="18" t="s">
        <v>339</v>
      </c>
      <c r="B9" s="19">
        <v>16</v>
      </c>
    </row>
    <row r="10" spans="1:2" x14ac:dyDescent="0.3">
      <c r="A10" s="18" t="s">
        <v>340</v>
      </c>
      <c r="B10" s="19">
        <v>20</v>
      </c>
    </row>
    <row r="11" spans="1:2" x14ac:dyDescent="0.3">
      <c r="A11" s="18" t="s">
        <v>341</v>
      </c>
      <c r="B11" s="19">
        <v>26</v>
      </c>
    </row>
    <row r="12" spans="1:2" x14ac:dyDescent="0.3">
      <c r="A12" s="18" t="s">
        <v>333</v>
      </c>
      <c r="B12" s="19">
        <v>150</v>
      </c>
    </row>
    <row r="19" spans="1:2" x14ac:dyDescent="0.3">
      <c r="A19" s="17" t="s">
        <v>321</v>
      </c>
      <c r="B19" t="s">
        <v>334</v>
      </c>
    </row>
    <row r="20" spans="1:2" x14ac:dyDescent="0.3">
      <c r="A20" s="18" t="s">
        <v>342</v>
      </c>
      <c r="B20" s="19">
        <v>27</v>
      </c>
    </row>
    <row r="21" spans="1:2" x14ac:dyDescent="0.3">
      <c r="A21" s="18" t="s">
        <v>343</v>
      </c>
      <c r="B21" s="19">
        <v>51</v>
      </c>
    </row>
    <row r="22" spans="1:2" x14ac:dyDescent="0.3">
      <c r="A22" s="18" t="s">
        <v>344</v>
      </c>
      <c r="B22" s="19">
        <v>45</v>
      </c>
    </row>
    <row r="23" spans="1:2" x14ac:dyDescent="0.3">
      <c r="A23" s="18" t="s">
        <v>345</v>
      </c>
      <c r="B23" s="19">
        <v>27</v>
      </c>
    </row>
    <row r="24" spans="1:2" x14ac:dyDescent="0.3">
      <c r="A24" s="18" t="s">
        <v>333</v>
      </c>
      <c r="B24" s="19">
        <v>150</v>
      </c>
    </row>
    <row r="34" spans="1:2" x14ac:dyDescent="0.3">
      <c r="A34" s="17" t="s">
        <v>321</v>
      </c>
      <c r="B34" t="s">
        <v>334</v>
      </c>
    </row>
    <row r="35" spans="1:2" x14ac:dyDescent="0.3">
      <c r="A35" s="18">
        <v>0</v>
      </c>
      <c r="B35" s="19">
        <v>9</v>
      </c>
    </row>
    <row r="36" spans="1:2" x14ac:dyDescent="0.3">
      <c r="A36" s="18">
        <v>1</v>
      </c>
      <c r="B36" s="19">
        <v>6</v>
      </c>
    </row>
    <row r="37" spans="1:2" x14ac:dyDescent="0.3">
      <c r="A37" s="18">
        <v>2</v>
      </c>
      <c r="B37" s="19">
        <v>4</v>
      </c>
    </row>
    <row r="38" spans="1:2" x14ac:dyDescent="0.3">
      <c r="A38" s="18">
        <v>3</v>
      </c>
      <c r="B38" s="19">
        <v>6</v>
      </c>
    </row>
    <row r="39" spans="1:2" x14ac:dyDescent="0.3">
      <c r="A39" s="18">
        <v>4</v>
      </c>
      <c r="B39" s="19">
        <v>3</v>
      </c>
    </row>
    <row r="40" spans="1:2" x14ac:dyDescent="0.3">
      <c r="A40" s="18">
        <v>5</v>
      </c>
      <c r="B40" s="19">
        <v>6</v>
      </c>
    </row>
    <row r="41" spans="1:2" x14ac:dyDescent="0.3">
      <c r="A41" s="18">
        <v>6</v>
      </c>
      <c r="B41" s="19">
        <v>9</v>
      </c>
    </row>
    <row r="42" spans="1:2" x14ac:dyDescent="0.3">
      <c r="A42" s="18">
        <v>7</v>
      </c>
      <c r="B42" s="19">
        <v>6</v>
      </c>
    </row>
    <row r="43" spans="1:2" x14ac:dyDescent="0.3">
      <c r="A43" s="18">
        <v>8</v>
      </c>
      <c r="B43" s="19">
        <v>5</v>
      </c>
    </row>
    <row r="44" spans="1:2" x14ac:dyDescent="0.3">
      <c r="A44" s="18">
        <v>9</v>
      </c>
      <c r="B44" s="19">
        <v>6</v>
      </c>
    </row>
    <row r="45" spans="1:2" x14ac:dyDescent="0.3">
      <c r="A45" s="18">
        <v>10</v>
      </c>
      <c r="B45" s="19">
        <v>6</v>
      </c>
    </row>
    <row r="46" spans="1:2" x14ac:dyDescent="0.3">
      <c r="A46" s="18">
        <v>11</v>
      </c>
      <c r="B46" s="19">
        <v>7</v>
      </c>
    </row>
    <row r="47" spans="1:2" x14ac:dyDescent="0.3">
      <c r="A47" s="18">
        <v>12</v>
      </c>
      <c r="B47" s="19">
        <v>7</v>
      </c>
    </row>
    <row r="48" spans="1:2" x14ac:dyDescent="0.3">
      <c r="A48" s="18">
        <v>13</v>
      </c>
      <c r="B48" s="19">
        <v>7</v>
      </c>
    </row>
    <row r="49" spans="1:2" x14ac:dyDescent="0.3">
      <c r="A49" s="18">
        <v>14</v>
      </c>
      <c r="B49" s="19">
        <v>5</v>
      </c>
    </row>
    <row r="50" spans="1:2" x14ac:dyDescent="0.3">
      <c r="A50" s="18">
        <v>15</v>
      </c>
      <c r="B50" s="19">
        <v>6</v>
      </c>
    </row>
    <row r="51" spans="1:2" x14ac:dyDescent="0.3">
      <c r="A51" s="18">
        <v>16</v>
      </c>
      <c r="B51" s="19">
        <v>7</v>
      </c>
    </row>
    <row r="52" spans="1:2" x14ac:dyDescent="0.3">
      <c r="A52" s="18">
        <v>17</v>
      </c>
      <c r="B52" s="19">
        <v>9</v>
      </c>
    </row>
    <row r="53" spans="1:2" x14ac:dyDescent="0.3">
      <c r="A53" s="18">
        <v>18</v>
      </c>
      <c r="B53" s="19">
        <v>4</v>
      </c>
    </row>
    <row r="54" spans="1:2" x14ac:dyDescent="0.3">
      <c r="A54" s="18">
        <v>19</v>
      </c>
      <c r="B54" s="19">
        <v>7</v>
      </c>
    </row>
    <row r="55" spans="1:2" x14ac:dyDescent="0.3">
      <c r="A55" s="18">
        <v>20</v>
      </c>
      <c r="B55" s="19">
        <v>8</v>
      </c>
    </row>
    <row r="56" spans="1:2" x14ac:dyDescent="0.3">
      <c r="A56" s="18">
        <v>21</v>
      </c>
      <c r="B56" s="19">
        <v>6</v>
      </c>
    </row>
    <row r="57" spans="1:2" x14ac:dyDescent="0.3">
      <c r="A57" s="18">
        <v>22</v>
      </c>
      <c r="B57" s="19">
        <v>7</v>
      </c>
    </row>
    <row r="58" spans="1:2" x14ac:dyDescent="0.3">
      <c r="A58" s="18">
        <v>23</v>
      </c>
      <c r="B58" s="19">
        <v>4</v>
      </c>
    </row>
    <row r="59" spans="1:2" x14ac:dyDescent="0.3">
      <c r="A59" s="18" t="s">
        <v>333</v>
      </c>
      <c r="B59" s="19">
        <v>150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503-94A7-4F7F-B13C-7646F613244F}">
  <dimension ref="A3:B14"/>
  <sheetViews>
    <sheetView workbookViewId="0">
      <selection activeCell="I25" sqref="I25"/>
    </sheetView>
  </sheetViews>
  <sheetFormatPr defaultRowHeight="14.4" x14ac:dyDescent="0.3"/>
  <cols>
    <col min="1" max="1" width="13.109375" bestFit="1" customWidth="1"/>
    <col min="2" max="2" width="24.33203125" bestFit="1" customWidth="1"/>
  </cols>
  <sheetData>
    <row r="3" spans="1:2" x14ac:dyDescent="0.3">
      <c r="A3" s="17" t="s">
        <v>332</v>
      </c>
      <c r="B3" t="s">
        <v>346</v>
      </c>
    </row>
    <row r="4" spans="1:2" x14ac:dyDescent="0.3">
      <c r="A4" s="18" t="s">
        <v>35</v>
      </c>
      <c r="B4" s="11">
        <v>46.389930555555551</v>
      </c>
    </row>
    <row r="5" spans="1:2" x14ac:dyDescent="0.3">
      <c r="A5" s="18" t="s">
        <v>28</v>
      </c>
      <c r="B5" s="11">
        <v>82.225592592592605</v>
      </c>
    </row>
    <row r="6" spans="1:2" x14ac:dyDescent="0.3">
      <c r="A6" s="18" t="s">
        <v>25</v>
      </c>
      <c r="B6" s="11">
        <v>72.610359477124177</v>
      </c>
    </row>
    <row r="7" spans="1:2" x14ac:dyDescent="0.3">
      <c r="A7" s="18" t="s">
        <v>15</v>
      </c>
      <c r="B7" s="11">
        <v>50.214640522875818</v>
      </c>
    </row>
    <row r="8" spans="1:2" x14ac:dyDescent="0.3">
      <c r="A8" s="18" t="s">
        <v>18</v>
      </c>
      <c r="B8" s="11">
        <v>35.375320512820515</v>
      </c>
    </row>
    <row r="9" spans="1:2" x14ac:dyDescent="0.3">
      <c r="A9" s="18" t="s">
        <v>48</v>
      </c>
      <c r="B9" s="11">
        <v>64.433263888888888</v>
      </c>
    </row>
    <row r="10" spans="1:2" x14ac:dyDescent="0.3">
      <c r="A10" s="18" t="s">
        <v>39</v>
      </c>
      <c r="B10" s="11">
        <v>33.45392857142857</v>
      </c>
    </row>
    <row r="11" spans="1:2" x14ac:dyDescent="0.3">
      <c r="A11" s="18" t="s">
        <v>11</v>
      </c>
      <c r="B11" s="11">
        <v>66.843559027777786</v>
      </c>
    </row>
    <row r="12" spans="1:2" x14ac:dyDescent="0.3">
      <c r="A12" s="18" t="s">
        <v>7</v>
      </c>
      <c r="B12" s="11">
        <v>47.042602880658428</v>
      </c>
    </row>
    <row r="13" spans="1:2" x14ac:dyDescent="0.3">
      <c r="A13" s="18" t="s">
        <v>2</v>
      </c>
      <c r="B13" s="11">
        <v>27.262321428571425</v>
      </c>
    </row>
    <row r="14" spans="1:2" x14ac:dyDescent="0.3">
      <c r="A14" s="18" t="s">
        <v>333</v>
      </c>
      <c r="B14" s="11">
        <v>53.296601851851882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957F5-A795-47A7-8614-BE3C748A8C4D}">
  <dimension ref="A3:B31"/>
  <sheetViews>
    <sheetView workbookViewId="0">
      <selection activeCell="N25" sqref="N25"/>
    </sheetView>
  </sheetViews>
  <sheetFormatPr defaultRowHeight="14.4" x14ac:dyDescent="0.3"/>
  <cols>
    <col min="1" max="1" width="13" bestFit="1" customWidth="1"/>
    <col min="2" max="2" width="24.33203125" bestFit="1" customWidth="1"/>
  </cols>
  <sheetData>
    <row r="3" spans="1:2" x14ac:dyDescent="0.3">
      <c r="A3" s="17" t="s">
        <v>332</v>
      </c>
      <c r="B3" t="s">
        <v>346</v>
      </c>
    </row>
    <row r="4" spans="1:2" x14ac:dyDescent="0.3">
      <c r="A4" s="18" t="s">
        <v>108</v>
      </c>
      <c r="B4" s="11">
        <v>2.207986111111111</v>
      </c>
    </row>
    <row r="5" spans="1:2" x14ac:dyDescent="0.3">
      <c r="A5" s="20" t="s">
        <v>74</v>
      </c>
      <c r="B5" s="11">
        <v>2.0097222222222224</v>
      </c>
    </row>
    <row r="6" spans="1:2" x14ac:dyDescent="0.3">
      <c r="A6" s="20" t="s">
        <v>14</v>
      </c>
      <c r="B6" s="11">
        <v>3.2174999999999998</v>
      </c>
    </row>
    <row r="7" spans="1:2" x14ac:dyDescent="0.3">
      <c r="A7" s="20" t="s">
        <v>6</v>
      </c>
      <c r="B7" s="11">
        <v>1.8023611111111111</v>
      </c>
    </row>
    <row r="8" spans="1:2" x14ac:dyDescent="0.3">
      <c r="A8" s="18" t="s">
        <v>4</v>
      </c>
      <c r="B8" s="11">
        <v>6.6783333333333337</v>
      </c>
    </row>
    <row r="9" spans="1:2" x14ac:dyDescent="0.3">
      <c r="A9" s="20" t="s">
        <v>24</v>
      </c>
      <c r="B9" s="11">
        <v>8.3354166666666654</v>
      </c>
    </row>
    <row r="10" spans="1:2" x14ac:dyDescent="0.3">
      <c r="A10" s="20" t="s">
        <v>74</v>
      </c>
      <c r="B10" s="11">
        <v>4.2905555555555557</v>
      </c>
    </row>
    <row r="11" spans="1:2" x14ac:dyDescent="0.3">
      <c r="A11" s="20" t="s">
        <v>14</v>
      </c>
      <c r="B11" s="11">
        <v>4.7879861111111115</v>
      </c>
    </row>
    <row r="12" spans="1:2" x14ac:dyDescent="0.3">
      <c r="A12" s="20" t="s">
        <v>38</v>
      </c>
      <c r="B12" s="11">
        <v>8.3625000000000007</v>
      </c>
    </row>
    <row r="13" spans="1:2" x14ac:dyDescent="0.3">
      <c r="A13" s="20" t="s">
        <v>1</v>
      </c>
      <c r="B13" s="11">
        <v>7.0541666666666663</v>
      </c>
    </row>
    <row r="14" spans="1:2" x14ac:dyDescent="0.3">
      <c r="A14" s="20" t="s">
        <v>53</v>
      </c>
      <c r="B14" s="11">
        <v>6.9611111111111112</v>
      </c>
    </row>
    <row r="15" spans="1:2" x14ac:dyDescent="0.3">
      <c r="A15" s="20" t="s">
        <v>6</v>
      </c>
      <c r="B15" s="11">
        <v>5.7482936507936504</v>
      </c>
    </row>
    <row r="16" spans="1:2" x14ac:dyDescent="0.3">
      <c r="A16" s="18" t="s">
        <v>22</v>
      </c>
      <c r="B16" s="11">
        <v>105.14095785440612</v>
      </c>
    </row>
    <row r="17" spans="1:2" x14ac:dyDescent="0.3">
      <c r="A17" s="20" t="s">
        <v>24</v>
      </c>
      <c r="B17" s="11">
        <v>85.57421296296296</v>
      </c>
    </row>
    <row r="18" spans="1:2" x14ac:dyDescent="0.3">
      <c r="A18" s="20" t="s">
        <v>74</v>
      </c>
      <c r="B18" s="11">
        <v>106.44976851851852</v>
      </c>
    </row>
    <row r="19" spans="1:2" x14ac:dyDescent="0.3">
      <c r="A19" s="20" t="s">
        <v>14</v>
      </c>
      <c r="B19" s="11">
        <v>81.885222222222225</v>
      </c>
    </row>
    <row r="20" spans="1:2" x14ac:dyDescent="0.3">
      <c r="A20" s="20" t="s">
        <v>38</v>
      </c>
      <c r="B20" s="11">
        <v>108.93666666666665</v>
      </c>
    </row>
    <row r="21" spans="1:2" x14ac:dyDescent="0.3">
      <c r="A21" s="20" t="s">
        <v>1</v>
      </c>
      <c r="B21" s="11">
        <v>94.590793650793657</v>
      </c>
    </row>
    <row r="22" spans="1:2" x14ac:dyDescent="0.3">
      <c r="A22" s="20" t="s">
        <v>53</v>
      </c>
      <c r="B22" s="11">
        <v>112.96796296296294</v>
      </c>
    </row>
    <row r="23" spans="1:2" x14ac:dyDescent="0.3">
      <c r="A23" s="20" t="s">
        <v>6</v>
      </c>
      <c r="B23" s="11">
        <v>126.54246527777779</v>
      </c>
    </row>
    <row r="24" spans="1:2" x14ac:dyDescent="0.3">
      <c r="A24" s="18" t="s">
        <v>9</v>
      </c>
      <c r="B24" s="11">
        <v>27.309911816578481</v>
      </c>
    </row>
    <row r="25" spans="1:2" x14ac:dyDescent="0.3">
      <c r="A25" s="20" t="s">
        <v>24</v>
      </c>
      <c r="B25" s="11">
        <v>23.802833333333332</v>
      </c>
    </row>
    <row r="26" spans="1:2" x14ac:dyDescent="0.3">
      <c r="A26" s="20" t="s">
        <v>74</v>
      </c>
      <c r="B26" s="11">
        <v>26.598749999999999</v>
      </c>
    </row>
    <row r="27" spans="1:2" x14ac:dyDescent="0.3">
      <c r="A27" s="20" t="s">
        <v>14</v>
      </c>
      <c r="B27" s="11">
        <v>20.22854938271605</v>
      </c>
    </row>
    <row r="28" spans="1:2" x14ac:dyDescent="0.3">
      <c r="A28" s="20" t="s">
        <v>38</v>
      </c>
      <c r="B28" s="11">
        <v>31.660353535353533</v>
      </c>
    </row>
    <row r="29" spans="1:2" x14ac:dyDescent="0.3">
      <c r="A29" s="20" t="s">
        <v>1</v>
      </c>
      <c r="B29" s="11">
        <v>30.559374999999999</v>
      </c>
    </row>
    <row r="30" spans="1:2" x14ac:dyDescent="0.3">
      <c r="A30" s="20" t="s">
        <v>6</v>
      </c>
      <c r="B30" s="11">
        <v>27.704594017094013</v>
      </c>
    </row>
    <row r="31" spans="1:2" x14ac:dyDescent="0.3">
      <c r="A31" s="18" t="s">
        <v>333</v>
      </c>
      <c r="B31" s="11">
        <v>53.296601851851868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1E69-E983-4128-9DBF-AEA931028172}">
  <dimension ref="A1"/>
  <sheetViews>
    <sheetView tabSelected="1" workbookViewId="0">
      <selection activeCell="S14" sqref="S14"/>
    </sheetView>
  </sheetViews>
  <sheetFormatPr defaultRowHeight="14.4"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 Desk</vt:lpstr>
      <vt:lpstr>"MHW" Analysis</vt:lpstr>
      <vt:lpstr>Analyst Performance</vt:lpstr>
      <vt:lpstr>Avg of 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Sruthi (SW-TEGRA)</dc:creator>
  <cp:lastModifiedBy>Sruthi Sruthi (SW-TEGRA)</cp:lastModifiedBy>
  <dcterms:created xsi:type="dcterms:W3CDTF">2026-03-20T11:52:12Z</dcterms:created>
  <dcterms:modified xsi:type="dcterms:W3CDTF">2026-03-20T13:17:58Z</dcterms:modified>
</cp:coreProperties>
</file>